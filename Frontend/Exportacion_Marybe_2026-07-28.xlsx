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<sst xmlns="http://schemas.openxmlformats.org/spreadsheetml/2006/main" count="14678" uniqueCount="3231">
  <si>
    <t>📦 MARYBE — Exportación de Productos (28/7/2026)</t>
  </si>
  <si>
    <t>⚠ Exportación generada el 28/7/2026, 04:37:08 — 597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</si>
  <si>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</si>
  <si>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</si>
  <si>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</si>
  <si>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</si>
  <si>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</si>
  <si>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</si>
  <si>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</si>
  <si>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</si>
  <si>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</si>
  <si>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</si>
  <si>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</si>
  <si>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</si>
  <si>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</si>
  <si>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</si>
  <si>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</si>
  <si>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</si>
  <si>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</si>
  <si>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</si>
  <si>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</si>
  <si>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</si>
  <si>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</si>
  <si>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</si>
  <si>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</si>
  <si>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</si>
  <si>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</si>
  <si>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</si>
  <si>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</si>
  <si>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</si>
  <si>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</si>
  <si>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</si>
  <si>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</si>
  <si>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</si>
  <si>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</si>
  <si>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</si>
  <si>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</si>
  <si>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</si>
  <si>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</si>
  <si>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</si>
  <si>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</si>
  <si>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</si>
  <si>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</si>
  <si>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</si>
  <si>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</si>
  <si>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</si>
  <si>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</si>
  <si>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</si>
  <si>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</si>
  <si>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</si>
  <si>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</si>
  <si>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</si>
  <si>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</si>
  <si>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</si>
  <si>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</si>
  <si>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</si>
  <si>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</si>
  <si>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</si>
  <si>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</si>
  <si>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</si>
  <si>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</si>
  <si>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</si>
  <si>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</si>
  <si>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</si>
  <si>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</si>
  <si>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</si>
  <si>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</si>
  <si>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</si>
  <si>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</si>
  <si>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</si>
  <si>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</si>
  <si>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</si>
  <si>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</si>
  <si>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</si>
  <si>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</si>
  <si>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</si>
  <si>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</si>
  <si>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</si>
  <si>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</si>
  <si>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</si>
  <si>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</si>
  <si>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</si>
  <si>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</si>
  <si>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</si>
  <si>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</si>
  <si>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</si>
  <si>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</si>
  <si>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</si>
  <si>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</si>
  <si>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</si>
  <si>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</si>
  <si>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</si>
  <si>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</si>
  <si>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</si>
  <si>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</si>
  <si>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</si>
  <si>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</si>
  <si>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</si>
  <si>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</si>
  <si>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</si>
  <si>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</si>
  <si>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</si>
  <si>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</si>
  <si>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</si>
  <si>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</si>
  <si>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</si>
  <si>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</si>
  <si>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</si>
  <si>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</si>
  <si>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</si>
  <si>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</si>
  <si>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</si>
  <si>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</si>
  <si>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</si>
  <si>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</si>
  <si>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</si>
  <si>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</si>
  <si>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</si>
  <si>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</si>
  <si>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</si>
  <si>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</si>
  <si>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</si>
  <si>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</si>
  <si>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</si>
  <si>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</si>
  <si>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</si>
  <si>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</si>
  <si>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</si>
  <si>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</si>
  <si>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</si>
  <si>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</si>
  <si>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</si>
  <si>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</si>
  <si>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</si>
  <si>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</si>
  <si>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</si>
  <si>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</si>
  <si>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</si>
  <si>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</si>
  <si>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</si>
  <si>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</si>
  <si>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</si>
  <si>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</si>
  <si>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</si>
  <si>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</si>
  <si>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</si>
  <si>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</si>
  <si>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</si>
  <si>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</si>
  <si>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</si>
  <si>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</si>
  <si>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</si>
  <si>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</si>
  <si>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</si>
  <si>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</si>
  <si>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</si>
  <si>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</si>
  <si>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</si>
  <si>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</si>
  <si>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</si>
  <si>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</si>
  <si>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</si>
  <si>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</si>
  <si>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</si>
  <si>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</si>
  <si>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</si>
  <si>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</si>
  <si>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</si>
  <si>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</si>
  <si>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</si>
  <si>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</si>
  <si>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</si>
  <si>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</si>
  <si>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</si>
  <si>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</si>
  <si>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</si>
  <si>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</si>
  <si>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</si>
  <si>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</si>
  <si>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</si>
  <si>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</si>
  <si>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</si>
  <si>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</si>
  <si>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</si>
  <si>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</si>
  <si>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</si>
  <si>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</si>
  <si>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</si>
  <si>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</si>
  <si>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</si>
  <si>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</si>
  <si>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</si>
  <si>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</si>
  <si>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</si>
  <si>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</si>
  <si>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</si>
  <si>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</si>
  <si>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</si>
  <si>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</si>
  <si>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</si>
  <si>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</si>
  <si>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</si>
  <si>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</si>
  <si>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</si>
  <si>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</si>
  <si>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</si>
  <si>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</si>
  <si>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</si>
  <si>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</si>
  <si>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</si>
  <si>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</si>
  <si>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</si>
  <si>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</si>
  <si>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</si>
  <si>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</si>
  <si>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</si>
  <si>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</si>
  <si>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</si>
  <si>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</si>
  <si>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</si>
  <si>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</si>
  <si>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</si>
  <si>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</si>
  <si>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</si>
  <si>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</si>
  <si>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</si>
  <si>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</si>
  <si>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</si>
  <si>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</si>
  <si>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</si>
  <si>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</si>
  <si>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</si>
  <si>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</si>
  <si>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</si>
  <si>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</si>
  <si>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</si>
  <si>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</si>
  <si>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</si>
  <si>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</si>
  <si>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</si>
  <si>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</si>
  <si>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</si>
  <si>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</si>
  <si>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</si>
  <si>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</si>
  <si>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</si>
  <si>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</si>
  <si>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</si>
  <si>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</si>
  <si>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</si>
  <si>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</si>
  <si>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</si>
  <si>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</si>
  <si>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</si>
  <si>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</si>
  <si>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</si>
  <si>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</si>
  <si>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</si>
  <si>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</si>
  <si>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</si>
  <si>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</si>
  <si>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</si>
  <si>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</si>
  <si>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</si>
  <si>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</si>
  <si>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</si>
  <si>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</si>
  <si>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</si>
  <si>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</si>
  <si>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</si>
  <si>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</si>
  <si>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</si>
  <si>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</si>
  <si>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</si>
  <si>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</si>
  <si>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</si>
  <si>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</si>
  <si>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</si>
  <si>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</si>
  <si>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</si>
  <si>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</si>
  <si>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</si>
  <si>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</si>
  <si>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</si>
  <si>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</si>
  <si>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</si>
  <si>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</si>
  <si>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</si>
  <si>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</si>
  <si>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</si>
  <si>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</si>
  <si>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</si>
  <si>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</si>
  <si>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</si>
  <si>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</si>
  <si>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</si>
  <si>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</si>
  <si>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</si>
  <si>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</si>
  <si>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</si>
  <si>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</si>
  <si>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</si>
  <si>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</si>
  <si>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</si>
  <si>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</si>
  <si>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</si>
  <si>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</si>
  <si>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</si>
  <si>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</si>
  <si>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</si>
  <si>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</si>
  <si>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</si>
  <si>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</si>
  <si>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</si>
  <si>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</si>
  <si>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</si>
  <si>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</si>
  <si>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</si>
  <si>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</si>
  <si>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</si>
  <si>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</si>
  <si>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</si>
  <si>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</si>
  <si>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</si>
  <si>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</si>
  <si>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</si>
  <si>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</si>
  <si>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</si>
  <si>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</si>
  <si>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</si>
  <si>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</si>
  <si>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</si>
  <si>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</si>
  <si>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</si>
  <si>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</si>
  <si>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</si>
  <si>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</si>
  <si>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</si>
  <si>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</si>
  <si>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</si>
  <si>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</si>
  <si>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</si>
  <si>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</si>
  <si>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</si>
  <si>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</si>
  <si>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</si>
  <si>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</si>
  <si>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</si>
  <si>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</si>
  <si>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</si>
  <si>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</si>
  <si>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</si>
  <si>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</si>
  <si>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</si>
  <si>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</si>
  <si>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</si>
  <si>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</si>
  <si>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</si>
  <si>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</si>
  <si>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</si>
  <si>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</si>
  <si>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</si>
  <si>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</si>
  <si>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</si>
  <si>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</si>
  <si>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</si>
  <si>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</si>
  <si>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</si>
  <si>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</si>
  <si>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</si>
  <si>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</si>
  <si>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</si>
  <si>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</si>
  <si>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</si>
  <si>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</si>
  <si>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</si>
  <si>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</si>
  <si>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</si>
  <si>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</si>
  <si>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</si>
  <si>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</si>
  <si>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</si>
  <si>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</si>
  <si>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</si>
  <si>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</si>
  <si>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</si>
  <si>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</si>
  <si>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</si>
  <si>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</si>
  <si>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</si>
  <si>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</si>
  <si>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</si>
  <si>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</si>
  <si>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</si>
  <si>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</si>
  <si>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</si>
  <si>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</si>
  <si>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</si>
  <si>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</si>
  <si>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</si>
  <si>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</si>
  <si>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</si>
  <si>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</si>
  <si>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</si>
  <si>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</si>
  <si>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</si>
  <si>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</si>
  <si>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</si>
  <si>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</si>
  <si>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</si>
  <si>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</si>
  <si>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</si>
  <si>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</si>
  <si>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</si>
  <si>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</si>
  <si>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</si>
  <si>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</si>
  <si>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</si>
  <si>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</si>
  <si>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</si>
  <si>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</si>
  <si>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</si>
  <si>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</si>
  <si>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</si>
  <si>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</si>
  <si>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</si>
  <si>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</si>
  <si>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</si>
  <si>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</si>
  <si>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</si>
  <si>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</si>
  <si>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</si>
  <si>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</si>
  <si>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</si>
  <si>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</si>
  <si>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</si>
  <si>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</si>
  <si>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</si>
  <si>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</si>
  <si>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</si>
  <si>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</si>
  <si>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</si>
  <si>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</si>
  <si>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</si>
  <si>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</si>
  <si>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</si>
  <si>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</si>
  <si>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</si>
  <si>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</si>
  <si>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</si>
  <si>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</si>
  <si>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</si>
  <si>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</si>
  <si>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</si>
  <si>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</si>
  <si>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</si>
  <si>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</si>
  <si>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</si>
  <si>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</si>
  <si>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</si>
  <si>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</si>
  <si>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</si>
  <si>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</si>
  <si>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</si>
  <si>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</si>
  <si>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</si>
  <si>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</si>
  <si>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</si>
  <si>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</si>
  <si>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</si>
  <si>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</si>
  <si>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</si>
  <si>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</si>
  <si>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</si>
  <si>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</si>
  <si>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</si>
  <si>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</si>
  <si>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</si>
  <si>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</si>
  <si>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</si>
  <si>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</si>
  <si>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</si>
  <si>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</si>
  <si>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</si>
  <si>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</si>
  <si>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</si>
  <si>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</si>
  <si>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</si>
  <si>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</si>
  <si>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</si>
  <si>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</si>
  <si>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</si>
  <si>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</si>
  <si>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</si>
  <si>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</si>
  <si>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</si>
  <si>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</si>
  <si>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</si>
  <si>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</si>
  <si>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</si>
  <si>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</si>
  <si>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</si>
  <si>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</si>
  <si>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</si>
  <si>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</si>
  <si>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</si>
  <si>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</si>
  <si>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</si>
  <si>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</si>
  <si>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</si>
  <si>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</si>
  <si>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</si>
  <si>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</si>
  <si>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</si>
  <si>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</si>
  <si>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</si>
  <si>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</si>
  <si>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</si>
  <si>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</si>
  <si>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</si>
  <si>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</si>
  <si>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</si>
  <si>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</si>
  <si>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</si>
  <si>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</si>
  <si>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</si>
  <si>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</si>
  <si>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</si>
  <si>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</si>
  <si>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</si>
  <si>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</si>
  <si>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</si>
  <si>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</si>
  <si>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</si>
  <si>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</si>
  <si>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</si>
  <si>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</si>
  <si>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</si>
  <si>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</si>
  <si>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</si>
  <si>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</si>
  <si>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</si>
  <si>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</si>
  <si>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4907</t>
  </si>
  <si>
    <t>8410190634213</t>
  </si>
  <si>
    <t>AMBAR NEGRO EDP X 120 ml + DESODORANTE AEROSOL</t>
  </si>
  <si>
    <t>DOMINGUEZ</t>
  </si>
  <si>
    <t>Masculinas</t>
  </si>
  <si>
    <t>Sets</t>
  </si>
  <si>
    <t>PUIG SEMI SELECTIVO</t>
  </si>
  <si>
    <t>4908</t>
  </si>
  <si>
    <t>8410190635883</t>
  </si>
  <si>
    <t>BAMBU MEN EDP X 120 ml</t>
  </si>
  <si>
    <t>Semi selectivos</t>
  </si>
  <si>
    <t>4909</t>
  </si>
  <si>
    <t>8410190635890</t>
  </si>
  <si>
    <t>BAMBU MEN EDP X 200 ml</t>
  </si>
  <si>
    <t>4910</t>
  </si>
  <si>
    <t>8410190631793</t>
  </si>
  <si>
    <t>BERGAMOTA AMBAR EDT X 120 ml</t>
  </si>
  <si>
    <t>4911</t>
  </si>
  <si>
    <t>8410190631175</t>
  </si>
  <si>
    <t>CITRUS CEDRO EDT X 120ml</t>
  </si>
  <si>
    <t>4912</t>
  </si>
  <si>
    <t>8410190636583</t>
  </si>
  <si>
    <t>CITRUS CEDRO EDT X 120 ml + DESODORANTE</t>
  </si>
  <si>
    <t>4913</t>
  </si>
  <si>
    <t>8410190631182</t>
  </si>
  <si>
    <t>CITRUS CEDRO EDT X 200 ml</t>
  </si>
  <si>
    <t>4914</t>
  </si>
  <si>
    <t>8410190631151</t>
  </si>
  <si>
    <t>CITRUS CEDRO EDT X 60 ml</t>
  </si>
  <si>
    <t>4915</t>
  </si>
  <si>
    <t>8410190634824</t>
  </si>
  <si>
    <t>EBANO SALVIA EDP X 120 ml + DESODORANTE</t>
  </si>
  <si>
    <t>4916</t>
  </si>
  <si>
    <t>8410190635746</t>
  </si>
  <si>
    <t>FRESIA SOLAR EDP X 120 ml</t>
  </si>
  <si>
    <t>Femeninas</t>
  </si>
  <si>
    <t>4917</t>
  </si>
  <si>
    <t>8410190632165</t>
  </si>
  <si>
    <t>IRIS VAINILLA  EDP X 120 ml</t>
  </si>
  <si>
    <t>4918</t>
  </si>
  <si>
    <t>8410190632189</t>
  </si>
  <si>
    <t>IRIS VAINILLA EDP X 60 ml</t>
  </si>
  <si>
    <t>4919</t>
  </si>
  <si>
    <t>8410190632172</t>
  </si>
  <si>
    <t>JAZMIN TONKA EDP X 120 ml</t>
  </si>
  <si>
    <t>4920</t>
  </si>
  <si>
    <t>8410190633018</t>
  </si>
  <si>
    <t>JAZMIN TONKA EDP X 120 ml + DESODORANTE</t>
  </si>
  <si>
    <t>4921</t>
  </si>
  <si>
    <t>8410190632196</t>
  </si>
  <si>
    <t>JAZMIN TONKA EDP X 60 ml</t>
  </si>
  <si>
    <t>4922</t>
  </si>
  <si>
    <t>8410190631137</t>
  </si>
  <si>
    <t>LIMA TONKA EDT X 120 ml</t>
  </si>
  <si>
    <t>4923</t>
  </si>
  <si>
    <t>8410190631144</t>
  </si>
  <si>
    <t>LIMA TONKA EDT X 200 ml</t>
  </si>
  <si>
    <t>4924</t>
  </si>
  <si>
    <t>8410190636316</t>
  </si>
  <si>
    <t>NEROLI FOR MEN EDT X 120 ml</t>
  </si>
  <si>
    <t>4925</t>
  </si>
  <si>
    <t>8410190636293</t>
  </si>
  <si>
    <t>NEROLI WOMAN X 120 ml</t>
  </si>
  <si>
    <t>4926</t>
  </si>
  <si>
    <t>8410190627871</t>
  </si>
  <si>
    <t>NUDE MUSK EDP X 120 ml</t>
  </si>
  <si>
    <t>4927</t>
  </si>
  <si>
    <t>8410190630710</t>
  </si>
  <si>
    <t>NUDE MUSK EDP X 60 ml</t>
  </si>
  <si>
    <t>4928</t>
  </si>
  <si>
    <t>8410190627888</t>
  </si>
  <si>
    <t>TERRACOTA MUSK EDP X 120 ml</t>
  </si>
  <si>
    <t>4929</t>
  </si>
  <si>
    <t>8410190634770</t>
  </si>
  <si>
    <t>TERRACOTA MUSK EDP X 120 ml + BODY LOTION</t>
  </si>
  <si>
    <t>4930</t>
  </si>
  <si>
    <t>8410190630703</t>
  </si>
  <si>
    <t>TERRACOTA MUSK EDP X 60 ml</t>
  </si>
  <si>
    <t>4931</t>
  </si>
  <si>
    <t>8410190634145</t>
  </si>
  <si>
    <t>VERBENA FOR MEN EDT X 120 ml</t>
  </si>
  <si>
    <t>4932</t>
  </si>
  <si>
    <t>8410190631106</t>
  </si>
  <si>
    <t>VERBENA WOMAN EDT X 120 ml</t>
  </si>
  <si>
    <t>4933</t>
  </si>
  <si>
    <t>8410190627185</t>
  </si>
  <si>
    <t>VETIVER TERRA EDP X 120 ml</t>
  </si>
  <si>
    <t>4934</t>
  </si>
  <si>
    <t>8410190634183</t>
  </si>
  <si>
    <t>AMBAR NEGRO EDP X 200 ml</t>
  </si>
  <si>
    <t>4935</t>
  </si>
  <si>
    <t>8410190634176</t>
  </si>
  <si>
    <t>AMBAR NEGRO EDP X120 ml</t>
  </si>
  <si>
    <t>4936</t>
  </si>
  <si>
    <t>8410190636644</t>
  </si>
  <si>
    <t>VETIVER TERRA EDP X 120 ml + DESODORANTE</t>
  </si>
  <si>
    <t>4937</t>
  </si>
  <si>
    <t>8410190635876</t>
  </si>
  <si>
    <t>AGUA FRESCA BAMBU WOMAN EDT x 120 ml</t>
  </si>
  <si>
    <t>4938</t>
  </si>
  <si>
    <t>8410225554158</t>
  </si>
  <si>
    <t>DE BESO EN BESO EDT X 100 ml</t>
  </si>
  <si>
    <t>AGATHA RUIZ DE LA PRADA</t>
  </si>
  <si>
    <t>4939</t>
  </si>
  <si>
    <t>8410225556862</t>
  </si>
  <si>
    <t>DE FLOR EN FLOR EDT X 100 ml</t>
  </si>
  <si>
    <t>4940</t>
  </si>
  <si>
    <t>8410225543794</t>
  </si>
  <si>
    <t>FLOR EDP X 100 ml</t>
  </si>
  <si>
    <t>4941</t>
  </si>
  <si>
    <t>8410225548058</t>
  </si>
  <si>
    <t>LOOK GOLD EDT X 80 ml</t>
  </si>
  <si>
    <t>4942</t>
  </si>
  <si>
    <t>8410225551867</t>
  </si>
  <si>
    <t>LOOK KOOL EDT X 80 ml</t>
  </si>
  <si>
    <t>4943</t>
  </si>
  <si>
    <t>8410190619319</t>
  </si>
  <si>
    <t>AGUA DE BAMBU WOMAN EDT X 100 ml</t>
  </si>
  <si>
    <t>4944</t>
  </si>
  <si>
    <t>8410190615045</t>
  </si>
  <si>
    <t>AGUA FRESCA DE AZAHAR EDT X 200 ml</t>
  </si>
  <si>
    <t>4945</t>
  </si>
  <si>
    <t>8410190609105</t>
  </si>
  <si>
    <t>AGUA FRESCA DE AZAHAR EDT X 120 ml</t>
  </si>
  <si>
    <t>4946</t>
  </si>
  <si>
    <t>8410190634749</t>
  </si>
  <si>
    <t>AGUA FRESCA DE AZAHAR EDT X 120 ml + BODY LOTION</t>
  </si>
  <si>
    <t>4947</t>
  </si>
  <si>
    <t>8410190609129</t>
  </si>
  <si>
    <t>AGUA FRESCA DE AZAHAR EDT X 60 ml</t>
  </si>
  <si>
    <t>4948</t>
  </si>
  <si>
    <t>8410190622104</t>
  </si>
  <si>
    <t>AGUA FRESCA GARDENIA MUSK EDT X 120 ml</t>
  </si>
  <si>
    <t>4949</t>
  </si>
  <si>
    <t>8410190634756</t>
  </si>
  <si>
    <t>AGUA FRESCA GARDENIA MUSK EDT X 120 ml + BODY LOTION</t>
  </si>
  <si>
    <t>4950</t>
  </si>
  <si>
    <t>8410190634763</t>
  </si>
  <si>
    <t>AGUA FRESCA MIMOSA CORIANDRO EDT X 120 ml + BODY LOTION</t>
  </si>
  <si>
    <t>4951</t>
  </si>
  <si>
    <t>8410190623934</t>
  </si>
  <si>
    <t>AGUA FRESCA MIMOSA CORIANDRO EDT X 120 ml</t>
  </si>
  <si>
    <t>4952</t>
  </si>
  <si>
    <t>8410190631168</t>
  </si>
  <si>
    <t>AGUA FRESCA 1993 EDT X 120 ml</t>
  </si>
  <si>
    <t>4953</t>
  </si>
  <si>
    <t>8410190631205</t>
  </si>
  <si>
    <t>AGUA FRESCA 1993 EDT X 60 ml</t>
  </si>
  <si>
    <t>4954</t>
  </si>
  <si>
    <t>8410190634732</t>
  </si>
  <si>
    <t>AGUA FRESCA DE ROSAS BLANCAS EDT X 120 ml + BODY LOTION</t>
  </si>
  <si>
    <t>4955</t>
  </si>
  <si>
    <t>8410190612778</t>
  </si>
  <si>
    <t>AGUA FRESCA DE ROSAS BLANCAS EDT X 60 ml</t>
  </si>
  <si>
    <t>4956</t>
  </si>
  <si>
    <t>8410190613522</t>
  </si>
  <si>
    <t>AGUA FRESCA DE ROSAS BLANCAS EDT X 200 ml</t>
  </si>
  <si>
    <t>4957</t>
  </si>
  <si>
    <t>8410190612525</t>
  </si>
  <si>
    <t>AGUA FRESCAS DE ROSAS BLANCAS X 120 ml</t>
  </si>
  <si>
    <t>4958</t>
  </si>
  <si>
    <t>8410190619296</t>
  </si>
  <si>
    <t>BAMBU FOR MEN EDT X 60 ml</t>
  </si>
  <si>
    <t>4959</t>
  </si>
  <si>
    <t>8410190618671</t>
  </si>
  <si>
    <t>BAMBU WOMAN EDT X 100 ml</t>
  </si>
  <si>
    <t>4960</t>
  </si>
  <si>
    <t>8411061080771</t>
  </si>
  <si>
    <t>HER SECRET DESIRE EDT X 80 ml</t>
  </si>
  <si>
    <t>BANDERAS</t>
  </si>
  <si>
    <t>4961</t>
  </si>
  <si>
    <t>8411061124079</t>
  </si>
  <si>
    <t>HER SECRET PINK ABSOLU EDP X 50 ml</t>
  </si>
  <si>
    <t>4962</t>
  </si>
  <si>
    <t>8411061104897</t>
  </si>
  <si>
    <t>HER SECRET PINK ABSOLU EDP X 80 ml</t>
  </si>
  <si>
    <t>4963</t>
  </si>
  <si>
    <t>8411061074633</t>
  </si>
  <si>
    <t>POWER EDT X 100 ml + DESODORANTE</t>
  </si>
  <si>
    <t>4964</t>
  </si>
  <si>
    <t>8411061125816</t>
  </si>
  <si>
    <t>SEDUCTION X FOR MEN EDP X 100 ml</t>
  </si>
  <si>
    <t>4965</t>
  </si>
  <si>
    <t>8411061125823</t>
  </si>
  <si>
    <t>SEDUCTION X FOR MEN EDP X 50 ml</t>
  </si>
  <si>
    <t>4966</t>
  </si>
  <si>
    <t>8411061079942</t>
  </si>
  <si>
    <t>THE ICON FOR MEN EDP X 50 ml</t>
  </si>
  <si>
    <t>4967</t>
  </si>
  <si>
    <t>8411061079898</t>
  </si>
  <si>
    <t>THE ICON FOR MEN EDT X 50 ml</t>
  </si>
  <si>
    <t>4968</t>
  </si>
  <si>
    <t>8410190638938</t>
  </si>
  <si>
    <t>THE ICON ELIXIR WOMAN EDP INTENSE X 100 ml</t>
  </si>
  <si>
    <t>4969</t>
  </si>
  <si>
    <t>8410190638945</t>
  </si>
  <si>
    <t>THE ICON ELIXIR WOMAN EDP INTENSE X 50 ml</t>
  </si>
  <si>
    <t>4970</t>
  </si>
  <si>
    <t>8411061101131</t>
  </si>
  <si>
    <t>THE ICON WOMAN EDP X 50 ml</t>
  </si>
  <si>
    <t>4971</t>
  </si>
  <si>
    <t>8411061129968</t>
  </si>
  <si>
    <t>THE ICON SUPREME FOR MEN PARFUM INTENSE X 100 ml + DESODORANTE</t>
  </si>
  <si>
    <t>4972</t>
  </si>
  <si>
    <t>8411061080641</t>
  </si>
  <si>
    <t>THE SECRET FOR MEN EDT X 100 ml</t>
  </si>
  <si>
    <t>4973</t>
  </si>
  <si>
    <t>8433982025938</t>
  </si>
  <si>
    <t>COLORS BLACK EDT X 100 ml + DESODORANTE</t>
  </si>
  <si>
    <t>BENETTON</t>
  </si>
  <si>
    <t>4974</t>
  </si>
  <si>
    <t>8433982025945</t>
  </si>
  <si>
    <t>COLORS BLUE EDT X 100 ml + DESODORANTE</t>
  </si>
  <si>
    <t>4975</t>
  </si>
  <si>
    <t>8433982026218</t>
  </si>
  <si>
    <t>COLORS BLACK INTENSO EDP X 200 ml</t>
  </si>
  <si>
    <t>4976</t>
  </si>
  <si>
    <t>8433982020575</t>
  </si>
  <si>
    <t>COLORS BLACK INTENSO EDP X 100 ml</t>
  </si>
  <si>
    <t>4977</t>
  </si>
  <si>
    <t>8433982020568</t>
  </si>
  <si>
    <t>COLORS BLACK INTENSO EDP X 60 ml</t>
  </si>
  <si>
    <t>4978</t>
  </si>
  <si>
    <t>8433982025594</t>
  </si>
  <si>
    <t>COLORS FREE FOR MEN EDT X 100  ml</t>
  </si>
  <si>
    <t>4979</t>
  </si>
  <si>
    <t>8433982025570</t>
  </si>
  <si>
    <t>COLORS FREE WOMAN EDT X 80 ml</t>
  </si>
  <si>
    <t>4980</t>
  </si>
  <si>
    <t>8433982025891</t>
  </si>
  <si>
    <t>COLORS BLACK EDT X 200 ml</t>
  </si>
  <si>
    <t>4981</t>
  </si>
  <si>
    <t>8433982026263</t>
  </si>
  <si>
    <t>UNITED DREAMS EVER GREEN FOR HIM EDT X 100 ml</t>
  </si>
  <si>
    <t>4982</t>
  </si>
  <si>
    <t>8433982026287</t>
  </si>
  <si>
    <t>UNITED DREAMS EVER GREEN FOR HER EDT X 100 ml</t>
  </si>
  <si>
    <t>4983</t>
  </si>
  <si>
    <t>8433982025709</t>
  </si>
  <si>
    <t>UNITED DREAMS GREEN AMAZONIA FOR HIM EDT X 100 ml</t>
  </si>
  <si>
    <t>4984</t>
  </si>
  <si>
    <t>8433982025686</t>
  </si>
  <si>
    <t>UNITED DREAMS GREEN AMAZONIA FOR HER X 80 ml</t>
  </si>
  <si>
    <t>4985</t>
  </si>
  <si>
    <t>8433982018701</t>
  </si>
  <si>
    <t>SISTERLAND BLUE NEROLI EDT X 80 ml</t>
  </si>
  <si>
    <t>4986</t>
  </si>
  <si>
    <t>8433982025976</t>
  </si>
  <si>
    <t>SISTERLAND BLUE NEROLI EDT X 80 ml + BODY LOTION</t>
  </si>
  <si>
    <t>4987</t>
  </si>
  <si>
    <t>8433982027338</t>
  </si>
  <si>
    <t>SISTERLAND BLUSH CHERRY EDP X 80 ml</t>
  </si>
  <si>
    <t>4988</t>
  </si>
  <si>
    <t>8433982025624</t>
  </si>
  <si>
    <t>SISTERLAND GOLDEN VANILLA EDP X 80 ml</t>
  </si>
  <si>
    <t>4989</t>
  </si>
  <si>
    <t>8433982018718</t>
  </si>
  <si>
    <t>SISTERLAND GREEN JASMINE EDT X 80 ml</t>
  </si>
  <si>
    <t>4990</t>
  </si>
  <si>
    <t>8433982024689</t>
  </si>
  <si>
    <t>SISTERLAND GREEN JASMINE EDT X 80 ml + BODY LOTION</t>
  </si>
  <si>
    <t>4991</t>
  </si>
  <si>
    <t>8433982018756</t>
  </si>
  <si>
    <t>SISTERLAND PINK RASPBERRY EDT X 80 ml</t>
  </si>
  <si>
    <t>4992</t>
  </si>
  <si>
    <t>8433982018749</t>
  </si>
  <si>
    <t>SISTERLAND RED ROSE EDT X 80 ml</t>
  </si>
  <si>
    <t>4993</t>
  </si>
  <si>
    <t>8433982026003</t>
  </si>
  <si>
    <t>SISTERLAND RED ROSE EDT X 80 ml + BODY LOTION</t>
  </si>
  <si>
    <t>4994</t>
  </si>
  <si>
    <t>8433982024122</t>
  </si>
  <si>
    <t>SISTERLAND YELLLOW PEONY EDT X 80 ml</t>
  </si>
  <si>
    <t>4995</t>
  </si>
  <si>
    <t>8433982026027</t>
  </si>
  <si>
    <t>WE ARE TRIBE INTENSE EDP X 90 ml + DESODORANTE</t>
  </si>
  <si>
    <t>4996</t>
  </si>
  <si>
    <t>8433982025549</t>
  </si>
  <si>
    <t>WE ARE TRIBE COOL MEN EDT X 90 ml</t>
  </si>
  <si>
    <t>4997</t>
  </si>
  <si>
    <t>8433982027543</t>
  </si>
  <si>
    <t>WE ARE TRIBE COOL MEN EDT X 90 ml + DESODORANTE</t>
  </si>
  <si>
    <t>4998</t>
  </si>
  <si>
    <t>8433982024283</t>
  </si>
  <si>
    <t>WE ARE TRIBE INTENSO EDP X 90 ml</t>
  </si>
  <si>
    <t>4999</t>
  </si>
  <si>
    <t>8433982027550</t>
  </si>
  <si>
    <t>WE ARE TRIBE INTENSO EDP X 90 ml + DESODORANTE</t>
  </si>
  <si>
    <t>5000</t>
  </si>
  <si>
    <t>8433982019562</t>
  </si>
  <si>
    <t>WE ARE TRIBE MEN EDT X 90 ml</t>
  </si>
  <si>
    <t>5001</t>
  </si>
  <si>
    <t>8433982019777</t>
  </si>
  <si>
    <t>WE ARE TRIBE MEN EDT X 90 ml + DESODORANTE</t>
  </si>
  <si>
    <t>5002</t>
  </si>
  <si>
    <t>8433982026010</t>
  </si>
  <si>
    <t>5003</t>
  </si>
  <si>
    <t>8433982027383</t>
  </si>
  <si>
    <t>WE ARE TRIBE PLAY MEN EDT X 90 ml</t>
  </si>
  <si>
    <t>5004</t>
  </si>
  <si>
    <t>8433982028519</t>
  </si>
  <si>
    <t>WE ARE TRIBE ELIXIR EDP X 90 ml</t>
  </si>
  <si>
    <t>5005</t>
  </si>
  <si>
    <t>8410190637191</t>
  </si>
  <si>
    <t>BERGAMOTA AMBAR EDT X 200 ml</t>
  </si>
  <si>
    <t>5006</t>
  </si>
  <si>
    <t>8411061081266</t>
  </si>
  <si>
    <t>BLACK SEDUCTION EDT X 100 ml</t>
  </si>
  <si>
    <t>5007</t>
  </si>
  <si>
    <t>8411061081563</t>
  </si>
  <si>
    <t>BLUE SEDUCTION FOR MEN EDT X 200 ml</t>
  </si>
  <si>
    <t>5008</t>
  </si>
  <si>
    <t>8411061081150</t>
  </si>
  <si>
    <t>BLUE SEDUCTION FOR MEN EDT X 100 ml</t>
  </si>
  <si>
    <t>5009</t>
  </si>
  <si>
    <t>8411061129821</t>
  </si>
  <si>
    <t>BLUE SEDUCTION FOR MEN EDT X 100 + DESODORANTE</t>
  </si>
  <si>
    <t>5010</t>
  </si>
  <si>
    <t>8411061081570</t>
  </si>
  <si>
    <t>BLUE SEDUCTION FOR MEN EDT X 50 ml</t>
  </si>
  <si>
    <t>5011</t>
  </si>
  <si>
    <t>8411061081594</t>
  </si>
  <si>
    <t>BLUE SEDUCTION WOMAN EDT X 50 ml</t>
  </si>
  <si>
    <t>5012</t>
  </si>
  <si>
    <t>8411061067451</t>
  </si>
  <si>
    <t>BLUE SEDUCTION WOMAN EDT X 80 ml + DESODORANTE</t>
  </si>
  <si>
    <t>5013</t>
  </si>
  <si>
    <t>8411061081587</t>
  </si>
  <si>
    <t>BLUE SEDUCTION WOMAN EDT X 200 ml</t>
  </si>
  <si>
    <t>5014</t>
  </si>
  <si>
    <t>8411061081310</t>
  </si>
  <si>
    <t>BLUE SEDUCTION WOMAN EDT X 80 ml</t>
  </si>
  <si>
    <t>5015</t>
  </si>
  <si>
    <t>8411061849330</t>
  </si>
  <si>
    <t>DIAVOLO EDT X 100 ml</t>
  </si>
  <si>
    <t>5016</t>
  </si>
  <si>
    <t>8411061849361</t>
  </si>
  <si>
    <t>DIAVOLO EDT X 200 ml</t>
  </si>
  <si>
    <t>5017</t>
  </si>
  <si>
    <t>8410190628892</t>
  </si>
  <si>
    <t>EBANO SALVIA EDP X 120 ml</t>
  </si>
  <si>
    <t>5018</t>
  </si>
  <si>
    <t>8410190631472</t>
  </si>
  <si>
    <t>EBANO SALVIA EDP X 200 ml</t>
  </si>
  <si>
    <t>5019</t>
  </si>
  <si>
    <t>8410225554172</t>
  </si>
  <si>
    <t>GOTAS DE COLOR DOT TI DOT EDT X 100 ml</t>
  </si>
  <si>
    <t>5020</t>
  </si>
  <si>
    <t>8410225551836</t>
  </si>
  <si>
    <t>GOTAS DE COLOR ENTRE LINEAS EDT X 100 ml</t>
  </si>
  <si>
    <t>5021</t>
  </si>
  <si>
    <t>8410225548980</t>
  </si>
  <si>
    <t>GOTAS DE COLOR WITH LOVE EDT X 100 ml</t>
  </si>
  <si>
    <t>5022</t>
  </si>
  <si>
    <t>8410225543770</t>
  </si>
  <si>
    <t>GOTAS DE COLOR EDT X 100 ml</t>
  </si>
  <si>
    <t>5023</t>
  </si>
  <si>
    <t>8411061081006</t>
  </si>
  <si>
    <t>HER GOLDEN SECRET EDT X 80 ml</t>
  </si>
  <si>
    <t>5024</t>
  </si>
  <si>
    <t>8411061088593</t>
  </si>
  <si>
    <t>HER SECRET ABSOLU EDP X 80 ml</t>
  </si>
  <si>
    <t>5025</t>
  </si>
  <si>
    <t>8411061081877</t>
  </si>
  <si>
    <t>HER SECRET DESIRE EDT X 50 ml</t>
  </si>
  <si>
    <t>5026</t>
  </si>
  <si>
    <t>8411061067581</t>
  </si>
  <si>
    <t>HER SECRET DESIRE EDT X 80 ml + DESODORANTE</t>
  </si>
  <si>
    <t>5027</t>
  </si>
  <si>
    <t>8411061944653</t>
  </si>
  <si>
    <t>5028</t>
  </si>
  <si>
    <t>8411061081143</t>
  </si>
  <si>
    <t>HER SECRET TEMPTATION EDT X 50 ml</t>
  </si>
  <si>
    <t>5029</t>
  </si>
  <si>
    <t>8411061080719</t>
  </si>
  <si>
    <t>HER SECRET TEMPTATION EDT X 80 ml</t>
  </si>
  <si>
    <t>5030</t>
  </si>
  <si>
    <t>8411061081372</t>
  </si>
  <si>
    <t>KING OF SEDUCTION EDT X 200 ml</t>
  </si>
  <si>
    <t>5031</t>
  </si>
  <si>
    <t>8411061081358</t>
  </si>
  <si>
    <t>KING OF SEDUCTION ABSOLUTE EDT X 200 ml</t>
  </si>
  <si>
    <t>5032</t>
  </si>
  <si>
    <t>8411061081341</t>
  </si>
  <si>
    <t>KING OF SEDUCTION ABSOLUTE EDT X 100 ml</t>
  </si>
  <si>
    <t>5033</t>
  </si>
  <si>
    <t>8411061082935</t>
  </si>
  <si>
    <t>KING OF SEDUCTION EDT X 100 ml</t>
  </si>
  <si>
    <t>5034</t>
  </si>
  <si>
    <t>8411061081365</t>
  </si>
  <si>
    <t>KING OF SEDUCTION ABSOLUTE EDT X 50 ml</t>
  </si>
  <si>
    <t>5035</t>
  </si>
  <si>
    <t>8411061129852</t>
  </si>
  <si>
    <t>KING OF SEDUCTION EDT X 100 ml + DESODORANTE</t>
  </si>
  <si>
    <t>5036</t>
  </si>
  <si>
    <t>8411061081761</t>
  </si>
  <si>
    <t>KING OF SEDUCTION EDT X 50 ml</t>
  </si>
  <si>
    <t>5037</t>
  </si>
  <si>
    <t>8410225546801</t>
  </si>
  <si>
    <t>LOOK EDT X 80 ml</t>
  </si>
  <si>
    <t>5038</t>
  </si>
  <si>
    <t>8410225524588</t>
  </si>
  <si>
    <t>LOVE LOVE LOVE EDT X 80 ml</t>
  </si>
  <si>
    <t>5039</t>
  </si>
  <si>
    <t>8411061979143</t>
  </si>
  <si>
    <t>PACHA IBIZA BE INSANE FOR MEN EDT X 100 ml</t>
  </si>
  <si>
    <t>PACHA</t>
  </si>
  <si>
    <t>5040</t>
  </si>
  <si>
    <t>8411061059784</t>
  </si>
  <si>
    <t>PACHA IBIZA 24 7 FEELING FOR MEN EDT X 100 ml</t>
  </si>
  <si>
    <t>5041</t>
  </si>
  <si>
    <t>8411061059777</t>
  </si>
  <si>
    <t>PACHA IBIZA 24 7 FEELING FOR WOMAN EDT X 80 ml</t>
  </si>
  <si>
    <t>5042</t>
  </si>
  <si>
    <t>8411061921203</t>
  </si>
  <si>
    <t>PACHA IBIZA 24 7 FOR MEN EDT X 100 ml</t>
  </si>
  <si>
    <t>5043</t>
  </si>
  <si>
    <t>8411061921227</t>
  </si>
  <si>
    <t>PACHA IBIZA 24 7 FOR WOMAN EDT X 80 ml</t>
  </si>
  <si>
    <t>5044</t>
  </si>
  <si>
    <t>8411061011874</t>
  </si>
  <si>
    <t>PACHA IBIZA 24 7 VERY PARY FOR WOMAN EDT X 80</t>
  </si>
  <si>
    <t>5045</t>
  </si>
  <si>
    <t>8411061011904</t>
  </si>
  <si>
    <t>PACHA IBIZA 24 7 VIP FOR MEN EDT X 100 ml</t>
  </si>
  <si>
    <t>5046</t>
  </si>
  <si>
    <t>8411061081426</t>
  </si>
  <si>
    <t>POWER OF SEDUCTION EDT X 100 ml</t>
  </si>
  <si>
    <t>5047</t>
  </si>
  <si>
    <t>8411061081419</t>
  </si>
  <si>
    <t>POWER OF SEDUCTION EDT X 200 ml</t>
  </si>
  <si>
    <t>5048</t>
  </si>
  <si>
    <t>8411061081433</t>
  </si>
  <si>
    <t>POWER OF SEDUCTION EDT X 50 ml</t>
  </si>
  <si>
    <t>5049</t>
  </si>
  <si>
    <t>8411061975510</t>
  </si>
  <si>
    <t>BLOSSOM EDP X 100 ml</t>
  </si>
  <si>
    <t>RAPSODIA</t>
  </si>
  <si>
    <t>5050</t>
  </si>
  <si>
    <t>8411061996218</t>
  </si>
  <si>
    <t>FIRE EDP X 100 ml</t>
  </si>
  <si>
    <t>5051</t>
  </si>
  <si>
    <t>8411061934654</t>
  </si>
  <si>
    <t>INDIE EDP X 100 ml</t>
  </si>
  <si>
    <t>5052</t>
  </si>
  <si>
    <t>8411061975534</t>
  </si>
  <si>
    <t>WILD EDP X 100 ml</t>
  </si>
  <si>
    <t>5053</t>
  </si>
  <si>
    <t>8411061063095</t>
  </si>
  <si>
    <t>KISS EDT X 80 ml</t>
  </si>
  <si>
    <t>SHAKIRA</t>
  </si>
  <si>
    <t>5054</t>
  </si>
  <si>
    <t>8411061105337</t>
  </si>
  <si>
    <t>AMARILLO EDP X 50 ml</t>
  </si>
  <si>
    <t>5055</t>
  </si>
  <si>
    <t>8411061105344</t>
  </si>
  <si>
    <t>AMARILLO EDP X 80 ml</t>
  </si>
  <si>
    <t>5056</t>
  </si>
  <si>
    <t>8411061087428</t>
  </si>
  <si>
    <t>BLUSH KISS EDT X 80 ml</t>
  </si>
  <si>
    <t>5057</t>
  </si>
  <si>
    <t>8411061876008</t>
  </si>
  <si>
    <t>DANCE DIAMONDS EDT X 80 ml</t>
  </si>
  <si>
    <t>5058</t>
  </si>
  <si>
    <t>8411061067789</t>
  </si>
  <si>
    <t>DANCE DIAMONDS EDT X 80 ml + DESODORANTE</t>
  </si>
  <si>
    <t>5059</t>
  </si>
  <si>
    <t>8411061823033</t>
  </si>
  <si>
    <t>DANCE EDT X 50 ml</t>
  </si>
  <si>
    <t>5060</t>
  </si>
  <si>
    <t>8411061823026</t>
  </si>
  <si>
    <t>DANCE EDT X 80 ml</t>
  </si>
  <si>
    <t>5061</t>
  </si>
  <si>
    <t>8411061067079</t>
  </si>
  <si>
    <t>DANCE MIDNIGHT EDT X 80 ml + DESODORANTE</t>
  </si>
  <si>
    <t>5062</t>
  </si>
  <si>
    <t>8411061128282</t>
  </si>
  <si>
    <t>DANCE MIDNIGHT GLAM EDT X 80 ml</t>
  </si>
  <si>
    <t>5063</t>
  </si>
  <si>
    <t>8411061029619</t>
  </si>
  <si>
    <t>DANCE MIDNIGHT MUSE EDT X 80 ml</t>
  </si>
  <si>
    <t>5064</t>
  </si>
  <si>
    <t>8411061029640</t>
  </si>
  <si>
    <t>DANCE MIDNIGHT MUSE EDT X 50 ml</t>
  </si>
  <si>
    <t>5065</t>
  </si>
  <si>
    <t>8411061085301</t>
  </si>
  <si>
    <t>DANCE MIDNIGHT STAR EDT X 80 ml</t>
  </si>
  <si>
    <t>5066</t>
  </si>
  <si>
    <t>8411061972229</t>
  </si>
  <si>
    <t>DANCE MIDNIGHT EDT X 50 ml</t>
  </si>
  <si>
    <t>5067</t>
  </si>
  <si>
    <t>8411061972212</t>
  </si>
  <si>
    <t>DANCE MIDNIGHT EDT X 80 ml</t>
  </si>
  <si>
    <t>5068</t>
  </si>
  <si>
    <t>8411061057735</t>
  </si>
  <si>
    <t>DANCE OCEAN EDT X 80 ml</t>
  </si>
  <si>
    <t>5069</t>
  </si>
  <si>
    <t>8411061000922</t>
  </si>
  <si>
    <t>DANCE RED MIDNIGHT EDT X 50 ml</t>
  </si>
  <si>
    <t>5070</t>
  </si>
  <si>
    <t>8411061000915</t>
  </si>
  <si>
    <t>DANCE RED MIDNIGHT X 80 ml</t>
  </si>
  <si>
    <t>5071</t>
  </si>
  <si>
    <t>8411061105238</t>
  </si>
  <si>
    <t>DANCE STELLAR EDT X 80 ml</t>
  </si>
  <si>
    <t>5072</t>
  </si>
  <si>
    <t>8411061697290</t>
  </si>
  <si>
    <t>SHAKIRA EDT X 50 ml</t>
  </si>
  <si>
    <t>5073</t>
  </si>
  <si>
    <t>8411061697283</t>
  </si>
  <si>
    <t>SHAKIRA EDT X 80 ml</t>
  </si>
  <si>
    <t>5074</t>
  </si>
  <si>
    <t>8411061722176</t>
  </si>
  <si>
    <t>FLORAL EDT X 50 ml</t>
  </si>
  <si>
    <t>5075</t>
  </si>
  <si>
    <t>8411061085622</t>
  </si>
  <si>
    <t>FUCSIA EDP X 50 ml</t>
  </si>
  <si>
    <t>5076</t>
  </si>
  <si>
    <t>8411061085639</t>
  </si>
  <si>
    <t>FUCSIA EDP X 80 ml</t>
  </si>
  <si>
    <t>5077</t>
  </si>
  <si>
    <t>8411061783368</t>
  </si>
  <si>
    <t>ROCK EDT X 80 ml</t>
  </si>
  <si>
    <t>5078</t>
  </si>
  <si>
    <t>8411061058190</t>
  </si>
  <si>
    <t>ROJO EDP X 50 ml</t>
  </si>
  <si>
    <t>5079</t>
  </si>
  <si>
    <t>8411061058183</t>
  </si>
  <si>
    <t>ROJO EDP X 80 ml</t>
  </si>
  <si>
    <t>5080</t>
  </si>
  <si>
    <t>8411061058237</t>
  </si>
  <si>
    <t>ROJO EDP X 80 ml + DESODORANTE</t>
  </si>
  <si>
    <t>5081</t>
  </si>
  <si>
    <t>8411061128305</t>
  </si>
  <si>
    <t>SUGAR KISS EDT X 80 ml</t>
  </si>
  <si>
    <t>5082</t>
  </si>
  <si>
    <t>8411061080764</t>
  </si>
  <si>
    <t>THE GOLDEN SECRET MEN EDT X 100 ml</t>
  </si>
  <si>
    <t>5083</t>
  </si>
  <si>
    <t>8411061129661</t>
  </si>
  <si>
    <t>THE GOLDEN SECRET MEN EDT X 100 ml + DESODORANTE</t>
  </si>
  <si>
    <t>5084</t>
  </si>
  <si>
    <t>8411061081037</t>
  </si>
  <si>
    <t>THE GOLDEN SECRET MEN EDT X 200 ml</t>
  </si>
  <si>
    <t>5085</t>
  </si>
  <si>
    <t>8411061081013</t>
  </si>
  <si>
    <t>THE GOLDEN SECRET MEN EDT X 50 ml</t>
  </si>
  <si>
    <t>5086</t>
  </si>
  <si>
    <t>8411061129944</t>
  </si>
  <si>
    <t>THE ICON FOR MEN EDP X 100 + DESODORANTE</t>
  </si>
  <si>
    <t>5087</t>
  </si>
  <si>
    <t>8411061129920</t>
  </si>
  <si>
    <t>THE ICON FOR MEN EDT X 100 ml + DESODORANTE</t>
  </si>
  <si>
    <t>5088</t>
  </si>
  <si>
    <t>8411061971925</t>
  </si>
  <si>
    <t>5089</t>
  </si>
  <si>
    <t>8411061079997</t>
  </si>
  <si>
    <t>THE ICON ELIXIR FOR MEN EDP X 100 ml</t>
  </si>
  <si>
    <t>5090</t>
  </si>
  <si>
    <t>8411061129906</t>
  </si>
  <si>
    <t>THE ICON ELIXIR FOR MEN EDP X 100 ml + DESODORANTE</t>
  </si>
  <si>
    <t>5091</t>
  </si>
  <si>
    <t>8411061080009</t>
  </si>
  <si>
    <t>THE ICON ELIXIR FOR MEN EDP X 50 ml</t>
  </si>
  <si>
    <t>5092</t>
  </si>
  <si>
    <t>8411061034972</t>
  </si>
  <si>
    <t>THE ICON FEMME EDP X 100 ml</t>
  </si>
  <si>
    <t>5093</t>
  </si>
  <si>
    <t>8411061034989</t>
  </si>
  <si>
    <t>THE ICON FEMME EDP X 50 ml</t>
  </si>
  <si>
    <t>5094</t>
  </si>
  <si>
    <t>8411061085295</t>
  </si>
  <si>
    <t>THE ICON FOR MEN EDT X 100 ml</t>
  </si>
  <si>
    <t>5095</t>
  </si>
  <si>
    <t>8411061001844</t>
  </si>
  <si>
    <t>THE ICON FOR MEN EDT X 200 ml</t>
  </si>
  <si>
    <t>5096</t>
  </si>
  <si>
    <t>8411061084922</t>
  </si>
  <si>
    <t>THE ICON SPLENDID EDP X 100 ml</t>
  </si>
  <si>
    <t>5097</t>
  </si>
  <si>
    <t>8411061084854</t>
  </si>
  <si>
    <t>THE ICON SPLENDID EDP X 100 ml + DESODORANTE</t>
  </si>
  <si>
    <t>5098</t>
  </si>
  <si>
    <t>8411061084946</t>
  </si>
  <si>
    <t>THE ICON SPLENDID EDP X 50 ml</t>
  </si>
  <si>
    <t>5099</t>
  </si>
  <si>
    <t>8411061109687</t>
  </si>
  <si>
    <t>THE ICON SUPREME FOR MEN EDP INTENSE X 100 ml</t>
  </si>
  <si>
    <t>5100</t>
  </si>
  <si>
    <t>8411061109700</t>
  </si>
  <si>
    <t>THE ICON SUPREME FOR MEN EDP INTENSE X 50 ml</t>
  </si>
  <si>
    <t>5101</t>
  </si>
  <si>
    <t>8411061124277</t>
  </si>
  <si>
    <t>THE ICON SUPREME WOMAN EDP X 100 ml</t>
  </si>
  <si>
    <t>5102</t>
  </si>
  <si>
    <t>8411061124239</t>
  </si>
  <si>
    <t>THE ICON SUPREME WOMAN EDP X 50 ml</t>
  </si>
  <si>
    <t>5103</t>
  </si>
  <si>
    <t>8411061079959</t>
  </si>
  <si>
    <t>THE ICON THE PARFUM FOR MEN EDP X 100 ml</t>
  </si>
  <si>
    <t>5104</t>
  </si>
  <si>
    <t>8411061999264</t>
  </si>
  <si>
    <t>THE ICON THE PARFUM FOR MEN EDP X 50 ml</t>
  </si>
  <si>
    <t>5105</t>
  </si>
  <si>
    <t>8411061084076</t>
  </si>
  <si>
    <t>THE ICON THE PARFUM FOR MEN EDP X 200 ml</t>
  </si>
  <si>
    <t>5106</t>
  </si>
  <si>
    <t>8411061088562</t>
  </si>
  <si>
    <t>THE SECRET ABSOLU FOR MEN EDP X 100 ml</t>
  </si>
  <si>
    <t>5107</t>
  </si>
  <si>
    <t>8411061129760</t>
  </si>
  <si>
    <t>THE SECRET ABSOLU FOR MEN EDP X 100 ml + DESODORANTE</t>
  </si>
  <si>
    <t>5108</t>
  </si>
  <si>
    <t>8411061081044</t>
  </si>
  <si>
    <t>THE SECRET FOR MEN EDT X 50 ml</t>
  </si>
  <si>
    <t>5109</t>
  </si>
  <si>
    <t>8411061701034</t>
  </si>
  <si>
    <t>5110</t>
  </si>
  <si>
    <t>8411061129746</t>
  </si>
  <si>
    <t>THE SECRET FOR MEN X 100 ml + DESODORANTE</t>
  </si>
  <si>
    <t>5111</t>
  </si>
  <si>
    <t>8410225561644</t>
  </si>
  <si>
    <t>GOTAS DE COLOR PINK SPRITZ EDT X 100 ml</t>
  </si>
  <si>
    <t>AGATHA  RUIZ DE LA PRADA</t>
  </si>
  <si>
    <t>5112</t>
  </si>
  <si>
    <t>3349666007921</t>
  </si>
  <si>
    <t>1 MILLION EDT X 100 ml</t>
  </si>
  <si>
    <t>RABANNE</t>
  </si>
  <si>
    <t>Semiselectivo</t>
  </si>
  <si>
    <t>5113</t>
  </si>
  <si>
    <t>3349668566372</t>
  </si>
  <si>
    <t>1 MILLION EDT X 200 ml</t>
  </si>
  <si>
    <t>5114</t>
  </si>
  <si>
    <t>3349668627240</t>
  </si>
  <si>
    <t>1 MILLION EDT X 200 ml + TUBO EDT X 10 ml</t>
  </si>
  <si>
    <t>5115</t>
  </si>
  <si>
    <t>3349668612598</t>
  </si>
  <si>
    <t>1 MILLION EDT X 50 ml</t>
  </si>
  <si>
    <t>5116</t>
  </si>
  <si>
    <t>3349668600304</t>
  </si>
  <si>
    <t>1 MILLION ELIXIR PARFUM INTENSE X 100 ml</t>
  </si>
  <si>
    <t>5117</t>
  </si>
  <si>
    <t>3349668600298</t>
  </si>
  <si>
    <t>1 MILLION ELIXIR PARFUM INTENSE X 200 ml</t>
  </si>
  <si>
    <t>5118</t>
  </si>
  <si>
    <t>3349668601073</t>
  </si>
  <si>
    <t>1 MILLION ELIXIR PARFUM INTENSE X 50 ml</t>
  </si>
  <si>
    <t>5119</t>
  </si>
  <si>
    <t>3349668630356</t>
  </si>
  <si>
    <t>1 MILLION GOLD EDP INTENSE X 100 ml</t>
  </si>
  <si>
    <t>5120</t>
  </si>
  <si>
    <t>3349668666782</t>
  </si>
  <si>
    <t>1 MILLION GOLD ELIXIR PARFUM INTENSE X 100 ml + DESODORANTE + TUBO X 10 ml</t>
  </si>
  <si>
    <t>5121</t>
  </si>
  <si>
    <t>3349668662388</t>
  </si>
  <si>
    <t>1 MILLION NIGHT ELIXIR PARFUM X 100 ml</t>
  </si>
  <si>
    <t>5122</t>
  </si>
  <si>
    <t>8411061894026</t>
  </si>
  <si>
    <t>212 WOMAN EDT X 60 ml</t>
  </si>
  <si>
    <t>5123</t>
  </si>
  <si>
    <t>8411061043868</t>
  </si>
  <si>
    <t>212 FOR MEN EDT X 100 ml</t>
  </si>
  <si>
    <t>5124</t>
  </si>
  <si>
    <t>8411061853115</t>
  </si>
  <si>
    <t>212 FOR MEN EDT X 30 ml</t>
  </si>
  <si>
    <t>5125</t>
  </si>
  <si>
    <t>8411061896259</t>
  </si>
  <si>
    <t>212 FOR MEN EDT X 50 ml</t>
  </si>
  <si>
    <t>5126</t>
  </si>
  <si>
    <t>8411061134337</t>
  </si>
  <si>
    <t>212 FOR MEN EDT X 100 ml + TUBO X 10 ml + DESODORANTE STICK</t>
  </si>
  <si>
    <t>5127</t>
  </si>
  <si>
    <t>8411061124994</t>
  </si>
  <si>
    <t>212 FOR MEN PARFUM X 100 ml</t>
  </si>
  <si>
    <t>5128</t>
  </si>
  <si>
    <t>8411061125007</t>
  </si>
  <si>
    <t>212 FOR MEN PARFUM X 50 ml</t>
  </si>
  <si>
    <t>5129</t>
  </si>
  <si>
    <t>8411061122501</t>
  </si>
  <si>
    <t>212 VIP BLACK EDP X 100 ml + TUBO EDP X 10 ml + GEL DUCHA</t>
  </si>
  <si>
    <t>5130</t>
  </si>
  <si>
    <t>8411061105016</t>
  </si>
  <si>
    <t>212 VIP BLACK ELIXIR X 100 ml</t>
  </si>
  <si>
    <t>5131</t>
  </si>
  <si>
    <t>8411061120637</t>
  </si>
  <si>
    <t>212 VIP BLACK EDP X 50 ml</t>
  </si>
  <si>
    <t>5132</t>
  </si>
  <si>
    <t>8411061105009</t>
  </si>
  <si>
    <t>212 VIP BLACK ELIXIR X 50 ml</t>
  </si>
  <si>
    <t>5133</t>
  </si>
  <si>
    <t>8411061043844</t>
  </si>
  <si>
    <t>212 VIP BLACK EDP X 100 ml</t>
  </si>
  <si>
    <t>5134</t>
  </si>
  <si>
    <t>8411061134344</t>
  </si>
  <si>
    <t>5135</t>
  </si>
  <si>
    <t>8411061120620</t>
  </si>
  <si>
    <t>212 VIP BLACK EDP X 200 ml</t>
  </si>
  <si>
    <t>5136</t>
  </si>
  <si>
    <t>8411061782347</t>
  </si>
  <si>
    <t>212 VIP FOR MEN EDT X 200 ml</t>
  </si>
  <si>
    <t>5137</t>
  </si>
  <si>
    <t>8411061088166</t>
  </si>
  <si>
    <t>212 VIP FOR MEN EDT X 100 ml</t>
  </si>
  <si>
    <t>5138</t>
  </si>
  <si>
    <t>8411061120583</t>
  </si>
  <si>
    <t>212 VIP ROSE EDP X 30 ml</t>
  </si>
  <si>
    <t>5139</t>
  </si>
  <si>
    <t>8411061106518</t>
  </si>
  <si>
    <t>212 VIP ROSE EDP X 50 ml</t>
  </si>
  <si>
    <t>5140</t>
  </si>
  <si>
    <t>8411061088197</t>
  </si>
  <si>
    <t>212 VIP ROSE EDP X 80 ml</t>
  </si>
  <si>
    <t>5141</t>
  </si>
  <si>
    <t>8411061083482</t>
  </si>
  <si>
    <t>212 VIP ROSE ELIXIR EDP X 80 ml</t>
  </si>
  <si>
    <t>5142</t>
  </si>
  <si>
    <t>8411061083505</t>
  </si>
  <si>
    <t>212 VIP ROSE ELIXIR X 30 ml</t>
  </si>
  <si>
    <t>5143</t>
  </si>
  <si>
    <t>8411061083499</t>
  </si>
  <si>
    <t>212 VIP ROSE ELIXIR X 50 ml</t>
  </si>
  <si>
    <t>5144</t>
  </si>
  <si>
    <t>8411061838778</t>
  </si>
  <si>
    <t>212 VIP ROSE EDP X 125 ml</t>
  </si>
  <si>
    <t>5145</t>
  </si>
  <si>
    <t>8411061906651</t>
  </si>
  <si>
    <t>212 WOMAN EDT 30 ml</t>
  </si>
  <si>
    <t>5146</t>
  </si>
  <si>
    <t>8411061088180</t>
  </si>
  <si>
    <t>212 WOMAN EDT X 100 ml</t>
  </si>
  <si>
    <t>5147</t>
  </si>
  <si>
    <t>8411061124840</t>
  </si>
  <si>
    <t>BAD BOY COBALT ABSOLUTE X 100 ml</t>
  </si>
  <si>
    <t>5148</t>
  </si>
  <si>
    <t>8411061124833</t>
  </si>
  <si>
    <t>BAD BOY COBALT ABSOLUTE X 50 ml</t>
  </si>
  <si>
    <t>5149</t>
  </si>
  <si>
    <t>8411061027837</t>
  </si>
  <si>
    <t>BAD BOY COBALT ELECTRIQUE EDP X 100 ml</t>
  </si>
  <si>
    <t>5150</t>
  </si>
  <si>
    <t>8411061027820</t>
  </si>
  <si>
    <t>BAD BOY COBALT ELECTRIQUE EDP X 150 ml</t>
  </si>
  <si>
    <t>5151</t>
  </si>
  <si>
    <t>8411061027813</t>
  </si>
  <si>
    <t>BAD BOY COBALT ELECTRIQUE EDP X 50 ml</t>
  </si>
  <si>
    <t>5152</t>
  </si>
  <si>
    <t>8411061083789</t>
  </si>
  <si>
    <t>BAD BOY COBALT ELIXIR EDP X 150 ml</t>
  </si>
  <si>
    <t>5153</t>
  </si>
  <si>
    <t>8411061083772</t>
  </si>
  <si>
    <t>BAD BOY COBALT ELIXIR X 100 ml</t>
  </si>
  <si>
    <t>5154</t>
  </si>
  <si>
    <t>8411061083765</t>
  </si>
  <si>
    <t>BAD BOY COBALT ELIXIR X 50 ml</t>
  </si>
  <si>
    <t>5155</t>
  </si>
  <si>
    <t>8411061923245</t>
  </si>
  <si>
    <t>BAD BOY EDT X 100 ml</t>
  </si>
  <si>
    <t>5156</t>
  </si>
  <si>
    <t>8411061982068</t>
  </si>
  <si>
    <t>BAD BOY EDT X 150 ml</t>
  </si>
  <si>
    <t>5157</t>
  </si>
  <si>
    <t>8411061099735</t>
  </si>
  <si>
    <t>BAD BOY EDT X 50 ml</t>
  </si>
  <si>
    <t>5158</t>
  </si>
  <si>
    <t>8411061106297</t>
  </si>
  <si>
    <t>BAD BOY ELIXIR EDP X 100 ml</t>
  </si>
  <si>
    <t>5159</t>
  </si>
  <si>
    <t>8411061106303</t>
  </si>
  <si>
    <t>BAD BOY ELIXIR EDP X 50 ml</t>
  </si>
  <si>
    <t>5160</t>
  </si>
  <si>
    <t>8411061934234</t>
  </si>
  <si>
    <t>CAROLINA HERRERA WOMAN EDP X 100 ml</t>
  </si>
  <si>
    <t>5161</t>
  </si>
  <si>
    <t>8411061067925</t>
  </si>
  <si>
    <t>CH FOR MEN EDT X 100 ml</t>
  </si>
  <si>
    <t>5162</t>
  </si>
  <si>
    <t>8411061067932</t>
  </si>
  <si>
    <t>CH FOR MEN EDT X 50 ml</t>
  </si>
  <si>
    <t>5163</t>
  </si>
  <si>
    <t>8411061077146</t>
  </si>
  <si>
    <t>LA BOMBA EDP X 30 ml</t>
  </si>
  <si>
    <t>5164</t>
  </si>
  <si>
    <t>8411061077153</t>
  </si>
  <si>
    <t>LA BOMBA EDP X 50 ml</t>
  </si>
  <si>
    <t>5165</t>
  </si>
  <si>
    <t>8411061077160</t>
  </si>
  <si>
    <t>LA BOMBA EDP X 80 ml</t>
  </si>
  <si>
    <t>5166</t>
  </si>
  <si>
    <t>8411061125298</t>
  </si>
  <si>
    <t>CH SWING FOR MEN EDP X 100 ml</t>
  </si>
  <si>
    <t>5167</t>
  </si>
  <si>
    <t>8411061125281</t>
  </si>
  <si>
    <t>CH SWING MUJER EDP X 100 ml</t>
  </si>
  <si>
    <t>5168</t>
  </si>
  <si>
    <t>8411061067895</t>
  </si>
  <si>
    <t>CH WOMAN EDT X 100 ml</t>
  </si>
  <si>
    <t>5169</t>
  </si>
  <si>
    <t>8411061607176</t>
  </si>
  <si>
    <t>CH WOMAN EDT X 30 ml</t>
  </si>
  <si>
    <t>5170</t>
  </si>
  <si>
    <t>8411061067901</t>
  </si>
  <si>
    <t>CH WOMAN EDT X 50 ml</t>
  </si>
  <si>
    <t>5171</t>
  </si>
  <si>
    <t>3349668630417</t>
  </si>
  <si>
    <t>FAME COUTURE EDP X 80 ml</t>
  </si>
  <si>
    <t>5172</t>
  </si>
  <si>
    <t>3349668636648</t>
  </si>
  <si>
    <t>FAME EDP X 150 ml</t>
  </si>
  <si>
    <t>5173</t>
  </si>
  <si>
    <t>3349668614004</t>
  </si>
  <si>
    <t>FAME EDP X 80 ML + TUBO X 10 ml</t>
  </si>
  <si>
    <t>5174</t>
  </si>
  <si>
    <t>3349668630127</t>
  </si>
  <si>
    <t>FAME INTENSE EDP X 30 ml</t>
  </si>
  <si>
    <t>5175</t>
  </si>
  <si>
    <t>3349668630110</t>
  </si>
  <si>
    <t>FAME INTENSE EDP X 50 ml</t>
  </si>
  <si>
    <t>5176</t>
  </si>
  <si>
    <t>3349668630448</t>
  </si>
  <si>
    <t>FAME INTENSE EDP X 80 ml</t>
  </si>
  <si>
    <t>5177</t>
  </si>
  <si>
    <t>3349668630141</t>
  </si>
  <si>
    <t>FAME INTENSE RECARGA X 200 ml</t>
  </si>
  <si>
    <t>5178</t>
  </si>
  <si>
    <t>3349668614684</t>
  </si>
  <si>
    <t>FAME PARFUM RECARGA X 200 ml</t>
  </si>
  <si>
    <t>5179</t>
  </si>
  <si>
    <t>3349668614660</t>
  </si>
  <si>
    <t>FAME PARFUM X 80 ml</t>
  </si>
  <si>
    <t>5180</t>
  </si>
  <si>
    <t>3349668614646</t>
  </si>
  <si>
    <t>FAME PARFUM X 30 ml</t>
  </si>
  <si>
    <t>5181</t>
  </si>
  <si>
    <t>3349668614653</t>
  </si>
  <si>
    <t>FAME PARFUM X 50 ml</t>
  </si>
  <si>
    <t>5182</t>
  </si>
  <si>
    <t>3349668595945</t>
  </si>
  <si>
    <t>FAME EDP RECARGA X 200 ml</t>
  </si>
  <si>
    <t>5183</t>
  </si>
  <si>
    <t>3349668594603</t>
  </si>
  <si>
    <t>FAME EDP X 30 ml</t>
  </si>
  <si>
    <t>5184</t>
  </si>
  <si>
    <t>3349668594429</t>
  </si>
  <si>
    <t>FAME EDP X 50 ml</t>
  </si>
  <si>
    <t>5185</t>
  </si>
  <si>
    <t>3349668594412</t>
  </si>
  <si>
    <t>FAME EDP X 80 ml</t>
  </si>
  <si>
    <t>5186</t>
  </si>
  <si>
    <t>8435415105316</t>
  </si>
  <si>
    <t>GAULTIER DIVINE ELIXIR PARFUM X 100 ml</t>
  </si>
  <si>
    <t>5187</t>
  </si>
  <si>
    <t>8435415105293</t>
  </si>
  <si>
    <t>GAULTIER DIVINE ELIXIR PARFUM X 30 ml</t>
  </si>
  <si>
    <t>5188</t>
  </si>
  <si>
    <t>8435415105309</t>
  </si>
  <si>
    <t>GAULTIER DIVINE ELIXIR PARFUM X 50 ml</t>
  </si>
  <si>
    <t>5189</t>
  </si>
  <si>
    <t>8411061056776</t>
  </si>
  <si>
    <t>GOOD GIRL BLUSH EDP X 30 ml</t>
  </si>
  <si>
    <t>5190</t>
  </si>
  <si>
    <t>8411061056769</t>
  </si>
  <si>
    <t>GOOD GIRL BLUSH EDP X 50 ml</t>
  </si>
  <si>
    <t>5191</t>
  </si>
  <si>
    <t>8411061056752</t>
  </si>
  <si>
    <t>GOOD GIRL BLUSH EDP X 80</t>
  </si>
  <si>
    <t>5192</t>
  </si>
  <si>
    <t>8411061083673</t>
  </si>
  <si>
    <t>GOOD GIRL BLUSH ELIXIR EDP X 30 ml</t>
  </si>
  <si>
    <t>5193</t>
  </si>
  <si>
    <t>8411061083666</t>
  </si>
  <si>
    <t>GOOD GIRL BLUSH ELIXIR EDP X 50 ml</t>
  </si>
  <si>
    <t>5194</t>
  </si>
  <si>
    <t>8411061083659</t>
  </si>
  <si>
    <t>GOOD GIRL BLUSH ELIXIR EDP X 80 ml</t>
  </si>
  <si>
    <t>5195</t>
  </si>
  <si>
    <t>8411061092637</t>
  </si>
  <si>
    <t>GOOD GIRL BLUSH ELIXIR EDP X 80 ml + BODY LOTION</t>
  </si>
  <si>
    <t>5196</t>
  </si>
  <si>
    <t>8411061097922</t>
  </si>
  <si>
    <t>GOOD GIRL BLUSH EDP X 150 ml</t>
  </si>
  <si>
    <t>5197</t>
  </si>
  <si>
    <t>8411061026335</t>
  </si>
  <si>
    <t>GOOD GIRL EDP X 150 ml</t>
  </si>
  <si>
    <t>5198</t>
  </si>
  <si>
    <t>8411061041673</t>
  </si>
  <si>
    <t>GOOD GIRL EDP X 30 ml</t>
  </si>
  <si>
    <t>5199</t>
  </si>
  <si>
    <t>8411061026250</t>
  </si>
  <si>
    <t>GOOD GIRL EDP X 50 ml</t>
  </si>
  <si>
    <t>5200</t>
  </si>
  <si>
    <t>8411061026342</t>
  </si>
  <si>
    <t>GOOD GIRL EDP X 80 ml</t>
  </si>
  <si>
    <t>5201</t>
  </si>
  <si>
    <t>8411061106204</t>
  </si>
  <si>
    <t>GOOD GIRL VERY ELIXIR EDP X 30 ml</t>
  </si>
  <si>
    <t>5202</t>
  </si>
  <si>
    <t>8411061106211</t>
  </si>
  <si>
    <t>GOOD GIRL VERY ELIXIR EDP X 50 ml</t>
  </si>
  <si>
    <t>5203</t>
  </si>
  <si>
    <t>8411061106228</t>
  </si>
  <si>
    <t>GOOD GIRL VERY ELIXIR EDP X 80 ml</t>
  </si>
  <si>
    <t>5204</t>
  </si>
  <si>
    <t>8411061081600</t>
  </si>
  <si>
    <t>HERRERA FOR MEN EDT X 100 ml</t>
  </si>
  <si>
    <t>5205</t>
  </si>
  <si>
    <t>3349668515660</t>
  </si>
  <si>
    <t>INVICTUS EDT X 100 ml</t>
  </si>
  <si>
    <t>5206</t>
  </si>
  <si>
    <t>3349668589678</t>
  </si>
  <si>
    <t>INVICTUS EDT X 200 ml</t>
  </si>
  <si>
    <t>5207</t>
  </si>
  <si>
    <t>3349668515653</t>
  </si>
  <si>
    <t>INVICTUS EDT X 50 ml</t>
  </si>
  <si>
    <t>5208</t>
  </si>
  <si>
    <t>3349668664733</t>
  </si>
  <si>
    <t>INVICTUS ELIXIR PARFUM X 100 ml</t>
  </si>
  <si>
    <t>5209</t>
  </si>
  <si>
    <t>3349668627530</t>
  </si>
  <si>
    <t>INVICTUS PARFUM X 100 ml</t>
  </si>
  <si>
    <t>5210</t>
  </si>
  <si>
    <t>3349668627547</t>
  </si>
  <si>
    <t>INVICTUS PARFUM X 200 ml</t>
  </si>
  <si>
    <t>5211</t>
  </si>
  <si>
    <t>3349668627523</t>
  </si>
  <si>
    <t>INVICTUS PARFUM X 50 ml</t>
  </si>
  <si>
    <t>5212</t>
  </si>
  <si>
    <t>3349668592388</t>
  </si>
  <si>
    <t>INVICTUS VICTORY EDP EXTREME X 200 ml</t>
  </si>
  <si>
    <t>5213</t>
  </si>
  <si>
    <t>3349668588732</t>
  </si>
  <si>
    <t>INVICTUS VICTORY EDP EXTREME X 100 ml</t>
  </si>
  <si>
    <t>5214</t>
  </si>
  <si>
    <t>3349668588749</t>
  </si>
  <si>
    <t>INVICTUS VICTORY EDP EXTREME X 50 ml</t>
  </si>
  <si>
    <t>5215</t>
  </si>
  <si>
    <t>3349668614530</t>
  </si>
  <si>
    <t>INVICTUS VICTORY ELIXIR PARFUM X 200 ml</t>
  </si>
  <si>
    <t>5216</t>
  </si>
  <si>
    <t>3349668614523</t>
  </si>
  <si>
    <t>INVICTUS VICTORY ELIXIR PARFUM X 100 ml</t>
  </si>
  <si>
    <t>5217</t>
  </si>
  <si>
    <t>3349668666850</t>
  </si>
  <si>
    <t>INVICTUS VICTORY ELIXIR PARFUM X 100 ml + TUBO X 10 ml + DESODORANTE</t>
  </si>
  <si>
    <t>5218</t>
  </si>
  <si>
    <t>3349668614516</t>
  </si>
  <si>
    <t>INVICTUS VICTORY ELIXIR PARFUM X 50 ml</t>
  </si>
  <si>
    <t>5219</t>
  </si>
  <si>
    <t>8435415116565</t>
  </si>
  <si>
    <t>LE MALE ELIXIR ABSOLU PARFUM INTENSE X 125 ml + GEL DUCHA</t>
  </si>
  <si>
    <t>5220</t>
  </si>
  <si>
    <t>8435415116572</t>
  </si>
  <si>
    <t>LE MALE ELIXIR PARFUM X 125 ml + GEL DUCHA</t>
  </si>
  <si>
    <t>5221</t>
  </si>
  <si>
    <t>8435415113168</t>
  </si>
  <si>
    <t>LE MALE ELIXIR PARFUM X 125 ml + TUBO X 10 ml + GEL DUCHA</t>
  </si>
  <si>
    <t>5222</t>
  </si>
  <si>
    <t>8435415113175</t>
  </si>
  <si>
    <t>LE MALE ELIXIR PARFUM X 200 ml + TUBO X 10 ml</t>
  </si>
  <si>
    <t>5223</t>
  </si>
  <si>
    <t>8435415100496</t>
  </si>
  <si>
    <t>SCANDAL WOMAN EDP X 50 ml</t>
  </si>
  <si>
    <t>5224</t>
  </si>
  <si>
    <t>8435415113250</t>
  </si>
  <si>
    <t>SCANDAL POUR HOMME EDT X 100 ml + TUBO X 10 ml + GEL DUCHA</t>
  </si>
  <si>
    <t>5225</t>
  </si>
  <si>
    <t>8435415102728</t>
  </si>
  <si>
    <t>SCANDAL POUR HOMME EDP INTENSE X 100 ml</t>
  </si>
  <si>
    <t>5226</t>
  </si>
  <si>
    <t>8435415102711</t>
  </si>
  <si>
    <t>SCANDAL POUR HOMME EDP INTENSE X 50 ml</t>
  </si>
  <si>
    <t>5227</t>
  </si>
  <si>
    <t>8435415102681</t>
  </si>
  <si>
    <t>SCANDAL WOMAN EDP INTENSE X 30 ml</t>
  </si>
  <si>
    <t>5228</t>
  </si>
  <si>
    <t>8435415102698</t>
  </si>
  <si>
    <t>SCANDAL WOMAN EDP INTENSE X 50 ml</t>
  </si>
  <si>
    <t>5229</t>
  </si>
  <si>
    <t>8435415102704</t>
  </si>
  <si>
    <t>SCANDAL WOMAN EDP INTENSE X 80 ml</t>
  </si>
  <si>
    <t>5230</t>
  </si>
  <si>
    <t>8435415076838</t>
  </si>
  <si>
    <t>DIVINE EDP X 100 ml</t>
  </si>
  <si>
    <t>5231</t>
  </si>
  <si>
    <t>8435415077576</t>
  </si>
  <si>
    <t>DIVINE EDP X 100 ml + TUBO X 10 ml RECARGABLE</t>
  </si>
  <si>
    <t>5232</t>
  </si>
  <si>
    <t>8435415082686</t>
  </si>
  <si>
    <t>DIVINE EDP X 200 ml RECARGA</t>
  </si>
  <si>
    <t>5233</t>
  </si>
  <si>
    <t>8435415076814</t>
  </si>
  <si>
    <t>DIVINE EDP X 30 ml</t>
  </si>
  <si>
    <t>5234</t>
  </si>
  <si>
    <t>8435415091169</t>
  </si>
  <si>
    <t>DIVINE LE PARFUM X 100 ml</t>
  </si>
  <si>
    <t>5235</t>
  </si>
  <si>
    <t>8435415091145</t>
  </si>
  <si>
    <t>DIVINE LE PARFUM X 30 ml</t>
  </si>
  <si>
    <t>5236</t>
  </si>
  <si>
    <t>8435415091152</t>
  </si>
  <si>
    <t>DIVINE LE PARFUM X 50 ml</t>
  </si>
  <si>
    <t>5237</t>
  </si>
  <si>
    <t>8435415102483</t>
  </si>
  <si>
    <t>LA BELLE FLOWER EDITION EDP X 100 ml</t>
  </si>
  <si>
    <t>5238</t>
  </si>
  <si>
    <t>8435415091251</t>
  </si>
  <si>
    <t>LA BELLE PARADISE GARDEN EDP X 100 ml</t>
  </si>
  <si>
    <t>5239</t>
  </si>
  <si>
    <t>8435415091268</t>
  </si>
  <si>
    <t>LA BELLE PARADISE GARDEN EDP X 50 ml</t>
  </si>
  <si>
    <t>5240</t>
  </si>
  <si>
    <t>8435415091190</t>
  </si>
  <si>
    <t>LA BELLE PARADISE GARDEN X 30 ml</t>
  </si>
  <si>
    <t>5241</t>
  </si>
  <si>
    <t>8435415115025</t>
  </si>
  <si>
    <t>LA BELLE ROSEA EDP X 100 ml</t>
  </si>
  <si>
    <t>5242</t>
  </si>
  <si>
    <t>8435415062190</t>
  </si>
  <si>
    <t>LE BEAU LE PARFUM EDP INTENSE X 125 ml</t>
  </si>
  <si>
    <t>5243</t>
  </si>
  <si>
    <t>8435415062213</t>
  </si>
  <si>
    <t>LE BEAU LE PARFUM EDP INTENSE X 75 ml</t>
  </si>
  <si>
    <t>5244</t>
  </si>
  <si>
    <t>8435415102537</t>
  </si>
  <si>
    <t>LE BEAU FLOWER EDITION EDP X 125 ml</t>
  </si>
  <si>
    <t>5245</t>
  </si>
  <si>
    <t>8435415091275</t>
  </si>
  <si>
    <t>LE BEAU PARADISE GARDEN EDP X 125 ml</t>
  </si>
  <si>
    <t>5246</t>
  </si>
  <si>
    <t>8435415091244</t>
  </si>
  <si>
    <t>LE BEAU PARADISE GARDEN EDP X 75 ml</t>
  </si>
  <si>
    <t>5247</t>
  </si>
  <si>
    <t>8435415017206</t>
  </si>
  <si>
    <t>LE BEAU EDT X 125 ml</t>
  </si>
  <si>
    <t>5248</t>
  </si>
  <si>
    <t>8435415102346</t>
  </si>
  <si>
    <t>LE MALE ELIXIR ABSOLU PARFUM INTENSE X 125 ml</t>
  </si>
  <si>
    <t>5249</t>
  </si>
  <si>
    <t>8435415102339</t>
  </si>
  <si>
    <t>LE MALE ELIXIR ABSOLU PARFUM INTENSE X 75 ml</t>
  </si>
  <si>
    <t>5250</t>
  </si>
  <si>
    <t>8435415076944</t>
  </si>
  <si>
    <t>LE MALE ELIXIR PARFUM X 125 ml</t>
  </si>
  <si>
    <t>5251</t>
  </si>
  <si>
    <t>8435415076906</t>
  </si>
  <si>
    <t>LE MALE ELIXIR PARFUM X 200 ml</t>
  </si>
  <si>
    <t>5252</t>
  </si>
  <si>
    <t>8435415076937</t>
  </si>
  <si>
    <t>LE MALE ELIXIR PARFUM X 75 ml</t>
  </si>
  <si>
    <t>5253</t>
  </si>
  <si>
    <t>8435415114363</t>
  </si>
  <si>
    <t>LE MALE IN BLUE EDP X 125 ml</t>
  </si>
  <si>
    <t>5254</t>
  </si>
  <si>
    <t>8435415032315</t>
  </si>
  <si>
    <t>LE MALE LE PARFUM INTENSE EDP X 125 ml</t>
  </si>
  <si>
    <t>5255</t>
  </si>
  <si>
    <t>8435415103107</t>
  </si>
  <si>
    <t>LE MALE EDT X 125 ml + GEL DUCHA</t>
  </si>
  <si>
    <t>5256</t>
  </si>
  <si>
    <t>8435415012669</t>
  </si>
  <si>
    <t>LE MALE EDT X 125 ml</t>
  </si>
  <si>
    <t>5257</t>
  </si>
  <si>
    <t>8435415012638</t>
  </si>
  <si>
    <t>LE MALE EDT X 75 ml</t>
  </si>
  <si>
    <t>5258</t>
  </si>
  <si>
    <t>8435415059084</t>
  </si>
  <si>
    <t>SCANDAL WOMAN EDP X 30 ml</t>
  </si>
  <si>
    <t>5259</t>
  </si>
  <si>
    <t>8435415050777</t>
  </si>
  <si>
    <t>SCANDAL WOMAN LE PARFUM X 30 ml</t>
  </si>
  <si>
    <t>5260</t>
  </si>
  <si>
    <t>8435415050760</t>
  </si>
  <si>
    <t>SCANDAL WOMAN LE PARFUM X 80 ml</t>
  </si>
  <si>
    <t>5261</t>
  </si>
  <si>
    <t>8435415011341</t>
  </si>
  <si>
    <t>CLASIQUE EDT X 100 ml</t>
  </si>
  <si>
    <t>5262</t>
  </si>
  <si>
    <t>8435415011310</t>
  </si>
  <si>
    <t>CLASIQUE EDT X 50 ml</t>
  </si>
  <si>
    <t>5263</t>
  </si>
  <si>
    <t>8435415049542</t>
  </si>
  <si>
    <t>LA BELLE LE PARFUM INTENSE EDP X 100 ml</t>
  </si>
  <si>
    <t>5264</t>
  </si>
  <si>
    <t>8435415049436</t>
  </si>
  <si>
    <t>LA BELLE LE PARFUM INTENSE EDP X 30 ml</t>
  </si>
  <si>
    <t>5265</t>
  </si>
  <si>
    <t>8435415049405</t>
  </si>
  <si>
    <t>LA BELLE LE PARFUM INTENSE EDP X 50 ml</t>
  </si>
  <si>
    <t>5266</t>
  </si>
  <si>
    <t>8435415017244</t>
  </si>
  <si>
    <t>LA BELLE EDP X 100 ml</t>
  </si>
  <si>
    <t>5267</t>
  </si>
  <si>
    <t>8435415017237</t>
  </si>
  <si>
    <t>LA BELLE EDP X 30 ml</t>
  </si>
  <si>
    <t>5268</t>
  </si>
  <si>
    <t>8435415017213</t>
  </si>
  <si>
    <t>LA BELLE EDP X 50 ml</t>
  </si>
  <si>
    <t>5269</t>
  </si>
  <si>
    <t>8435415116497</t>
  </si>
  <si>
    <t>SCANDAL POUR HOMME INTENSE EDP X 100 ml + TUBO X 10 ml</t>
  </si>
  <si>
    <t>5270</t>
  </si>
  <si>
    <t>8435415116503</t>
  </si>
  <si>
    <t>5271</t>
  </si>
  <si>
    <t>3349668612611</t>
  </si>
  <si>
    <t>LADY MILLION EDP X 30 ml</t>
  </si>
  <si>
    <t>5272</t>
  </si>
  <si>
    <t>3349668612604</t>
  </si>
  <si>
    <t>LADY MILLION EDP X 50 ml</t>
  </si>
  <si>
    <t>5273</t>
  </si>
  <si>
    <t>3349668508587</t>
  </si>
  <si>
    <t>LADY MILLION EDP X 80 ml</t>
  </si>
  <si>
    <t>5274</t>
  </si>
  <si>
    <t>8435415012690</t>
  </si>
  <si>
    <t>LE MALE EDT X 200 ml</t>
  </si>
  <si>
    <t>5275</t>
  </si>
  <si>
    <t>3349668630349</t>
  </si>
  <si>
    <t>MILLION GOLD FOR MEN EDP INTENSE X 100 ml</t>
  </si>
  <si>
    <t>5276</t>
  </si>
  <si>
    <t>3349668630332</t>
  </si>
  <si>
    <t>MILLION GOLD FOR MEN EDP INTENSE X 50 ml</t>
  </si>
  <si>
    <t>5277</t>
  </si>
  <si>
    <t>3349668630240</t>
  </si>
  <si>
    <t>MILLION GOLD WOMAN EDP X 30 ml</t>
  </si>
  <si>
    <t>5278</t>
  </si>
  <si>
    <t>3349668630257</t>
  </si>
  <si>
    <t>MILLION GOLD WOMAN EDP X 50 ml</t>
  </si>
  <si>
    <t>5279</t>
  </si>
  <si>
    <t>3349668630264</t>
  </si>
  <si>
    <t>MILLION GOLD WOMAN EDP X 90.ml</t>
  </si>
  <si>
    <t>5280</t>
  </si>
  <si>
    <t>3349668644933</t>
  </si>
  <si>
    <t>MILLION GOLD FOR MEN ELIXIR PARFUM INTENSE X 100 ml</t>
  </si>
  <si>
    <t>5281</t>
  </si>
  <si>
    <t>3349668644957</t>
  </si>
  <si>
    <t>MILLION GOLD FOR MEN ELIXIR PARFUM INTENSE X 50 ml</t>
  </si>
  <si>
    <t>5282</t>
  </si>
  <si>
    <t>3137370357636</t>
  </si>
  <si>
    <t>NINA EDT X 30 ml</t>
  </si>
  <si>
    <t>5283</t>
  </si>
  <si>
    <t>3137370357667</t>
  </si>
  <si>
    <t>NINA EDT X 50 ml</t>
  </si>
  <si>
    <t>5284</t>
  </si>
  <si>
    <t>3137370357476</t>
  </si>
  <si>
    <t>NINA EDT X 80 ml</t>
  </si>
  <si>
    <t>5285</t>
  </si>
  <si>
    <t>3137370361343</t>
  </si>
  <si>
    <t>NINA ILLUSION EDP X 30 ml</t>
  </si>
  <si>
    <t>5286</t>
  </si>
  <si>
    <t>3137370361121</t>
  </si>
  <si>
    <t>NINA ILLUSION EDP X 50 ml</t>
  </si>
  <si>
    <t>5287</t>
  </si>
  <si>
    <t>3137370361336</t>
  </si>
  <si>
    <t>NINA ILLUSION EDP X 80 ml</t>
  </si>
  <si>
    <t>5288</t>
  </si>
  <si>
    <t>3137370359500</t>
  </si>
  <si>
    <t>NINA LE PARFUM EDP X 30 ml</t>
  </si>
  <si>
    <t>5289</t>
  </si>
  <si>
    <t>3137370359494</t>
  </si>
  <si>
    <t>NINA LE PARFUM EDP X 80 ml</t>
  </si>
  <si>
    <t>5290</t>
  </si>
  <si>
    <t>3137370364214</t>
  </si>
  <si>
    <t>VENUS EDP INTENSO X 30 ml</t>
  </si>
  <si>
    <t>5291</t>
  </si>
  <si>
    <t>3137370364207</t>
  </si>
  <si>
    <t>VENUS EDP INTENSO X 50 ml</t>
  </si>
  <si>
    <t>5292</t>
  </si>
  <si>
    <t>3137370364191</t>
  </si>
  <si>
    <t>VENUS EDP INTENSO X 80 ml</t>
  </si>
  <si>
    <t>5293</t>
  </si>
  <si>
    <t>3137370360933</t>
  </si>
  <si>
    <t>VENUS EDP X 50 ml</t>
  </si>
  <si>
    <t>5294</t>
  </si>
  <si>
    <t>3137370360926</t>
  </si>
  <si>
    <t>VENUS EDP X 80 ml</t>
  </si>
  <si>
    <t>5295</t>
  </si>
  <si>
    <t>3137370360940</t>
  </si>
  <si>
    <t>VENUS EDP X 30 ml</t>
  </si>
  <si>
    <t>5296</t>
  </si>
  <si>
    <t>3137370363125</t>
  </si>
  <si>
    <t>NINA ROUGE CRUSH EDP X 30</t>
  </si>
  <si>
    <t>5297</t>
  </si>
  <si>
    <t>3137370363149</t>
  </si>
  <si>
    <t>NINA ROUGE CRUSH EDP X 50</t>
  </si>
  <si>
    <t>5298</t>
  </si>
  <si>
    <t>3137370363156</t>
  </si>
  <si>
    <t>NINA ROUGE CRUSH EDP X 80</t>
  </si>
  <si>
    <t>5299</t>
  </si>
  <si>
    <t>3349668662937</t>
  </si>
  <si>
    <t>OLYMPEA ELIXIR EDP INTENSE X 80 ml</t>
  </si>
  <si>
    <t>5300</t>
  </si>
  <si>
    <t>3349668613427</t>
  </si>
  <si>
    <t>OLYMPEA EDP X 30 ml</t>
  </si>
  <si>
    <t>5301</t>
  </si>
  <si>
    <t>3349668568093</t>
  </si>
  <si>
    <t>OLYMPEA EDP X 50 ml</t>
  </si>
  <si>
    <t>5302</t>
  </si>
  <si>
    <t>3349668612635</t>
  </si>
  <si>
    <t>OLYMPEA EDP X 80 ml</t>
  </si>
  <si>
    <t>5303</t>
  </si>
  <si>
    <t>3349668627486</t>
  </si>
  <si>
    <t>OLYMPEA PARFUM X 30 ml</t>
  </si>
  <si>
    <t>5304</t>
  </si>
  <si>
    <t>3349668627462</t>
  </si>
  <si>
    <t>OLYMPEA PARFUM X 50 ml</t>
  </si>
  <si>
    <t>5305</t>
  </si>
  <si>
    <t>3349668627479</t>
  </si>
  <si>
    <t>OLYMPEA PARFUM X 80 ml</t>
  </si>
  <si>
    <t>5306</t>
  </si>
  <si>
    <t>3349668599424</t>
  </si>
  <si>
    <t>OLYMPEA SOLAR EDP INTENSE X 30 ml</t>
  </si>
  <si>
    <t>5307</t>
  </si>
  <si>
    <t>3349668599417</t>
  </si>
  <si>
    <t>OLYMPEA SOLAR EDP INTENSE X 80 ml</t>
  </si>
  <si>
    <t>5308</t>
  </si>
  <si>
    <t>3349668614455</t>
  </si>
  <si>
    <t>OLYMPEA FLORA EDP INTENSE X 30 ml</t>
  </si>
  <si>
    <t>5309</t>
  </si>
  <si>
    <t>3349668614462</t>
  </si>
  <si>
    <t>OLYMPEA FLORA EDP INTENSE X 50 ml</t>
  </si>
  <si>
    <t>5310</t>
  </si>
  <si>
    <t>3349668614479</t>
  </si>
  <si>
    <t>OLYMPEA FLORA EDP INTENSE X 80 ml</t>
  </si>
  <si>
    <t>5311</t>
  </si>
  <si>
    <t>3349668021345</t>
  </si>
  <si>
    <t>PACO RABANNE POUR HOMME EDT X 100 ml</t>
  </si>
  <si>
    <t>5312</t>
  </si>
  <si>
    <t>3349668630059</t>
  </si>
  <si>
    <t>PHANTOM EDP INTENSE X 200 ml RECARGA</t>
  </si>
  <si>
    <t>5313</t>
  </si>
  <si>
    <t>3349668630042</t>
  </si>
  <si>
    <t>PHANTOM EDP INTENSE X 150 ml</t>
  </si>
  <si>
    <t>5314</t>
  </si>
  <si>
    <t>3349668630028</t>
  </si>
  <si>
    <t>PHANTOM EDP INTENSE X 50 ml</t>
  </si>
  <si>
    <t>5315</t>
  </si>
  <si>
    <t>3349668630035</t>
  </si>
  <si>
    <t>PHANTOM EDP INTENSE X 100 ml</t>
  </si>
  <si>
    <t>5316</t>
  </si>
  <si>
    <t>3349668582297</t>
  </si>
  <si>
    <t>PHANTOM EDT X 100 ml</t>
  </si>
  <si>
    <t>5317</t>
  </si>
  <si>
    <t>3349668596348</t>
  </si>
  <si>
    <t>PHANTOM EDT X 150 ml</t>
  </si>
  <si>
    <t>5318</t>
  </si>
  <si>
    <t>3349668596355</t>
  </si>
  <si>
    <t>PHANTOM EDT X 200 ml RECARGA</t>
  </si>
  <si>
    <t>5319</t>
  </si>
  <si>
    <t>3349668582365</t>
  </si>
  <si>
    <t>PHANTOM EDT X 50 ml</t>
  </si>
  <si>
    <t>5320</t>
  </si>
  <si>
    <t>3349668644049</t>
  </si>
  <si>
    <t>PHANTOM ELIXIR PARFUM X 100 ml</t>
  </si>
  <si>
    <t>5321</t>
  </si>
  <si>
    <t>3349668644063</t>
  </si>
  <si>
    <t>PHANTOM ELIXIR PARFUM X 50 ml</t>
  </si>
  <si>
    <t>5322</t>
  </si>
  <si>
    <t>3349668661916</t>
  </si>
  <si>
    <t>PHANTOM IN RED PARFUM ELIXIR X 50 ml</t>
  </si>
  <si>
    <t>5323</t>
  </si>
  <si>
    <t>3349668623440</t>
  </si>
  <si>
    <t>PHANTOM EDT X 100 ml + TUBO X 10 ml + DESODORANTE</t>
  </si>
  <si>
    <t>5324</t>
  </si>
  <si>
    <t>3349668614615</t>
  </si>
  <si>
    <t>PHANTOM PARFUM X 200 ml RECARGA</t>
  </si>
  <si>
    <t>5325</t>
  </si>
  <si>
    <t>3349668614592</t>
  </si>
  <si>
    <t>PHANTOM PARFUM X 100 ml</t>
  </si>
  <si>
    <t>5326</t>
  </si>
  <si>
    <t>3349668666911</t>
  </si>
  <si>
    <t>PHANTOM PARFUM X 100 + TUBO X 10 ml + DESODORANTE</t>
  </si>
  <si>
    <t>5327</t>
  </si>
  <si>
    <t>3349668614608</t>
  </si>
  <si>
    <t>PHANTOM PARFUM X 150 ml</t>
  </si>
  <si>
    <t>5328</t>
  </si>
  <si>
    <t>3349668614585</t>
  </si>
  <si>
    <t>PHANTOM PARFUM X 50 ml</t>
  </si>
  <si>
    <t>5329</t>
  </si>
  <si>
    <t>3349668661640</t>
  </si>
  <si>
    <t>PHANTOM IN RED PARFUM ELIXIR X 100 ml</t>
  </si>
  <si>
    <t>5330</t>
  </si>
  <si>
    <t>3349668666829</t>
  </si>
  <si>
    <t>INVICTUS EDT X 100 ml + DESODORANTE + TUBO X 10 ml</t>
  </si>
  <si>
    <t>5331</t>
  </si>
  <si>
    <t>3349668666874</t>
  </si>
  <si>
    <t>INVICTUS VICTORY ABSOLU X 100 ml + DESODORANTE + TUBO X 10 ml</t>
  </si>
  <si>
    <t>5332</t>
  </si>
  <si>
    <t>8435415080385</t>
  </si>
  <si>
    <t>SCANDAL ABSOLU POUR HOMME PARFUM X 100 ml</t>
  </si>
  <si>
    <t>5333</t>
  </si>
  <si>
    <t>8435415080378</t>
  </si>
  <si>
    <t>SCANDAL ABSOLU POUR HOMME PARFUM X 50 ml</t>
  </si>
  <si>
    <t>5334</t>
  </si>
  <si>
    <t>8435415080392</t>
  </si>
  <si>
    <t>SCANDAL ABSOLU POUR HOMME PARFUM X 150 ml</t>
  </si>
  <si>
    <t>5335</t>
  </si>
  <si>
    <t>8435415080408</t>
  </si>
  <si>
    <t>SCANDAL ABSOLU WOMAN PARFUM X 30 ml</t>
  </si>
  <si>
    <t>5336</t>
  </si>
  <si>
    <t>8435415080415</t>
  </si>
  <si>
    <t>SCANDAL ABSOLU WOMAN PARFUM X 50 ml</t>
  </si>
  <si>
    <t>5337</t>
  </si>
  <si>
    <t>8435415080422</t>
  </si>
  <si>
    <t>SCANDAL ABSOLU WOMAN PARFUM X 80 ml</t>
  </si>
  <si>
    <t>5338</t>
  </si>
  <si>
    <t>8435415055956</t>
  </si>
  <si>
    <t>SCANDAL POUR HOMME EDT X 200 ml RECARGA</t>
  </si>
  <si>
    <t>5339</t>
  </si>
  <si>
    <t>8435415030885</t>
  </si>
  <si>
    <t>SCANDAL POUR HOMME EDT X 100 ml</t>
  </si>
  <si>
    <t>5340</t>
  </si>
  <si>
    <t>8435415055963</t>
  </si>
  <si>
    <t>SCANDAL POUR HOMME EDT X 150 ml</t>
  </si>
  <si>
    <t>5341</t>
  </si>
  <si>
    <t>8435415030908</t>
  </si>
  <si>
    <t>SCANDAL POUR HOMME EDT X 50 ml</t>
  </si>
  <si>
    <t>5342</t>
  </si>
  <si>
    <t>8435415065191</t>
  </si>
  <si>
    <t>SCANDAL POUR HOMME LE PARFUM X 100 ml</t>
  </si>
  <si>
    <t>5343</t>
  </si>
  <si>
    <t>8435415064637</t>
  </si>
  <si>
    <t>SCANDAL POUR HOMME LE PARFUM X 200 ml RECARGA</t>
  </si>
  <si>
    <t>5344</t>
  </si>
  <si>
    <t>8435415065207</t>
  </si>
  <si>
    <t>SCANDAL POUR HOMME LE PARFUM X 50 ml</t>
  </si>
  <si>
    <t>5345</t>
  </si>
  <si>
    <t>8435415059060</t>
  </si>
  <si>
    <t>SCANDALL WOMAN EDP X 80 ml</t>
  </si>
  <si>
    <t>5346</t>
  </si>
  <si>
    <t>3349668576111</t>
  </si>
  <si>
    <t>XS BLACK POUR HOMME EDT X 100 ml</t>
  </si>
  <si>
    <t>5347</t>
  </si>
  <si>
    <t>3349668555062</t>
  </si>
  <si>
    <t>XS BLACK WOMAN EDP X 80 ml</t>
  </si>
  <si>
    <t>5348</t>
  </si>
  <si>
    <t>3349668545636</t>
  </si>
  <si>
    <t>XS PURE WOMAN EDP X 80 ml</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</si>
  <si>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</si>
  <si>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</si>
  <si>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</si>
  <si>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</si>
  <si>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</si>
  <si>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</si>
  <si>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</si>
  <si>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</si>
  <si>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</si>
  <si>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</si>
  <si>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</si>
  <si>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</si>
  <si>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</si>
  <si>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</si>
  <si>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</si>
  <si>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</si>
  <si>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</si>
  <si>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</si>
  <si>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</si>
  <si>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</si>
  <si>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</si>
  <si>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</si>
  <si>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</si>
  <si>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</si>
  <si>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</si>
  <si>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</si>
  <si>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</si>
  <si>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</si>
  <si>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</si>
  <si>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</si>
  <si>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</si>
  <si>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</si>
  <si>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</si>
  <si>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</si>
  <si>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</si>
  <si>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</si>
  <si>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</si>
  <si>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</si>
  <si>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</si>
  <si>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</si>
  <si>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</si>
  <si>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</si>
  <si>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</si>
  <si>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</si>
  <si>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</si>
  <si>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</si>
  <si>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</si>
  <si>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</si>
  <si>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</si>
  <si>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13924</t>
  </si>
  <si>
    <t>13925</t>
  </si>
  <si>
    <t>13926</t>
  </si>
  <si>
    <t>10 ml</t>
  </si>
  <si>
    <t>13927</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</si>
  <si>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</si>
  <si>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</si>
  <si>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</si>
  <si>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</si>
  <si>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</si>
  <si>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</si>
  <si>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</si>
  <si>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</si>
  <si>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</si>
  <si>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</si>
  <si>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</si>
  <si>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</si>
  <si>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</si>
  <si>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</si>
  <si>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</si>
  <si>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</si>
  <si>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</si>
  <si>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</si>
  <si>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</si>
  <si>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</si>
  <si>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</si>
  <si>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</si>
  <si>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</si>
  <si>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</si>
  <si>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</si>
  <si>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</si>
  <si>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</si>
  <si>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</si>
  <si>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</si>
  <si>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</si>
  <si>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</si>
  <si>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</si>
  <si>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</si>
  <si>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</si>
  <si>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</si>
  <si>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</si>
  <si>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</si>
  <si>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</si>
  <si>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</si>
  <si>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</si>
  <si>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</si>
  <si>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</si>
  <si>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</si>
  <si>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</si>
  <si>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</si>
  <si>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</si>
  <si>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</si>
  <si>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</si>
  <si>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</si>
  <si>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</si>
  <si>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</si>
  <si>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</si>
  <si>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</si>
  <si>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</si>
  <si>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</si>
  <si>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</si>
  <si>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</si>
  <si>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</si>
  <si>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13966</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</si>
  <si>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</si>
  <si>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</si>
  <si>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</si>
  <si>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</si>
  <si>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</si>
  <si>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</si>
  <si>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</si>
  <si>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</si>
  <si>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</si>
  <si>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</si>
  <si>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</si>
  <si>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</si>
  <si>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</si>
  <si>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</si>
  <si>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</si>
  <si>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</si>
  <si>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</si>
  <si>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</si>
  <si>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</si>
  <si>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</si>
  <si>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</si>
  <si>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</si>
  <si>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</si>
  <si>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</si>
  <si>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</si>
  <si>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</si>
  <si>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</si>
  <si>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</si>
  <si>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</si>
  <si>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</si>
  <si>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</si>
  <si>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</si>
  <si>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13989</t>
  </si>
  <si>
    <t>13990</t>
  </si>
  <si>
    <t>13991</t>
  </si>
  <si>
    <t>13992</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</si>
  <si>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</si>
  <si>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</si>
  <si>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</si>
  <si>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</si>
  <si>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</si>
  <si>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</si>
  <si>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</si>
  <si>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</si>
  <si>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</si>
  <si>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</si>
  <si>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</si>
  <si>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</si>
  <si>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</si>
  <si>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</si>
  <si>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</si>
  <si>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</si>
  <si>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</si>
  <si>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</si>
  <si>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</si>
  <si>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</si>
  <si>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</si>
  <si>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</si>
  <si>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</si>
  <si>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</si>
  <si>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</si>
  <si>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</si>
  <si>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</si>
  <si>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</si>
  <si>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</si>
  <si>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</si>
  <si>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</si>
  <si>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</si>
  <si>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</si>
  <si>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</si>
  <si>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</si>
  <si>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</si>
  <si>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</si>
  <si>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</si>
  <si>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</si>
  <si>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</si>
  <si>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</si>
  <si>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</si>
  <si>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</si>
  <si>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</si>
  <si>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</si>
  <si>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</si>
  <si>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</si>
  <si>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</si>
  <si>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</si>
  <si>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</si>
  <si>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</si>
  <si>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</si>
  <si>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</si>
  <si>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</si>
  <si>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</si>
  <si>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</si>
  <si>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</si>
  <si>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</si>
  <si>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</si>
  <si>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</si>
  <si>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</si>
  <si>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</si>
  <si>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</si>
  <si>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</si>
  <si>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</si>
  <si>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</si>
  <si>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</si>
  <si>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</si>
  <si>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</si>
  <si>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</si>
  <si>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</si>
  <si>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</si>
  <si>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</si>
  <si>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</si>
  <si>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</si>
  <si>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</si>
  <si>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</si>
  <si>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</si>
  <si>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</si>
  <si>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</si>
  <si>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</si>
  <si>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</si>
  <si>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</si>
  <si>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</si>
  <si>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</si>
  <si>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</si>
  <si>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</si>
  <si>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</si>
  <si>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</si>
  <si>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</si>
  <si>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</si>
  <si>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</si>
  <si>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</si>
  <si>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</si>
  <si>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</si>
  <si>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</si>
  <si>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</si>
  <si>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</si>
  <si>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</si>
  <si>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</si>
  <si>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</si>
  <si>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</si>
  <si>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</si>
  <si>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</si>
  <si>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</si>
  <si>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</si>
  <si>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</si>
  <si>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</si>
  <si>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</si>
  <si>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</si>
  <si>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</si>
  <si>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</si>
  <si>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</si>
  <si>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</si>
  <si>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</si>
  <si>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</si>
  <si>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</si>
  <si>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</si>
  <si>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</si>
  <si>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</si>
  <si>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</si>
  <si>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</si>
  <si>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</si>
  <si>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</si>
  <si>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</si>
  <si>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</si>
  <si>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</si>
  <si>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</si>
  <si>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</si>
  <si>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</si>
  <si>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</si>
  <si>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</si>
  <si>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</si>
  <si>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</si>
  <si>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</si>
  <si>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</si>
  <si>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</si>
  <si>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</si>
  <si>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</si>
  <si>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</si>
  <si>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</si>
  <si>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</si>
  <si>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</si>
  <si>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</si>
  <si>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</si>
  <si>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</si>
  <si>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</si>
  <si>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</si>
  <si>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</si>
  <si>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</si>
  <si>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</si>
  <si>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</si>
  <si>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</si>
  <si>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</si>
  <si>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</si>
  <si>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</si>
  <si>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</si>
  <si>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</si>
  <si>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</si>
  <si>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</si>
  <si>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</si>
  <si>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</si>
  <si>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</si>
  <si>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</si>
  <si>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</si>
  <si>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</si>
  <si>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</si>
  <si>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</si>
  <si>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</si>
  <si>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</si>
  <si>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</si>
  <si>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</si>
  <si>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</si>
  <si>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</si>
  <si>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</si>
  <si>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</si>
  <si>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14082</t>
  </si>
  <si>
    <t>14083</t>
  </si>
  <si>
    <t>14084</t>
  </si>
  <si>
    <t>14085</t>
  </si>
  <si>
    <t>14086</t>
  </si>
  <si>
    <t>14087</t>
  </si>
  <si>
    <t>14088</t>
  </si>
  <si>
    <t>14089</t>
  </si>
  <si>
    <t>309970278892</t>
  </si>
  <si>
    <t>14090</t>
  </si>
  <si>
    <t>309970278908</t>
  </si>
  <si>
    <t>14091</t>
  </si>
  <si>
    <t>309970278878</t>
  </si>
  <si>
    <t>14092</t>
  </si>
  <si>
    <t>309970278922</t>
  </si>
  <si>
    <t>14093</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</si>
  <si>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</si>
  <si>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</si>
  <si>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</si>
  <si>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</si>
  <si>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</si>
  <si>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</si>
  <si>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</si>
  <si>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</si>
  <si>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</si>
  <si>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</si>
  <si>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</si>
  <si>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</si>
  <si>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</si>
  <si>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</si>
  <si>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</si>
  <si>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</si>
  <si>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</si>
  <si>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</si>
  <si>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14104</t>
  </si>
  <si>
    <t>14105</t>
  </si>
  <si>
    <t>14106</t>
  </si>
  <si>
    <t>14107</t>
  </si>
  <si>
    <t>14108</t>
  </si>
  <si>
    <t>14109</t>
  </si>
  <si>
    <t>14110</t>
  </si>
  <si>
    <t>14111</t>
  </si>
  <si>
    <t>14112</t>
  </si>
  <si>
    <t>14113</t>
  </si>
  <si>
    <t>309970101428</t>
  </si>
  <si>
    <t>14114</t>
  </si>
  <si>
    <t>309970095802</t>
  </si>
  <si>
    <t>14115</t>
  </si>
  <si>
    <t>14116</t>
  </si>
  <si>
    <t>14117</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</si>
  <si>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</si>
  <si>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</si>
  <si>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</si>
  <si>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</si>
  <si>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</si>
  <si>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</si>
  <si>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</si>
  <si>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</si>
  <si>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</si>
  <si>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</si>
  <si>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</si>
  <si>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</si>
  <si>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</si>
  <si>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</si>
  <si>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</si>
  <si>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</si>
  <si>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</si>
  <si>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</si>
  <si>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</si>
  <si>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</si>
  <si>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</si>
  <si>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</si>
  <si>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</si>
  <si>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</si>
  <si>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</si>
  <si>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</si>
  <si>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</si>
  <si>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</si>
  <si>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</si>
  <si>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</si>
  <si>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</si>
  <si>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</si>
  <si>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</si>
  <si>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</si>
  <si>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</si>
  <si>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</si>
  <si>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</si>
  <si>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</si>
  <si>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</si>
  <si>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</si>
  <si>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</si>
  <si>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</si>
  <si>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</si>
  <si>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</si>
  <si>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</si>
  <si>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</si>
  <si>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</si>
  <si>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</si>
  <si>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</si>
  <si>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14145</t>
  </si>
  <si>
    <t>14146</t>
  </si>
  <si>
    <t>14147</t>
  </si>
  <si>
    <t>309970175146</t>
  </si>
  <si>
    <t>14148</t>
  </si>
  <si>
    <t>309970175177</t>
  </si>
  <si>
    <t>14149</t>
  </si>
  <si>
    <t>309970175184</t>
  </si>
  <si>
    <t>14150</t>
  </si>
  <si>
    <t>14151</t>
  </si>
  <si>
    <t>14152</t>
  </si>
  <si>
    <t>14153</t>
  </si>
  <si>
    <t>309970215118</t>
  </si>
  <si>
    <t>14154</t>
  </si>
  <si>
    <t>309970215125</t>
  </si>
  <si>
    <t>14155</t>
  </si>
  <si>
    <t>309970215132</t>
  </si>
  <si>
    <t>14156</t>
  </si>
  <si>
    <t>309970215149</t>
  </si>
  <si>
    <t>14157</t>
  </si>
  <si>
    <t>309970215156</t>
  </si>
  <si>
    <t>14158</t>
  </si>
  <si>
    <t>14159</t>
  </si>
  <si>
    <t>14160</t>
  </si>
  <si>
    <t>14161</t>
  </si>
  <si>
    <t>14162</t>
  </si>
  <si>
    <t>14163</t>
  </si>
  <si>
    <t>14164</t>
  </si>
  <si>
    <t>14165</t>
  </si>
  <si>
    <t>14166</t>
  </si>
  <si>
    <t>14167</t>
  </si>
  <si>
    <t>14168</t>
  </si>
  <si>
    <t>14169</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</si>
  <si>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</si>
  <si>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</si>
  <si>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</si>
  <si>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</si>
  <si>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</si>
  <si>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</si>
  <si>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</si>
  <si>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</si>
  <si>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</si>
  <si>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</si>
  <si>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</si>
  <si>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</si>
  <si>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</si>
  <si>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</si>
  <si>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</si>
  <si>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</si>
  <si>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</si>
  <si>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</si>
  <si>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</si>
  <si>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</si>
  <si>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</si>
  <si>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</si>
  <si>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</si>
  <si>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</si>
  <si>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</si>
  <si>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</si>
  <si>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</si>
  <si>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</si>
  <si>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</si>
  <si>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</si>
  <si>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</si>
  <si>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</si>
  <si>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</si>
  <si>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</si>
  <si>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</si>
  <si>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</si>
  <si>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</si>
  <si>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</si>
  <si>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</si>
  <si>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</si>
  <si>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</si>
  <si>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</si>
  <si>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</si>
  <si>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</si>
  <si>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</si>
  <si>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</si>
  <si>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</si>
  <si>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</si>
  <si>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</si>
  <si>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</si>
  <si>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</si>
  <si>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</si>
  <si>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</si>
  <si>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</si>
  <si>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</si>
  <si>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</si>
  <si>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</si>
  <si>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</si>
  <si>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</si>
  <si>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</si>
  <si>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</si>
  <si>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</si>
  <si>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</si>
  <si>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</si>
  <si>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</si>
  <si>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</si>
  <si>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</si>
  <si>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</si>
  <si>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</si>
  <si>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</si>
  <si>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</si>
  <si>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</si>
  <si>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</si>
  <si>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</si>
  <si>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</si>
  <si>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</si>
  <si>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</si>
  <si>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</si>
  <si>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</si>
  <si>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</si>
  <si>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</si>
  <si>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</si>
  <si>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</si>
  <si>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</si>
  <si>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</si>
  <si>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</si>
  <si>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</si>
  <si>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</si>
  <si>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</si>
  <si>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</si>
  <si>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</si>
  <si>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</si>
  <si>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</si>
  <si>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</si>
  <si>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</si>
  <si>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</si>
  <si>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</si>
  <si>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</si>
  <si>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</si>
  <si>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</si>
  <si>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</si>
  <si>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</si>
  <si>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</si>
  <si>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</si>
  <si>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</si>
  <si>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</si>
  <si>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</si>
  <si>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</si>
  <si>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</si>
  <si>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</si>
  <si>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</si>
  <si>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</si>
  <si>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</si>
  <si>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</si>
  <si>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</si>
  <si>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</si>
  <si>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</si>
  <si>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</si>
  <si>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</si>
  <si>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</si>
  <si>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</si>
  <si>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</si>
  <si>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</si>
  <si>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</si>
  <si>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</si>
  <si>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</si>
  <si>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</si>
  <si>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</si>
  <si>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</si>
  <si>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</si>
  <si>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</si>
  <si>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</si>
  <si>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</si>
  <si>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</si>
  <si>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</si>
  <si>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</si>
  <si>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</si>
  <si>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</si>
  <si>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</si>
  <si>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</si>
  <si>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</si>
  <si>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</si>
  <si>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</si>
  <si>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</si>
  <si>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</si>
  <si>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</si>
  <si>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</si>
  <si>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</si>
  <si>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</si>
  <si>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</si>
  <si>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</si>
  <si>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</si>
  <si>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</si>
  <si>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</si>
  <si>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</si>
  <si>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</si>
  <si>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</si>
  <si>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</si>
  <si>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</si>
  <si>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</si>
  <si>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</si>
  <si>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</si>
  <si>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</si>
  <si>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</si>
  <si>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</si>
  <si>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</si>
  <si>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</si>
  <si>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</si>
  <si>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</si>
  <si>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</si>
  <si>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</si>
  <si>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</si>
  <si>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</si>
  <si>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</si>
  <si>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</si>
  <si>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</si>
  <si>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</si>
  <si>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</si>
  <si>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</si>
  <si>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</si>
  <si>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</si>
  <si>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</si>
  <si>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</si>
  <si>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</si>
  <si>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</si>
  <si>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</si>
  <si>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</si>
  <si>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</si>
  <si>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</si>
  <si>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</si>
  <si>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</si>
  <si>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</si>
  <si>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</si>
  <si>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</si>
  <si>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</si>
  <si>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</si>
  <si>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</si>
  <si>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</si>
  <si>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</si>
  <si>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</si>
  <si>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</si>
  <si>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</si>
  <si>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</si>
  <si>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</si>
  <si>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</si>
  <si>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</si>
  <si>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</si>
  <si>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</si>
  <si>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</si>
  <si>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</si>
  <si>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</si>
  <si>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</si>
  <si>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</si>
  <si>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</si>
  <si>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</si>
  <si>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</si>
  <si>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</si>
  <si>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</si>
  <si>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</si>
  <si>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</si>
  <si>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</si>
  <si>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</si>
  <si>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</si>
  <si>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13902</t>
  </si>
  <si>
    <t>13903</t>
  </si>
  <si>
    <t>3274872420601</t>
  </si>
  <si>
    <t>13904</t>
  </si>
  <si>
    <t>3274872420618</t>
  </si>
  <si>
    <t>13988</t>
  </si>
  <si>
    <t>14319</t>
  </si>
  <si>
    <t>14320</t>
  </si>
  <si>
    <t>309970282042</t>
  </si>
  <si>
    <t>14321</t>
  </si>
  <si>
    <t>309970282059</t>
  </si>
  <si>
    <t>14322</t>
  </si>
  <si>
    <t>309970282073</t>
  </si>
  <si>
    <t>14323</t>
  </si>
  <si>
    <t>309970282097</t>
  </si>
  <si>
    <t>14324</t>
  </si>
  <si>
    <t>309970126476</t>
  </si>
  <si>
    <t>14325</t>
  </si>
  <si>
    <t>309970126483</t>
  </si>
  <si>
    <t>14326</t>
  </si>
  <si>
    <t>309970211752</t>
  </si>
  <si>
    <t>14327</t>
  </si>
  <si>
    <t>309970211745</t>
  </si>
  <si>
    <t>14328</t>
  </si>
  <si>
    <t>309970211776</t>
  </si>
  <si>
    <t>14329</t>
  </si>
  <si>
    <t>309977563014</t>
  </si>
  <si>
    <t>14330</t>
  </si>
  <si>
    <t>309977563038</t>
  </si>
  <si>
    <t>14331</t>
  </si>
  <si>
    <t>14332</t>
  </si>
  <si>
    <t>14333</t>
  </si>
  <si>
    <t>309970194116</t>
  </si>
  <si>
    <t>14334</t>
  </si>
  <si>
    <t>309970194147</t>
  </si>
  <si>
    <t>14335</t>
  </si>
  <si>
    <t>309970194130</t>
  </si>
  <si>
    <t>14336</t>
  </si>
  <si>
    <t>14337</t>
  </si>
  <si>
    <t>14338</t>
  </si>
  <si>
    <t>14339</t>
  </si>
  <si>
    <t>309970169466</t>
  </si>
  <si>
    <t>14340</t>
  </si>
  <si>
    <t>309970169411</t>
  </si>
  <si>
    <t>14341</t>
  </si>
  <si>
    <t>309970039028</t>
  </si>
  <si>
    <t>14342</t>
  </si>
  <si>
    <t>309970039042</t>
  </si>
  <si>
    <t>14343</t>
  </si>
  <si>
    <t>309970039011</t>
  </si>
  <si>
    <t>14344</t>
  </si>
  <si>
    <t>309970039059</t>
  </si>
  <si>
    <t>14345</t>
  </si>
  <si>
    <t>309970086640</t>
  </si>
  <si>
    <t>14346</t>
  </si>
  <si>
    <t>309970086633</t>
  </si>
  <si>
    <t>14347</t>
  </si>
  <si>
    <t>309970077921</t>
  </si>
  <si>
    <t>14348</t>
  </si>
  <si>
    <t>14349</t>
  </si>
  <si>
    <t>14350</t>
  </si>
  <si>
    <t>309974784146</t>
  </si>
  <si>
    <t>14351</t>
  </si>
  <si>
    <t>309974784184</t>
  </si>
  <si>
    <t>14352</t>
  </si>
  <si>
    <t>309974784030</t>
  </si>
  <si>
    <t>14353</t>
  </si>
  <si>
    <t>309974784160</t>
  </si>
  <si>
    <t>14354</t>
  </si>
  <si>
    <t>309974784061</t>
  </si>
  <si>
    <t>14355</t>
  </si>
  <si>
    <t>309974784191</t>
  </si>
  <si>
    <t>14356</t>
  </si>
  <si>
    <t>14357</t>
  </si>
  <si>
    <t>14358</t>
  </si>
  <si>
    <t>14359</t>
  </si>
  <si>
    <t>14360</t>
  </si>
  <si>
    <t>309970075583</t>
  </si>
  <si>
    <t>14361</t>
  </si>
  <si>
    <t>309970193058</t>
  </si>
  <si>
    <t>14362</t>
  </si>
  <si>
    <t>309970544430</t>
  </si>
  <si>
    <t>14363</t>
  </si>
  <si>
    <t>14364</t>
  </si>
  <si>
    <t>14365</t>
  </si>
  <si>
    <t>14366</t>
  </si>
  <si>
    <t>14367</t>
  </si>
  <si>
    <t>14368</t>
  </si>
  <si>
    <t>14369</t>
  </si>
  <si>
    <t>14370</t>
  </si>
  <si>
    <t>14371</t>
  </si>
  <si>
    <t>14372</t>
  </si>
  <si>
    <t>14373</t>
  </si>
  <si>
    <t>14374</t>
  </si>
  <si>
    <t>7790416018944</t>
  </si>
  <si>
    <t>14375</t>
  </si>
  <si>
    <t>14376</t>
  </si>
  <si>
    <t>309970116415</t>
  </si>
  <si>
    <t>14377</t>
  </si>
  <si>
    <t>309970116316</t>
  </si>
  <si>
    <t>14378</t>
  </si>
  <si>
    <t>309970116392</t>
  </si>
  <si>
    <t>14379</t>
  </si>
  <si>
    <t>309970116330</t>
  </si>
  <si>
    <t>14380</t>
  </si>
  <si>
    <t>309978535010</t>
  </si>
  <si>
    <t>14381</t>
  </si>
  <si>
    <t>309978535027</t>
  </si>
  <si>
    <t>14382</t>
  </si>
  <si>
    <t>309978535072</t>
  </si>
  <si>
    <t>14383</t>
  </si>
  <si>
    <t>309970157289</t>
  </si>
  <si>
    <t>14384</t>
  </si>
  <si>
    <t>309970157296</t>
  </si>
  <si>
    <t>14385</t>
  </si>
  <si>
    <t>309970157302</t>
  </si>
  <si>
    <t>14386</t>
  </si>
  <si>
    <t>7790416020442</t>
  </si>
  <si>
    <t>14387</t>
  </si>
  <si>
    <t>309970136253</t>
  </si>
  <si>
    <t>14388</t>
  </si>
  <si>
    <t>309970139452</t>
  </si>
  <si>
    <t>14389</t>
  </si>
  <si>
    <t>309970139469</t>
  </si>
  <si>
    <t>14390</t>
  </si>
  <si>
    <t>309970139483</t>
  </si>
  <si>
    <t>14391</t>
  </si>
  <si>
    <t>309970223724</t>
  </si>
  <si>
    <t>Castaño Oscuro</t>
  </si>
  <si>
    <t>14392</t>
  </si>
  <si>
    <t>309976790039</t>
  </si>
  <si>
    <t>14393</t>
  </si>
  <si>
    <t>309976790046</t>
  </si>
  <si>
    <t>30ml</t>
  </si>
  <si>
    <t>0</t>
  </si>
  <si>
    <t>Turquesa</t>
  </si>
  <si>
    <t>4970-v1</t>
  </si>
  <si>
    <t>4971-v1</t>
  </si>
  <si>
    <t>4972-v1</t>
  </si>
  <si>
    <t>4973-v1</t>
  </si>
  <si>
    <t>4974-v1</t>
  </si>
  <si>
    <t>4975-v1</t>
  </si>
  <si>
    <t>4976-v1</t>
  </si>
  <si>
    <t>4977-v1</t>
  </si>
  <si>
    <t>4978-v1</t>
  </si>
  <si>
    <t>4979-v1</t>
  </si>
  <si>
    <t>4980-v1</t>
  </si>
  <si>
    <t>4981-v1</t>
  </si>
  <si>
    <t>4982-v1</t>
  </si>
  <si>
    <t>4983-v1</t>
  </si>
  <si>
    <t>4984-v1</t>
  </si>
  <si>
    <t>4985-v1</t>
  </si>
  <si>
    <t>4986-v1</t>
  </si>
  <si>
    <t>4987-v1</t>
  </si>
  <si>
    <t>4988-v1</t>
  </si>
  <si>
    <t>4989-v1</t>
  </si>
  <si>
    <t>4990-v1</t>
  </si>
  <si>
    <t>4991-v1</t>
  </si>
  <si>
    <t>4992-v1</t>
  </si>
  <si>
    <t>4993-v1</t>
  </si>
  <si>
    <t>4994-v1</t>
  </si>
  <si>
    <t>4995-v1</t>
  </si>
  <si>
    <t>4996-v1</t>
  </si>
  <si>
    <t>4997-v1</t>
  </si>
  <si>
    <t>4998-v1</t>
  </si>
  <si>
    <t>4999-v1</t>
  </si>
  <si>
    <t>5000-v1</t>
  </si>
  <si>
    <t>5001-v1</t>
  </si>
  <si>
    <t>5002-v1</t>
  </si>
  <si>
    <t>5003-v1</t>
  </si>
  <si>
    <t>5004-v1</t>
  </si>
  <si>
    <t>5005-v1</t>
  </si>
  <si>
    <t>5006-v1</t>
  </si>
  <si>
    <t>5007-v1</t>
  </si>
  <si>
    <t>5008-v1</t>
  </si>
  <si>
    <t>5009-v1</t>
  </si>
  <si>
    <t>5010-v1</t>
  </si>
  <si>
    <t>5011-v1</t>
  </si>
  <si>
    <t>5012-v1</t>
  </si>
  <si>
    <t>5013-v1</t>
  </si>
  <si>
    <t>5014-v1</t>
  </si>
  <si>
    <t>5015-v1</t>
  </si>
  <si>
    <t>5016-v1</t>
  </si>
  <si>
    <t>5017-v1</t>
  </si>
  <si>
    <t>5018-v1</t>
  </si>
  <si>
    <t>5019-v1</t>
  </si>
  <si>
    <t>5020-v1</t>
  </si>
  <si>
    <t>5021-v1</t>
  </si>
  <si>
    <t>5022-v1</t>
  </si>
  <si>
    <t>5023-v1</t>
  </si>
  <si>
    <t>5024-v1</t>
  </si>
  <si>
    <t>5025-v1</t>
  </si>
  <si>
    <t>5026-v1</t>
  </si>
  <si>
    <t>5027-v1</t>
  </si>
  <si>
    <t>5028-v1</t>
  </si>
  <si>
    <t>5029-v1</t>
  </si>
  <si>
    <t>5030-v1</t>
  </si>
  <si>
    <t>5031-v1</t>
  </si>
  <si>
    <t>5032-v1</t>
  </si>
  <si>
    <t>5033-v1</t>
  </si>
  <si>
    <t>5034-v1</t>
  </si>
  <si>
    <t>5035-v1</t>
  </si>
  <si>
    <t>5036-v1</t>
  </si>
  <si>
    <t>5037-v1</t>
  </si>
  <si>
    <t>5038-v1</t>
  </si>
  <si>
    <t>5039-v1</t>
  </si>
  <si>
    <t>5040-v1</t>
  </si>
  <si>
    <t>5041-v1</t>
  </si>
  <si>
    <t>5042-v1</t>
  </si>
  <si>
    <t>5043-v1</t>
  </si>
  <si>
    <t>5044-v1</t>
  </si>
  <si>
    <t>5045-v1</t>
  </si>
  <si>
    <t>5046-v1</t>
  </si>
  <si>
    <t>5047-v1</t>
  </si>
  <si>
    <t>5048-v1</t>
  </si>
  <si>
    <t>5049-v1</t>
  </si>
  <si>
    <t>5050-v1</t>
  </si>
  <si>
    <t>5051-v1</t>
  </si>
  <si>
    <t>5052-v1</t>
  </si>
  <si>
    <t>5053-v1</t>
  </si>
  <si>
    <t>5054-v1</t>
  </si>
  <si>
    <t>5055-v1</t>
  </si>
  <si>
    <t>5056-v1</t>
  </si>
  <si>
    <t>5057-v1</t>
  </si>
  <si>
    <t>5058-v1</t>
  </si>
  <si>
    <t>5059-v1</t>
  </si>
  <si>
    <t>5060-v1</t>
  </si>
  <si>
    <t>5061-v1</t>
  </si>
  <si>
    <t>5062-v1</t>
  </si>
  <si>
    <t>5063-v1</t>
  </si>
  <si>
    <t>5064-v1</t>
  </si>
  <si>
    <t>5065-v1</t>
  </si>
  <si>
    <t>5066-v1</t>
  </si>
  <si>
    <t>5067-v1</t>
  </si>
  <si>
    <t>5068-v1</t>
  </si>
  <si>
    <t>5069-v1</t>
  </si>
  <si>
    <t>5070-v1</t>
  </si>
  <si>
    <t>5071-v1</t>
  </si>
  <si>
    <t>5072-v1</t>
  </si>
  <si>
    <t>5073-v1</t>
  </si>
  <si>
    <t>5074-v1</t>
  </si>
  <si>
    <t>5075-v1</t>
  </si>
  <si>
    <t>5076-v1</t>
  </si>
  <si>
    <t>5077-v1</t>
  </si>
  <si>
    <t>5078-v1</t>
  </si>
  <si>
    <t>5079-v1</t>
  </si>
  <si>
    <t>5080-v1</t>
  </si>
  <si>
    <t>5081-v1</t>
  </si>
  <si>
    <t>5082-v1</t>
  </si>
  <si>
    <t>5083-v1</t>
  </si>
  <si>
    <t>5084-v1</t>
  </si>
  <si>
    <t>5085-v1</t>
  </si>
  <si>
    <t>5086-v1</t>
  </si>
  <si>
    <t>5087-v1</t>
  </si>
  <si>
    <t>5088-v1</t>
  </si>
  <si>
    <t>5089-v1</t>
  </si>
  <si>
    <t>5090-v1</t>
  </si>
  <si>
    <t>5091-v1</t>
  </si>
  <si>
    <t>5092-v1</t>
  </si>
  <si>
    <t>5093-v1</t>
  </si>
  <si>
    <t>5094-v1</t>
  </si>
  <si>
    <t>5095-v1</t>
  </si>
  <si>
    <t>5096-v1</t>
  </si>
  <si>
    <t>5097-v1</t>
  </si>
  <si>
    <t>5098-v1</t>
  </si>
  <si>
    <t>5099-v1</t>
  </si>
  <si>
    <t>5100-v1</t>
  </si>
  <si>
    <t>5101-v1</t>
  </si>
  <si>
    <t>5102-v1</t>
  </si>
  <si>
    <t>5103-v1</t>
  </si>
  <si>
    <t>5104-v1</t>
  </si>
  <si>
    <t>5105-v1</t>
  </si>
  <si>
    <t>5106-v1</t>
  </si>
  <si>
    <t>5107-v1</t>
  </si>
  <si>
    <t>5108-v1</t>
  </si>
  <si>
    <t>5109-v1</t>
  </si>
  <si>
    <t>5110-v1</t>
  </si>
  <si>
    <t>5111-v1</t>
  </si>
  <si>
    <t>5112-v1</t>
  </si>
  <si>
    <t>5113-v1</t>
  </si>
  <si>
    <t>5114-v1</t>
  </si>
  <si>
    <t>5115-v1</t>
  </si>
  <si>
    <t>5116-v1</t>
  </si>
  <si>
    <t>5117-v1</t>
  </si>
  <si>
    <t>5118-v1</t>
  </si>
  <si>
    <t>5119-v1</t>
  </si>
  <si>
    <t>5120-v1</t>
  </si>
  <si>
    <t>5121-v1</t>
  </si>
  <si>
    <t>5122-v1</t>
  </si>
  <si>
    <t>5123-v1</t>
  </si>
  <si>
    <t>5124-v1</t>
  </si>
  <si>
    <t>5125-v1</t>
  </si>
  <si>
    <t>5126-v1</t>
  </si>
  <si>
    <t>5127-v1</t>
  </si>
  <si>
    <t>5128-v1</t>
  </si>
  <si>
    <t>5129-v1</t>
  </si>
  <si>
    <t>5130-v1</t>
  </si>
  <si>
    <t>5131-v1</t>
  </si>
  <si>
    <t>5132-v1</t>
  </si>
  <si>
    <t>5133-v1</t>
  </si>
  <si>
    <t>5134-v1</t>
  </si>
  <si>
    <t>5135-v1</t>
  </si>
  <si>
    <t>5136-v1</t>
  </si>
  <si>
    <t>5137-v1</t>
  </si>
  <si>
    <t>5138-v1</t>
  </si>
  <si>
    <t>5139-v1</t>
  </si>
  <si>
    <t>5140-v1</t>
  </si>
  <si>
    <t>5141-v1</t>
  </si>
  <si>
    <t>5142-v1</t>
  </si>
  <si>
    <t>5143-v1</t>
  </si>
  <si>
    <t>5144-v1</t>
  </si>
  <si>
    <t>5145-v1</t>
  </si>
  <si>
    <t>5146-v1</t>
  </si>
  <si>
    <t>5147-v1</t>
  </si>
  <si>
    <t>5148-v1</t>
  </si>
  <si>
    <t>5149-v1</t>
  </si>
  <si>
    <t>5150-v1</t>
  </si>
  <si>
    <t>5151-v1</t>
  </si>
  <si>
    <t>5152-v1</t>
  </si>
  <si>
    <t>5153-v1</t>
  </si>
  <si>
    <t>5154-v1</t>
  </si>
  <si>
    <t>5155-v1</t>
  </si>
  <si>
    <t>5156-v1</t>
  </si>
  <si>
    <t>5157-v1</t>
  </si>
  <si>
    <t>5158-v1</t>
  </si>
  <si>
    <t>5159-v1</t>
  </si>
  <si>
    <t>5160-v1</t>
  </si>
  <si>
    <t>5161-v1</t>
  </si>
  <si>
    <t>5162-v1</t>
  </si>
  <si>
    <t>5163-v1</t>
  </si>
  <si>
    <t>5164-v1</t>
  </si>
  <si>
    <t>5165-v1</t>
  </si>
  <si>
    <t>5166-v1</t>
  </si>
  <si>
    <t>5167-v1</t>
  </si>
  <si>
    <t>5168-v1</t>
  </si>
  <si>
    <t>5169-v1</t>
  </si>
  <si>
    <t>5170-v1</t>
  </si>
  <si>
    <t>5171-v1</t>
  </si>
  <si>
    <t>5172-v1</t>
  </si>
  <si>
    <t>5173-v1</t>
  </si>
  <si>
    <t>5174-v1</t>
  </si>
  <si>
    <t>5175-v1</t>
  </si>
  <si>
    <t>5176-v1</t>
  </si>
  <si>
    <t>5177-v1</t>
  </si>
  <si>
    <t>5178-v1</t>
  </si>
  <si>
    <t>5179-v1</t>
  </si>
  <si>
    <t>5180-v1</t>
  </si>
  <si>
    <t>5181-v1</t>
  </si>
  <si>
    <t>5182-v1</t>
  </si>
  <si>
    <t>5183-v1</t>
  </si>
  <si>
    <t>5184-v1</t>
  </si>
  <si>
    <t>5185-v1</t>
  </si>
  <si>
    <t>5186-v1</t>
  </si>
  <si>
    <t>5187-v1</t>
  </si>
  <si>
    <t>5188-v1</t>
  </si>
  <si>
    <t>5189-v1</t>
  </si>
  <si>
    <t>5190-v1</t>
  </si>
  <si>
    <t>5191-v1</t>
  </si>
  <si>
    <t>5192-v1</t>
  </si>
  <si>
    <t>5193-v1</t>
  </si>
  <si>
    <t>5194-v1</t>
  </si>
  <si>
    <t>5195-v1</t>
  </si>
  <si>
    <t>5196-v1</t>
  </si>
  <si>
    <t>5197-v1</t>
  </si>
  <si>
    <t>5198-v1</t>
  </si>
  <si>
    <t>5199-v1</t>
  </si>
  <si>
    <t>5200-v1</t>
  </si>
  <si>
    <t>5201-v1</t>
  </si>
  <si>
    <t>5202-v1</t>
  </si>
  <si>
    <t>5203-v1</t>
  </si>
  <si>
    <t>5204-v1</t>
  </si>
  <si>
    <t>5205-v1</t>
  </si>
  <si>
    <t>5206-v1</t>
  </si>
  <si>
    <t>5207-v1</t>
  </si>
  <si>
    <t>5208-v1</t>
  </si>
  <si>
    <t>5209-v1</t>
  </si>
  <si>
    <t>5210-v1</t>
  </si>
  <si>
    <t>5211-v1</t>
  </si>
  <si>
    <t>5212-v1</t>
  </si>
  <si>
    <t>5213-v1</t>
  </si>
  <si>
    <t>5214-v1</t>
  </si>
  <si>
    <t>5215-v1</t>
  </si>
  <si>
    <t>5216-v1</t>
  </si>
  <si>
    <t>5217-v1</t>
  </si>
  <si>
    <t>5218-v1</t>
  </si>
  <si>
    <t>5219-v1</t>
  </si>
  <si>
    <t>5220-v1</t>
  </si>
  <si>
    <t>5221-v1</t>
  </si>
  <si>
    <t>5222-v1</t>
  </si>
  <si>
    <t>5223-v1</t>
  </si>
  <si>
    <t>5224-v1</t>
  </si>
  <si>
    <t>5225-v1</t>
  </si>
  <si>
    <t>5226-v1</t>
  </si>
  <si>
    <t>5227-v1</t>
  </si>
  <si>
    <t>5228-v1</t>
  </si>
  <si>
    <t>5229-v1</t>
  </si>
  <si>
    <t>5230-v1</t>
  </si>
  <si>
    <t>5231-v1</t>
  </si>
  <si>
    <t>5232-v1</t>
  </si>
  <si>
    <t>5233-v1</t>
  </si>
  <si>
    <t>5234-v1</t>
  </si>
  <si>
    <t>5235-v1</t>
  </si>
  <si>
    <t>5236-v1</t>
  </si>
  <si>
    <t>5237-v1</t>
  </si>
  <si>
    <t>5238-v1</t>
  </si>
  <si>
    <t>5239-v1</t>
  </si>
  <si>
    <t>5240-v1</t>
  </si>
  <si>
    <t>5241-v1</t>
  </si>
  <si>
    <t>5242-v1</t>
  </si>
  <si>
    <t>5243-v1</t>
  </si>
  <si>
    <t>5244-v1</t>
  </si>
  <si>
    <t>5245-v1</t>
  </si>
  <si>
    <t>5246-v1</t>
  </si>
  <si>
    <t>5247-v1</t>
  </si>
  <si>
    <t>5248-v1</t>
  </si>
  <si>
    <t>5249-v1</t>
  </si>
  <si>
    <t>5250-v1</t>
  </si>
  <si>
    <t>5251-v1</t>
  </si>
  <si>
    <t>5252-v1</t>
  </si>
  <si>
    <t>5253-v1</t>
  </si>
  <si>
    <t>5254-v1</t>
  </si>
  <si>
    <t>5255-v1</t>
  </si>
  <si>
    <t>5256-v1</t>
  </si>
  <si>
    <t>5257-v1</t>
  </si>
  <si>
    <t>5258-v1</t>
  </si>
  <si>
    <t>5259-v1</t>
  </si>
  <si>
    <t>5260-v1</t>
  </si>
  <si>
    <t>5261-v1</t>
  </si>
  <si>
    <t>5262-v1</t>
  </si>
  <si>
    <t>5263-v1</t>
  </si>
  <si>
    <t>5264-v1</t>
  </si>
  <si>
    <t>5265-v1</t>
  </si>
  <si>
    <t>5266-v1</t>
  </si>
  <si>
    <t>5267-v1</t>
  </si>
  <si>
    <t>5268-v1</t>
  </si>
  <si>
    <t>5269-v1</t>
  </si>
  <si>
    <t>5270-v1</t>
  </si>
  <si>
    <t>5271-v1</t>
  </si>
  <si>
    <t>5272-v1</t>
  </si>
  <si>
    <t>5273-v1</t>
  </si>
  <si>
    <t>5274-v1</t>
  </si>
  <si>
    <t>5275-v1</t>
  </si>
  <si>
    <t>5276-v1</t>
  </si>
  <si>
    <t>5277-v1</t>
  </si>
  <si>
    <t>5278-v1</t>
  </si>
  <si>
    <t>5279-v1</t>
  </si>
  <si>
    <t>5280-v1</t>
  </si>
  <si>
    <t>5281-v1</t>
  </si>
  <si>
    <t>5282-v1</t>
  </si>
  <si>
    <t>5283-v1</t>
  </si>
  <si>
    <t>5284-v1</t>
  </si>
  <si>
    <t>5285-v1</t>
  </si>
  <si>
    <t>5286-v1</t>
  </si>
  <si>
    <t>5287-v1</t>
  </si>
  <si>
    <t>5288-v1</t>
  </si>
  <si>
    <t>5289-v1</t>
  </si>
  <si>
    <t>5290-v1</t>
  </si>
  <si>
    <t>5291-v1</t>
  </si>
  <si>
    <t>5292-v1</t>
  </si>
  <si>
    <t>5293-v1</t>
  </si>
  <si>
    <t>5294-v1</t>
  </si>
  <si>
    <t>5295-v1</t>
  </si>
  <si>
    <t>5296-v1</t>
  </si>
  <si>
    <t>5297-v1</t>
  </si>
  <si>
    <t>5298-v1</t>
  </si>
  <si>
    <t>5299-v1</t>
  </si>
  <si>
    <t>5300-v1</t>
  </si>
  <si>
    <t>5301-v1</t>
  </si>
  <si>
    <t>5302-v1</t>
  </si>
  <si>
    <t>5303-v1</t>
  </si>
  <si>
    <t>5304-v1</t>
  </si>
  <si>
    <t>5305-v1</t>
  </si>
  <si>
    <t>5306-v1</t>
  </si>
  <si>
    <t>5307-v1</t>
  </si>
  <si>
    <t>5308-v1</t>
  </si>
  <si>
    <t>5309-v1</t>
  </si>
  <si>
    <t>5310-v1</t>
  </si>
  <si>
    <t>5311-v1</t>
  </si>
  <si>
    <t>5312-v1</t>
  </si>
  <si>
    <t>5313-v1</t>
  </si>
  <si>
    <t>5314-v1</t>
  </si>
  <si>
    <t>5315-v1</t>
  </si>
  <si>
    <t>5316-v1</t>
  </si>
  <si>
    <t>5317-v1</t>
  </si>
  <si>
    <t>5318-v1</t>
  </si>
  <si>
    <t>5319-v1</t>
  </si>
  <si>
    <t>5320-v1</t>
  </si>
  <si>
    <t>5321-v1</t>
  </si>
  <si>
    <t>5322-v1</t>
  </si>
  <si>
    <t>5323-v1</t>
  </si>
  <si>
    <t>5324-v1</t>
  </si>
  <si>
    <t>5325-v1</t>
  </si>
  <si>
    <t>5326-v1</t>
  </si>
  <si>
    <t>5327-v1</t>
  </si>
  <si>
    <t>5328-v1</t>
  </si>
  <si>
    <t>5329-v1</t>
  </si>
  <si>
    <t>5330-v1</t>
  </si>
  <si>
    <t>5331-v1</t>
  </si>
  <si>
    <t>5332-v1</t>
  </si>
  <si>
    <t>5333-v1</t>
  </si>
  <si>
    <t>5334-v1</t>
  </si>
  <si>
    <t>5335-v1</t>
  </si>
  <si>
    <t>5336-v1</t>
  </si>
  <si>
    <t>5337-v1</t>
  </si>
  <si>
    <t>5338-v1</t>
  </si>
  <si>
    <t>5339-v1</t>
  </si>
  <si>
    <t>5340-v1</t>
  </si>
  <si>
    <t>5341-v1</t>
  </si>
  <si>
    <t>5342-v1</t>
  </si>
  <si>
    <t>5343-v1</t>
  </si>
  <si>
    <t>5344-v1</t>
  </si>
  <si>
    <t>5345-v1</t>
  </si>
  <si>
    <t>5346-v1</t>
  </si>
  <si>
    <t>5347-v1</t>
  </si>
  <si>
    <t>5348-v1</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</si>
  <si>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</si>
  <si>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</si>
  <si>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</si>
  <si>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</si>
  <si>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</si>
  <si>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</si>
  <si>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</si>
  <si>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</si>
  <si>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</si>
  <si>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</si>
  <si>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</si>
  <si>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</si>
  <si>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</si>
  <si>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</si>
  <si>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</si>
  <si>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</si>
  <si>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</si>
  <si>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</si>
  <si>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</si>
  <si>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</si>
  <si>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</si>
  <si>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</si>
  <si>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</si>
  <si>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</si>
  <si>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</si>
  <si>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</si>
  <si>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</si>
  <si>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</si>
  <si>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</si>
  <si>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</si>
  <si>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</si>
  <si>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</si>
  <si>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</si>
  <si>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</si>
  <si>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</si>
  <si>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</si>
  <si>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</si>
  <si>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</si>
  <si>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</si>
  <si>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</si>
  <si>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</si>
  <si>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</si>
  <si>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</si>
  <si>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</si>
  <si>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</si>
  <si>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</si>
  <si>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</si>
  <si>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</si>
  <si>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</si>
  <si>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</si>
  <si>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</si>
  <si>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</si>
  <si>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</si>
  <si>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</si>
  <si>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</si>
  <si>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Dorado</t>
  </si>
  <si>
    <t>Higiene Corporal</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</si>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</sst>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6">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xf numFmtId="0" fontId="6" fillId="7" borderId="2" xfId="0" applyFont="1" applyFill="1" applyBorder="1" applyAlignment="1">
      <alignment vertical="center"/>
    </xf>
    <xf numFmtId="0" fontId="6"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600"/>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f>IF(AND(P4&gt;0,Q4&gt;0),ROUND((1-Q4/P4)*100,0),0)</f>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f>IF(AND(P5&gt;0,Q5&gt;0),ROUND((1-Q5/P5)*100,0),0)</f>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f>IF(AND(P6&gt;0,Q6&gt;0),ROUND((1-Q6/P6)*100,0),0)</f>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f>IF(AND(P7&gt;0,Q7&gt;0),ROUND((1-Q7/P7)*100,0),0)</f>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f>IF(AND(P8&gt;0,Q8&gt;0),ROUND((1-Q8/P8)*100,0),0)</f>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f>IF(AND(P9&gt;0,Q9&gt;0),ROUND((1-Q9/P9)*100,0),0)</f>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f>IF(AND(P10&gt;0,Q10&gt;0),ROUND((1-Q10/P10)*100,0),0)</f>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f>IF(AND(P11&gt;0,Q11&gt;0),ROUND((1-Q11/P11)*100,0),0)</f>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f>IF(AND(P12&gt;0,Q12&gt;0),ROUND((1-Q12/P12)*100,0),0)</f>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f>IF(AND(P13&gt;0,Q13&gt;0),ROUND((1-Q13/P13)*100,0),0)</f>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f>IF(AND(P14&gt;0,Q14&gt;0),ROUND((1-Q14/P14)*100,0),0)</f>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f>IF(AND(P15&gt;0,Q15&gt;0),ROUND((1-Q15/P15)*100,0),0)</f>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f>IF(AND(P16&gt;0,Q16&gt;0),ROUND((1-Q16/P16)*100,0),0)</f>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f>IF(AND(P17&gt;0,Q17&gt;0),ROUND((1-Q17/P17)*100,0),0)</f>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f>IF(AND(P18&gt;0,Q18&gt;0),ROUND((1-Q18/P18)*100,0),0)</f>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f>IF(AND(P19&gt;0,Q19&gt;0),ROUND((1-Q19/P19)*100,0),0)</f>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f>IF(AND(P20&gt;0,Q20&gt;0),ROUND((1-Q20/P20)*100,0),0)</f>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f>IF(AND(P21&gt;0,Q21&gt;0),ROUND((1-Q21/P21)*100,0),0)</f>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f>IF(AND(P22&gt;0,Q22&gt;0),ROUND((1-Q22/P22)*100,0),0)</f>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f>IF(AND(P23&gt;0,Q23&gt;0),ROUND((1-Q23/P23)*100,0),0)</f>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f>IF(AND(P24&gt;0,Q24&gt;0),ROUND((1-Q24/P24)*100,0),0)</f>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f>IF(AND(P25&gt;0,Q25&gt;0),ROUND((1-Q25/P25)*100,0),0)</f>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f>IF(AND(P26&gt;0,Q26&gt;0),ROUND((1-Q26/P26)*100,0),0)</f>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f>IF(AND(P27&gt;0,Q27&gt;0),ROUND((1-Q27/P27)*100,0),0)</f>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f>IF(AND(P28&gt;0,Q28&gt;0),ROUND((1-Q28/P28)*100,0),0)</f>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f>IF(AND(P29&gt;0,Q29&gt;0),ROUND((1-Q29/P29)*100,0),0)</f>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f>IF(AND(P30&gt;0,Q30&gt;0),ROUND((1-Q30/P30)*100,0),0)</f>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f>IF(AND(P31&gt;0,Q31&gt;0),ROUND((1-Q31/P31)*100,0),0)</f>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f>IF(AND(P32&gt;0,Q32&gt;0),ROUND((1-Q32/P32)*100,0),0)</f>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f>IF(AND(P33&gt;0,Q33&gt;0),ROUND((1-Q33/P33)*100,0),0)</f>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f>IF(AND(P34&gt;0,Q34&gt;0),ROUND((1-Q34/P34)*100,0),0)</f>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f>IF(AND(P35&gt;0,Q35&gt;0),ROUND((1-Q35/P35)*100,0),0)</f>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f>IF(AND(P36&gt;0,Q36&gt;0),ROUND((1-Q36/P36)*100,0),0)</f>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f>IF(AND(P37&gt;0,Q37&gt;0),ROUND((1-Q37/P37)*100,0),0)</f>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f>IF(AND(P38&gt;0,Q38&gt;0),ROUND((1-Q38/P38)*100,0),0)</f>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f>IF(AND(P39&gt;0,Q39&gt;0),ROUND((1-Q39/P39)*100,0),0)</f>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f>IF(AND(P40&gt;0,Q40&gt;0),ROUND((1-Q40/P40)*100,0),0)</f>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f>IF(AND(P41&gt;0,Q41&gt;0),ROUND((1-Q41/P41)*100,0),0)</f>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f>IF(AND(P42&gt;0,Q42&gt;0),ROUND((1-Q42/P42)*100,0),0)</f>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f>IF(AND(P43&gt;0,Q43&gt;0),ROUND((1-Q43/P43)*100,0),0)</f>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f>IF(AND(P44&gt;0,Q44&gt;0),ROUND((1-Q44/P44)*100,0),0)</f>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f>IF(AND(P45&gt;0,Q45&gt;0),ROUND((1-Q45/P45)*100,0),0)</f>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f>IF(AND(P46&gt;0,Q46&gt;0),ROUND((1-Q46/P46)*100,0),0)</f>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f>IF(AND(P47&gt;0,Q47&gt;0),ROUND((1-Q47/P47)*100,0),0)</f>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f>IF(AND(P48&gt;0,Q48&gt;0),ROUND((1-Q48/P48)*100,0),0)</f>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f>IF(AND(P49&gt;0,Q49&gt;0),ROUND((1-Q49/P49)*100,0),0)</f>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f>IF(AND(P50&gt;0,Q50&gt;0),ROUND((1-Q50/P50)*100,0),0)</f>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f>IF(AND(P51&gt;0,Q51&gt;0),ROUND((1-Q51/P51)*100,0),0)</f>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f>IF(AND(P52&gt;0,Q52&gt;0),ROUND((1-Q52/P52)*100,0),0)</f>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f>IF(AND(P53&gt;0,Q53&gt;0),ROUND((1-Q53/P53)*100,0),0)</f>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f>IF(AND(P54&gt;0,Q54&gt;0),ROUND((1-Q54/P54)*100,0),0)</f>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f>IF(AND(P55&gt;0,Q55&gt;0),ROUND((1-Q55/P55)*100,0),0)</f>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f>IF(AND(P56&gt;0,Q56&gt;0),ROUND((1-Q56/P56)*100,0),0)</f>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f>IF(AND(P57&gt;0,Q57&gt;0),ROUND((1-Q57/P57)*100,0),0)</f>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f>IF(AND(P58&gt;0,Q58&gt;0),ROUND((1-Q58/P58)*100,0),0)</f>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f>IF(AND(P59&gt;0,Q59&gt;0),ROUND((1-Q59/P59)*100,0),0)</f>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f>IF(AND(P60&gt;0,Q60&gt;0),ROUND((1-Q60/P60)*100,0),0)</f>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f>IF(AND(P61&gt;0,Q61&gt;0),ROUND((1-Q61/P61)*100,0),0)</f>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f>IF(AND(P62&gt;0,Q62&gt;0),ROUND((1-Q62/P62)*100,0),0)</f>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f>IF(AND(P63&gt;0,Q63&gt;0),ROUND((1-Q63/P63)*100,0),0)</f>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f>IF(AND(P64&gt;0,Q64&gt;0),ROUND((1-Q64/P64)*100,0),0)</f>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f>IF(AND(P65&gt;0,Q65&gt;0),ROUND((1-Q65/P65)*100,0),0)</f>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f>IF(AND(P66&gt;0,Q66&gt;0),ROUND((1-Q66/P66)*100,0),0)</f>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f>IF(AND(P67&gt;0,Q67&gt;0),ROUND((1-Q67/P67)*100,0),0)</f>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f>IF(AND(P68&gt;0,Q68&gt;0),ROUND((1-Q68/P68)*100,0),0)</f>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f>IF(AND(P69&gt;0,Q69&gt;0),ROUND((1-Q69/P69)*100,0),0)</f>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f>IF(AND(P70&gt;0,Q70&gt;0),ROUND((1-Q70/P70)*100,0),0)</f>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f>IF(AND(P71&gt;0,Q71&gt;0),ROUND((1-Q71/P71)*100,0),0)</f>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f>IF(AND(P72&gt;0,Q72&gt;0),ROUND((1-Q72/P72)*100,0),0)</f>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f>IF(AND(P73&gt;0,Q73&gt;0),ROUND((1-Q73/P73)*100,0),0)</f>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f>IF(AND(P74&gt;0,Q74&gt;0),ROUND((1-Q74/P74)*100,0),0)</f>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f>IF(AND(P75&gt;0,Q75&gt;0),ROUND((1-Q75/P75)*100,0),0)</f>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f>IF(AND(P76&gt;0,Q76&gt;0),ROUND((1-Q76/P76)*100,0),0)</f>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f>IF(AND(P77&gt;0,Q77&gt;0),ROUND((1-Q77/P77)*100,0),0)</f>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f>IF(AND(P78&gt;0,Q78&gt;0),ROUND((1-Q78/P78)*100,0),0)</f>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f>IF(AND(P79&gt;0,Q79&gt;0),ROUND((1-Q79/P79)*100,0),0)</f>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f>IF(AND(P80&gt;0,Q80&gt;0),ROUND((1-Q80/P80)*100,0),0)</f>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f>IF(AND(P81&gt;0,Q81&gt;0),ROUND((1-Q81/P81)*100,0),0)</f>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f>IF(AND(P82&gt;0,Q82&gt;0),ROUND((1-Q82/P82)*100,0),0)</f>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f>IF(AND(P83&gt;0,Q83&gt;0),ROUND((1-Q83/P83)*100,0),0)</f>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f>IF(AND(P84&gt;0,Q84&gt;0),ROUND((1-Q84/P84)*100,0),0)</f>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f>IF(AND(P85&gt;0,Q85&gt;0),ROUND((1-Q85/P85)*100,0),0)</f>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f>IF(AND(P86&gt;0,Q86&gt;0),ROUND((1-Q86/P86)*100,0),0)</f>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f>IF(AND(P87&gt;0,Q87&gt;0),ROUND((1-Q87/P87)*100,0),0)</f>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f>IF(AND(P88&gt;0,Q88&gt;0),ROUND((1-Q88/P88)*100,0),0)</f>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f>IF(AND(P89&gt;0,Q89&gt;0),ROUND((1-Q89/P89)*100,0),0)</f>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f>IF(AND(P90&gt;0,Q90&gt;0),ROUND((1-Q90/P90)*100,0),0)</f>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f>IF(AND(P91&gt;0,Q91&gt;0),ROUND((1-Q91/P91)*100,0),0)</f>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f>IF(AND(P92&gt;0,Q92&gt;0),ROUND((1-Q92/P92)*100,0),0)</f>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f>IF(AND(P93&gt;0,Q93&gt;0),ROUND((1-Q93/P93)*100,0),0)</f>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f>IF(AND(P94&gt;0,Q94&gt;0),ROUND((1-Q94/P94)*100,0),0)</f>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f>IF(AND(P95&gt;0,Q95&gt;0),ROUND((1-Q95/P95)*100,0),0)</f>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f>IF(AND(P96&gt;0,Q96&gt;0),ROUND((1-Q96/P96)*100,0),0)</f>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f>IF(AND(P97&gt;0,Q97&gt;0),ROUND((1-Q97/P97)*100,0),0)</f>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f>IF(AND(P98&gt;0,Q98&gt;0),ROUND((1-Q98/P98)*100,0),0)</f>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f>IF(AND(P99&gt;0,Q99&gt;0),ROUND((1-Q99/P99)*100,0),0)</f>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f>IF(AND(P100&gt;0,Q100&gt;0),ROUND((1-Q100/P100)*100,0),0)</f>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f>IF(AND(P101&gt;0,Q101&gt;0),ROUND((1-Q101/P101)*100,0),0)</f>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f>IF(AND(P102&gt;0,Q102&gt;0),ROUND((1-Q102/P102)*100,0),0)</f>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f>IF(AND(P103&gt;0,Q103&gt;0),ROUND((1-Q103/P103)*100,0),0)</f>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f>IF(AND(P104&gt;0,Q104&gt;0),ROUND((1-Q104/P104)*100,0),0)</f>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f>IF(AND(P105&gt;0,Q105&gt;0),ROUND((1-Q105/P105)*100,0),0)</f>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f>IF(AND(P106&gt;0,Q106&gt;0),ROUND((1-Q106/P106)*100,0),0)</f>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f>IF(AND(P107&gt;0,Q107&gt;0),ROUND((1-Q107/P107)*100,0),0)</f>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f>IF(AND(P108&gt;0,Q108&gt;0),ROUND((1-Q108/P108)*100,0),0)</f>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f>IF(AND(P109&gt;0,Q109&gt;0),ROUND((1-Q109/P109)*100,0),0)</f>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f>IF(AND(P110&gt;0,Q110&gt;0),ROUND((1-Q110/P110)*100,0),0)</f>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f>IF(AND(P111&gt;0,Q111&gt;0),ROUND((1-Q111/P111)*100,0),0)</f>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f>IF(AND(P112&gt;0,Q112&gt;0),ROUND((1-Q112/P112)*100,0),0)</f>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f>IF(AND(P113&gt;0,Q113&gt;0),ROUND((1-Q113/P113)*100,0),0)</f>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f>IF(AND(P114&gt;0,Q114&gt;0),ROUND((1-Q114/P114)*100,0),0)</f>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f>IF(AND(P115&gt;0,Q115&gt;0),ROUND((1-Q115/P115)*100,0),0)</f>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f>IF(AND(P116&gt;0,Q116&gt;0),ROUND((1-Q116/P116)*100,0),0)</f>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f>IF(AND(P117&gt;0,Q117&gt;0),ROUND((1-Q117/P117)*100,0),0)</f>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f>IF(AND(P118&gt;0,Q118&gt;0),ROUND((1-Q118/P118)*100,0),0)</f>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f>IF(AND(P119&gt;0,Q119&gt;0),ROUND((1-Q119/P119)*100,0),0)</f>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f>IF(AND(P120&gt;0,Q120&gt;0),ROUND((1-Q120/P120)*100,0),0)</f>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f>IF(AND(P121&gt;0,Q121&gt;0),ROUND((1-Q121/P121)*100,0),0)</f>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f>IF(AND(P122&gt;0,Q122&gt;0),ROUND((1-Q122/P122)*100,0),0)</f>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f>IF(AND(P123&gt;0,Q123&gt;0),ROUND((1-Q123/P123)*100,0),0)</f>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f>IF(AND(P124&gt;0,Q124&gt;0),ROUND((1-Q124/P124)*100,0),0)</f>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f>IF(AND(P125&gt;0,Q125&gt;0),ROUND((1-Q125/P125)*100,0),0)</f>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f>IF(AND(P126&gt;0,Q126&gt;0),ROUND((1-Q126/P126)*100,0),0)</f>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f>IF(AND(P127&gt;0,Q127&gt;0),ROUND((1-Q127/P127)*100,0),0)</f>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f>IF(AND(P128&gt;0,Q128&gt;0),ROUND((1-Q128/P128)*100,0),0)</f>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f>IF(AND(P129&gt;0,Q129&gt;0),ROUND((1-Q129/P129)*100,0),0)</f>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f>IF(AND(P130&gt;0,Q130&gt;0),ROUND((1-Q130/P130)*100,0),0)</f>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f>IF(AND(P131&gt;0,Q131&gt;0),ROUND((1-Q131/P131)*100,0),0)</f>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f>IF(AND(P132&gt;0,Q132&gt;0),ROUND((1-Q132/P132)*100,0),0)</f>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f>IF(AND(P133&gt;0,Q133&gt;0),ROUND((1-Q133/P133)*100,0),0)</f>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f>IF(AND(P134&gt;0,Q134&gt;0),ROUND((1-Q134/P134)*100,0),0)</f>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f>IF(AND(P135&gt;0,Q135&gt;0),ROUND((1-Q135/P135)*100,0),0)</f>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f>IF(AND(P136&gt;0,Q136&gt;0),ROUND((1-Q136/P136)*100,0),0)</f>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f>IF(AND(P137&gt;0,Q137&gt;0),ROUND((1-Q137/P137)*100,0),0)</f>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f>IF(AND(P138&gt;0,Q138&gt;0),ROUND((1-Q138/P138)*100,0),0)</f>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f>IF(AND(P139&gt;0,Q139&gt;0),ROUND((1-Q139/P139)*100,0),0)</f>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f>IF(AND(P140&gt;0,Q140&gt;0),ROUND((1-Q140/P140)*100,0),0)</f>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f>IF(AND(P141&gt;0,Q141&gt;0),ROUND((1-Q141/P141)*100,0),0)</f>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f>IF(AND(P142&gt;0,Q142&gt;0),ROUND((1-Q142/P142)*100,0),0)</f>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f>IF(AND(P143&gt;0,Q143&gt;0),ROUND((1-Q143/P143)*100,0),0)</f>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f>IF(AND(P144&gt;0,Q144&gt;0),ROUND((1-Q144/P144)*100,0),0)</f>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f>IF(AND(P145&gt;0,Q145&gt;0),ROUND((1-Q145/P145)*100,0),0)</f>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f>IF(AND(P146&gt;0,Q146&gt;0),ROUND((1-Q146/P146)*100,0),0)</f>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f>IF(AND(P147&gt;0,Q147&gt;0),ROUND((1-Q147/P147)*100,0),0)</f>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f>IF(AND(P148&gt;0,Q148&gt;0),ROUND((1-Q148/P148)*100,0),0)</f>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f>IF(AND(P149&gt;0,Q149&gt;0),ROUND((1-Q149/P149)*100,0),0)</f>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f>IF(AND(P150&gt;0,Q150&gt;0),ROUND((1-Q150/P150)*100,0),0)</f>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f>IF(AND(P151&gt;0,Q151&gt;0),ROUND((1-Q151/P151)*100,0),0)</f>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f>IF(AND(P152&gt;0,Q152&gt;0),ROUND((1-Q152/P152)*100,0),0)</f>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f>IF(AND(P153&gt;0,Q153&gt;0),ROUND((1-Q153/P153)*100,0),0)</f>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f>IF(AND(P154&gt;0,Q154&gt;0),ROUND((1-Q154/P154)*100,0),0)</f>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f>IF(AND(P155&gt;0,Q155&gt;0),ROUND((1-Q155/P155)*100,0),0)</f>
        <v>50</v>
      </c>
    </row>
    <row r="156" ht="20" customHeight="1" spans="1:18" x14ac:dyDescent="0.25">
      <c r="A156" s="7" t="s">
        <v>532</v>
      </c>
      <c r="B156" s="8" t="s">
        <v>533</v>
      </c>
      <c r="C156" s="8" t="s">
        <v>534</v>
      </c>
      <c r="D156" s="8" t="s">
        <v>23</v>
      </c>
      <c r="E156" s="9" t="s">
        <v>24</v>
      </c>
      <c r="F156" s="9" t="s">
        <v>25</v>
      </c>
      <c r="G156" s="9" t="s">
        <v>34</v>
      </c>
      <c r="H156" s="9" t="s">
        <v>26</v>
      </c>
      <c r="I156" s="8" t="s">
        <v>534</v>
      </c>
      <c r="J156" s="8" t="s">
        <v>535</v>
      </c>
      <c r="K156" s="8" t="s">
        <v>26</v>
      </c>
      <c r="L156" s="10" t="s">
        <v>28</v>
      </c>
      <c r="M156" s="11" t="s">
        <v>29</v>
      </c>
      <c r="N156" s="12">
        <v>0</v>
      </c>
      <c r="O156" s="8" t="s">
        <v>26</v>
      </c>
      <c r="P156" s="13"/>
      <c r="Q156" s="13"/>
      <c r="R156" s="14">
        <f>IF(AND(P156&gt;0,Q156&gt;0),ROUND((1-Q156/P156)*100,0),0)</f>
        <v>38</v>
      </c>
    </row>
    <row r="157" ht="20" customHeight="1" spans="1:18" x14ac:dyDescent="0.25">
      <c r="A157" s="15" t="s">
        <v>536</v>
      </c>
      <c r="B157" s="16" t="s">
        <v>537</v>
      </c>
      <c r="C157" s="16" t="s">
        <v>538</v>
      </c>
      <c r="D157" s="16" t="s">
        <v>199</v>
      </c>
      <c r="E157" s="17" t="s">
        <v>24</v>
      </c>
      <c r="F157" s="17" t="s">
        <v>200</v>
      </c>
      <c r="G157" s="17" t="s">
        <v>201</v>
      </c>
      <c r="H157" s="17" t="s">
        <v>26</v>
      </c>
      <c r="I157" s="16" t="s">
        <v>538</v>
      </c>
      <c r="J157" s="16" t="s">
        <v>26</v>
      </c>
      <c r="K157" s="16" t="s">
        <v>26</v>
      </c>
      <c r="L157" s="18" t="s">
        <v>28</v>
      </c>
      <c r="M157" s="19" t="s">
        <v>29</v>
      </c>
      <c r="N157" s="20">
        <v>0</v>
      </c>
      <c r="O157" s="16" t="s">
        <v>26</v>
      </c>
      <c r="P157" s="13">
        <v>500</v>
      </c>
      <c r="Q157" s="13">
        <v>400</v>
      </c>
      <c r="R157" s="14">
        <f>IF(AND(P157&gt;0,Q157&gt;0),ROUND((1-Q157/P157)*100,0),0)</f>
        <v>20</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1" t="s">
        <v>29</v>
      </c>
      <c r="M158" s="11" t="s">
        <v>29</v>
      </c>
      <c r="N158" s="12">
        <v>0</v>
      </c>
      <c r="O158" s="8" t="s">
        <v>26</v>
      </c>
      <c r="P158" s="13"/>
      <c r="Q158" s="13"/>
      <c r="R158" s="14">
        <f>IF(AND(P158&gt;0,Q158&gt;0),ROUND((1-Q158/P158)*100,0),0)</f>
        <v>0</v>
      </c>
    </row>
    <row r="159" ht="20" customHeight="1" spans="1:18" x14ac:dyDescent="0.25">
      <c r="A159" s="15" t="s">
        <v>543</v>
      </c>
      <c r="B159" s="16" t="s">
        <v>544</v>
      </c>
      <c r="C159" s="16" t="s">
        <v>545</v>
      </c>
      <c r="D159" s="16" t="s">
        <v>546</v>
      </c>
      <c r="E159" s="17" t="s">
        <v>24</v>
      </c>
      <c r="F159" s="17" t="s">
        <v>25</v>
      </c>
      <c r="G159" s="17" t="s">
        <v>547</v>
      </c>
      <c r="H159" s="17" t="s">
        <v>548</v>
      </c>
      <c r="I159" s="16" t="s">
        <v>26</v>
      </c>
      <c r="J159" s="16" t="s">
        <v>26</v>
      </c>
      <c r="K159" s="16" t="s">
        <v>549</v>
      </c>
      <c r="L159" s="18" t="s">
        <v>28</v>
      </c>
      <c r="M159" s="18" t="s">
        <v>28</v>
      </c>
      <c r="N159" s="20">
        <v>2</v>
      </c>
      <c r="O159" s="16" t="s">
        <v>26</v>
      </c>
      <c r="P159" s="13">
        <v>95000</v>
      </c>
      <c r="Q159" s="13"/>
      <c r="R159" s="14">
        <f>IF(AND(P159&gt;0,Q159&gt;0),ROUND((1-Q159/P159)*100,0),0)</f>
        <v>35</v>
      </c>
    </row>
    <row r="160" ht="20" customHeight="1" spans="1:18" x14ac:dyDescent="0.25">
      <c r="A160" s="7" t="s">
        <v>550</v>
      </c>
      <c r="B160" s="8" t="s">
        <v>551</v>
      </c>
      <c r="C160" s="8" t="s">
        <v>552</v>
      </c>
      <c r="D160" s="8" t="s">
        <v>546</v>
      </c>
      <c r="E160" s="9" t="s">
        <v>24</v>
      </c>
      <c r="F160" s="9" t="s">
        <v>25</v>
      </c>
      <c r="G160" s="9" t="s">
        <v>547</v>
      </c>
      <c r="H160" s="9" t="s">
        <v>553</v>
      </c>
      <c r="I160" s="8" t="s">
        <v>26</v>
      </c>
      <c r="J160" s="8" t="s">
        <v>26</v>
      </c>
      <c r="K160" s="8" t="s">
        <v>549</v>
      </c>
      <c r="L160" s="10" t="s">
        <v>28</v>
      </c>
      <c r="M160" s="10" t="s">
        <v>28</v>
      </c>
      <c r="N160" s="12">
        <v>2</v>
      </c>
      <c r="O160" s="8" t="s">
        <v>26</v>
      </c>
      <c r="P160" s="13">
        <v>86300</v>
      </c>
      <c r="Q160" s="13"/>
      <c r="R160" s="14">
        <f>IF(AND(P160&gt;0,Q160&gt;0),ROUND((1-Q160/P160)*100,0),0)</f>
        <v>35</v>
      </c>
    </row>
    <row r="161" ht="20" customHeight="1" spans="1:18" x14ac:dyDescent="0.25">
      <c r="A161" s="15" t="s">
        <v>554</v>
      </c>
      <c r="B161" s="16" t="s">
        <v>555</v>
      </c>
      <c r="C161" s="16" t="s">
        <v>556</v>
      </c>
      <c r="D161" s="16" t="s">
        <v>546</v>
      </c>
      <c r="E161" s="17" t="s">
        <v>24</v>
      </c>
      <c r="F161" s="17" t="s">
        <v>25</v>
      </c>
      <c r="G161" s="17" t="s">
        <v>547</v>
      </c>
      <c r="H161" s="17" t="s">
        <v>553</v>
      </c>
      <c r="I161" s="16" t="s">
        <v>26</v>
      </c>
      <c r="J161" s="16" t="s">
        <v>26</v>
      </c>
      <c r="K161" s="16" t="s">
        <v>549</v>
      </c>
      <c r="L161" s="18" t="s">
        <v>28</v>
      </c>
      <c r="M161" s="18" t="s">
        <v>28</v>
      </c>
      <c r="N161" s="20">
        <v>2</v>
      </c>
      <c r="O161" s="16" t="s">
        <v>26</v>
      </c>
      <c r="P161" s="13">
        <v>179500</v>
      </c>
      <c r="Q161" s="13">
        <v>107700</v>
      </c>
      <c r="R161" s="14">
        <f>IF(AND(P161&gt;0,Q161&gt;0),ROUND((1-Q161/P161)*100,0),0)</f>
        <v>40</v>
      </c>
    </row>
    <row r="162" ht="20" customHeight="1" spans="1:18" x14ac:dyDescent="0.25">
      <c r="A162" s="7" t="s">
        <v>557</v>
      </c>
      <c r="B162" s="8" t="s">
        <v>558</v>
      </c>
      <c r="C162" s="8" t="s">
        <v>559</v>
      </c>
      <c r="D162" s="8" t="s">
        <v>546</v>
      </c>
      <c r="E162" s="9" t="s">
        <v>24</v>
      </c>
      <c r="F162" s="9" t="s">
        <v>25</v>
      </c>
      <c r="G162" s="9" t="s">
        <v>547</v>
      </c>
      <c r="H162" s="9" t="s">
        <v>553</v>
      </c>
      <c r="I162" s="8" t="s">
        <v>26</v>
      </c>
      <c r="J162" s="8" t="s">
        <v>26</v>
      </c>
      <c r="K162" s="8" t="s">
        <v>549</v>
      </c>
      <c r="L162" s="10" t="s">
        <v>28</v>
      </c>
      <c r="M162" s="10" t="s">
        <v>28</v>
      </c>
      <c r="N162" s="12">
        <v>2</v>
      </c>
      <c r="O162" s="8" t="s">
        <v>26</v>
      </c>
      <c r="P162" s="13">
        <v>75500</v>
      </c>
      <c r="Q162" s="13"/>
      <c r="R162" s="14">
        <f>IF(AND(P162&gt;0,Q162&gt;0),ROUND((1-Q162/P162)*100,0),0)</f>
        <v>35</v>
      </c>
    </row>
    <row r="163" ht="20" customHeight="1" spans="1:18" x14ac:dyDescent="0.25">
      <c r="A163" s="15" t="s">
        <v>560</v>
      </c>
      <c r="B163" s="16" t="s">
        <v>561</v>
      </c>
      <c r="C163" s="16" t="s">
        <v>562</v>
      </c>
      <c r="D163" s="16" t="s">
        <v>546</v>
      </c>
      <c r="E163" s="17" t="s">
        <v>24</v>
      </c>
      <c r="F163" s="17" t="s">
        <v>25</v>
      </c>
      <c r="G163" s="17" t="s">
        <v>547</v>
      </c>
      <c r="H163" s="17" t="s">
        <v>553</v>
      </c>
      <c r="I163" s="16" t="s">
        <v>26</v>
      </c>
      <c r="J163" s="16" t="s">
        <v>26</v>
      </c>
      <c r="K163" s="16" t="s">
        <v>549</v>
      </c>
      <c r="L163" s="18" t="s">
        <v>28</v>
      </c>
      <c r="M163" s="18" t="s">
        <v>28</v>
      </c>
      <c r="N163" s="20">
        <v>2</v>
      </c>
      <c r="O163" s="16" t="s">
        <v>26</v>
      </c>
      <c r="P163" s="13">
        <v>75500</v>
      </c>
      <c r="Q163" s="13"/>
      <c r="R163" s="14">
        <f>IF(AND(P163&gt;0,Q163&gt;0),ROUND((1-Q163/P163)*100,0),0)</f>
        <v>35</v>
      </c>
    </row>
    <row r="164" ht="20" customHeight="1" spans="1:18" x14ac:dyDescent="0.25">
      <c r="A164" s="7" t="s">
        <v>563</v>
      </c>
      <c r="B164" s="8" t="s">
        <v>564</v>
      </c>
      <c r="C164" s="8" t="s">
        <v>565</v>
      </c>
      <c r="D164" s="8" t="s">
        <v>546</v>
      </c>
      <c r="E164" s="9" t="s">
        <v>24</v>
      </c>
      <c r="F164" s="9" t="s">
        <v>25</v>
      </c>
      <c r="G164" s="9" t="s">
        <v>547</v>
      </c>
      <c r="H164" s="9" t="s">
        <v>548</v>
      </c>
      <c r="I164" s="8" t="s">
        <v>26</v>
      </c>
      <c r="J164" s="8" t="s">
        <v>26</v>
      </c>
      <c r="K164" s="8" t="s">
        <v>549</v>
      </c>
      <c r="L164" s="10" t="s">
        <v>28</v>
      </c>
      <c r="M164" s="10" t="s">
        <v>28</v>
      </c>
      <c r="N164" s="12">
        <v>2</v>
      </c>
      <c r="O164" s="8" t="s">
        <v>26</v>
      </c>
      <c r="P164" s="13">
        <v>83100</v>
      </c>
      <c r="Q164" s="13"/>
      <c r="R164" s="14">
        <f>IF(AND(P164&gt;0,Q164&gt;0),ROUND((1-Q164/P164)*100,0),0)</f>
        <v>35</v>
      </c>
    </row>
    <row r="165" ht="20" customHeight="1" spans="1:18" x14ac:dyDescent="0.25">
      <c r="A165" s="15" t="s">
        <v>566</v>
      </c>
      <c r="B165" s="16" t="s">
        <v>567</v>
      </c>
      <c r="C165" s="16" t="s">
        <v>568</v>
      </c>
      <c r="D165" s="16" t="s">
        <v>546</v>
      </c>
      <c r="E165" s="17" t="s">
        <v>24</v>
      </c>
      <c r="F165" s="17" t="s">
        <v>25</v>
      </c>
      <c r="G165" s="17" t="s">
        <v>547</v>
      </c>
      <c r="H165" s="17" t="s">
        <v>553</v>
      </c>
      <c r="I165" s="16" t="s">
        <v>26</v>
      </c>
      <c r="J165" s="16" t="s">
        <v>26</v>
      </c>
      <c r="K165" s="16" t="s">
        <v>549</v>
      </c>
      <c r="L165" s="18" t="s">
        <v>28</v>
      </c>
      <c r="M165" s="18" t="s">
        <v>28</v>
      </c>
      <c r="N165" s="20">
        <v>2</v>
      </c>
      <c r="O165" s="16" t="s">
        <v>26</v>
      </c>
      <c r="P165" s="13">
        <v>157300</v>
      </c>
      <c r="Q165" s="13">
        <v>94380</v>
      </c>
      <c r="R165" s="14">
        <f>IF(AND(P165&gt;0,Q165&gt;0),ROUND((1-Q165/P165)*100,0),0)</f>
        <v>40</v>
      </c>
    </row>
    <row r="166" ht="20" customHeight="1" spans="1:18" x14ac:dyDescent="0.25">
      <c r="A166" s="7" t="s">
        <v>569</v>
      </c>
      <c r="B166" s="8" t="s">
        <v>570</v>
      </c>
      <c r="C166" s="8" t="s">
        <v>571</v>
      </c>
      <c r="D166" s="8" t="s">
        <v>546</v>
      </c>
      <c r="E166" s="9" t="s">
        <v>24</v>
      </c>
      <c r="F166" s="9" t="s">
        <v>25</v>
      </c>
      <c r="G166" s="9" t="s">
        <v>547</v>
      </c>
      <c r="H166" s="9" t="s">
        <v>553</v>
      </c>
      <c r="I166" s="8" t="s">
        <v>26</v>
      </c>
      <c r="J166" s="8" t="s">
        <v>26</v>
      </c>
      <c r="K166" s="8" t="s">
        <v>549</v>
      </c>
      <c r="L166" s="10" t="s">
        <v>28</v>
      </c>
      <c r="M166" s="10" t="s">
        <v>28</v>
      </c>
      <c r="N166" s="12">
        <v>2</v>
      </c>
      <c r="O166" s="8" t="s">
        <v>26</v>
      </c>
      <c r="P166" s="13">
        <v>59000</v>
      </c>
      <c r="Q166" s="13"/>
      <c r="R166" s="14">
        <f>IF(AND(P166&gt;0,Q166&gt;0),ROUND((1-Q166/P166)*100,0),0)</f>
        <v>35</v>
      </c>
    </row>
    <row r="167" ht="20" customHeight="1" spans="1:18" x14ac:dyDescent="0.25">
      <c r="A167" s="15" t="s">
        <v>572</v>
      </c>
      <c r="B167" s="16" t="s">
        <v>573</v>
      </c>
      <c r="C167" s="16" t="s">
        <v>574</v>
      </c>
      <c r="D167" s="16" t="s">
        <v>546</v>
      </c>
      <c r="E167" s="17" t="s">
        <v>24</v>
      </c>
      <c r="F167" s="17" t="s">
        <v>25</v>
      </c>
      <c r="G167" s="17" t="s">
        <v>547</v>
      </c>
      <c r="H167" s="17" t="s">
        <v>548</v>
      </c>
      <c r="I167" s="16" t="s">
        <v>26</v>
      </c>
      <c r="J167" s="16" t="s">
        <v>26</v>
      </c>
      <c r="K167" s="16" t="s">
        <v>549</v>
      </c>
      <c r="L167" s="18" t="s">
        <v>28</v>
      </c>
      <c r="M167" s="18" t="s">
        <v>28</v>
      </c>
      <c r="N167" s="20">
        <v>2</v>
      </c>
      <c r="O167" s="16" t="s">
        <v>26</v>
      </c>
      <c r="P167" s="13">
        <v>95000</v>
      </c>
      <c r="Q167" s="13"/>
      <c r="R167" s="14">
        <f>IF(AND(P167&gt;0,Q167&gt;0),ROUND((1-Q167/P167)*100,0),0)</f>
        <v>50</v>
      </c>
    </row>
    <row r="168" ht="20" customHeight="1" spans="1:18" x14ac:dyDescent="0.25">
      <c r="A168" s="7" t="s">
        <v>575</v>
      </c>
      <c r="B168" s="8" t="s">
        <v>576</v>
      </c>
      <c r="C168" s="8" t="s">
        <v>577</v>
      </c>
      <c r="D168" s="8" t="s">
        <v>546</v>
      </c>
      <c r="E168" s="9" t="s">
        <v>24</v>
      </c>
      <c r="F168" s="9" t="s">
        <v>25</v>
      </c>
      <c r="G168" s="9" t="s">
        <v>578</v>
      </c>
      <c r="H168" s="9" t="s">
        <v>553</v>
      </c>
      <c r="I168" s="8" t="s">
        <v>26</v>
      </c>
      <c r="J168" s="8" t="s">
        <v>26</v>
      </c>
      <c r="K168" s="8" t="s">
        <v>549</v>
      </c>
      <c r="L168" s="10" t="s">
        <v>28</v>
      </c>
      <c r="M168" s="10" t="s">
        <v>28</v>
      </c>
      <c r="N168" s="12">
        <v>2</v>
      </c>
      <c r="O168" s="8" t="s">
        <v>26</v>
      </c>
      <c r="P168" s="13">
        <v>86300</v>
      </c>
      <c r="Q168" s="13"/>
      <c r="R168" s="14">
        <f>IF(AND(P168&gt;0,Q168&gt;0),ROUND((1-Q168/P168)*100,0),0)</f>
        <v>35</v>
      </c>
    </row>
    <row r="169" ht="20" customHeight="1" spans="1:18" x14ac:dyDescent="0.25">
      <c r="A169" s="15" t="s">
        <v>579</v>
      </c>
      <c r="B169" s="16" t="s">
        <v>580</v>
      </c>
      <c r="C169" s="16" t="s">
        <v>581</v>
      </c>
      <c r="D169" s="16" t="s">
        <v>546</v>
      </c>
      <c r="E169" s="17" t="s">
        <v>24</v>
      </c>
      <c r="F169" s="17" t="s">
        <v>25</v>
      </c>
      <c r="G169" s="17" t="s">
        <v>578</v>
      </c>
      <c r="H169" s="17" t="s">
        <v>553</v>
      </c>
      <c r="I169" s="16" t="s">
        <v>26</v>
      </c>
      <c r="J169" s="16" t="s">
        <v>26</v>
      </c>
      <c r="K169" s="16" t="s">
        <v>549</v>
      </c>
      <c r="L169" s="18" t="s">
        <v>28</v>
      </c>
      <c r="M169" s="18" t="s">
        <v>28</v>
      </c>
      <c r="N169" s="20">
        <v>2</v>
      </c>
      <c r="O169" s="16" t="s">
        <v>26</v>
      </c>
      <c r="P169" s="13">
        <v>86300</v>
      </c>
      <c r="Q169" s="13"/>
      <c r="R169" s="14">
        <f>IF(AND(P169&gt;0,Q169&gt;0),ROUND((1-Q169/P169)*100,0),0)</f>
        <v>35</v>
      </c>
    </row>
    <row r="170" ht="20" customHeight="1" spans="1:18" x14ac:dyDescent="0.25">
      <c r="A170" s="7" t="s">
        <v>582</v>
      </c>
      <c r="B170" s="8" t="s">
        <v>583</v>
      </c>
      <c r="C170" s="8" t="s">
        <v>584</v>
      </c>
      <c r="D170" s="8" t="s">
        <v>546</v>
      </c>
      <c r="E170" s="9" t="s">
        <v>24</v>
      </c>
      <c r="F170" s="9" t="s">
        <v>25</v>
      </c>
      <c r="G170" s="9" t="s">
        <v>578</v>
      </c>
      <c r="H170" s="9" t="s">
        <v>553</v>
      </c>
      <c r="I170" s="8" t="s">
        <v>26</v>
      </c>
      <c r="J170" s="8" t="s">
        <v>26</v>
      </c>
      <c r="K170" s="8" t="s">
        <v>549</v>
      </c>
      <c r="L170" s="10" t="s">
        <v>28</v>
      </c>
      <c r="M170" s="10" t="s">
        <v>28</v>
      </c>
      <c r="N170" s="12">
        <v>2</v>
      </c>
      <c r="O170" s="8" t="s">
        <v>26</v>
      </c>
      <c r="P170" s="13">
        <v>69000</v>
      </c>
      <c r="Q170" s="13"/>
      <c r="R170" s="14">
        <f>IF(AND(P170&gt;0,Q170&gt;0),ROUND((1-Q170/P170)*100,0),0)</f>
        <v>35</v>
      </c>
    </row>
    <row r="171" ht="20" customHeight="1" spans="1:18" x14ac:dyDescent="0.25">
      <c r="A171" s="15" t="s">
        <v>585</v>
      </c>
      <c r="B171" s="16" t="s">
        <v>586</v>
      </c>
      <c r="C171" s="16" t="s">
        <v>587</v>
      </c>
      <c r="D171" s="16" t="s">
        <v>546</v>
      </c>
      <c r="E171" s="17" t="s">
        <v>24</v>
      </c>
      <c r="F171" s="17" t="s">
        <v>25</v>
      </c>
      <c r="G171" s="17" t="s">
        <v>578</v>
      </c>
      <c r="H171" s="17" t="s">
        <v>553</v>
      </c>
      <c r="I171" s="16" t="s">
        <v>26</v>
      </c>
      <c r="J171" s="16" t="s">
        <v>26</v>
      </c>
      <c r="K171" s="16" t="s">
        <v>549</v>
      </c>
      <c r="L171" s="18" t="s">
        <v>28</v>
      </c>
      <c r="M171" s="18" t="s">
        <v>28</v>
      </c>
      <c r="N171" s="20">
        <v>2</v>
      </c>
      <c r="O171" s="16" t="s">
        <v>26</v>
      </c>
      <c r="P171" s="13">
        <v>86300</v>
      </c>
      <c r="Q171" s="13"/>
      <c r="R171" s="14">
        <f>IF(AND(P171&gt;0,Q171&gt;0),ROUND((1-Q171/P171)*100,0),0)</f>
        <v>50</v>
      </c>
    </row>
    <row r="172" ht="20" customHeight="1" spans="1:18" x14ac:dyDescent="0.25">
      <c r="A172" s="7" t="s">
        <v>588</v>
      </c>
      <c r="B172" s="8" t="s">
        <v>589</v>
      </c>
      <c r="C172" s="8" t="s">
        <v>590</v>
      </c>
      <c r="D172" s="8" t="s">
        <v>546</v>
      </c>
      <c r="E172" s="9" t="s">
        <v>24</v>
      </c>
      <c r="F172" s="9" t="s">
        <v>25</v>
      </c>
      <c r="G172" s="9" t="s">
        <v>578</v>
      </c>
      <c r="H172" s="9" t="s">
        <v>548</v>
      </c>
      <c r="I172" s="8" t="s">
        <v>26</v>
      </c>
      <c r="J172" s="8" t="s">
        <v>26</v>
      </c>
      <c r="K172" s="8" t="s">
        <v>549</v>
      </c>
      <c r="L172" s="10" t="s">
        <v>28</v>
      </c>
      <c r="M172" s="10" t="s">
        <v>28</v>
      </c>
      <c r="N172" s="12">
        <v>2</v>
      </c>
      <c r="O172" s="8" t="s">
        <v>26</v>
      </c>
      <c r="P172" s="13">
        <v>95000</v>
      </c>
      <c r="Q172" s="13"/>
      <c r="R172" s="14">
        <f>IF(AND(P172&gt;0,Q172&gt;0),ROUND((1-Q172/P172)*100,0),0)</f>
        <v>50</v>
      </c>
    </row>
    <row r="173" ht="20" customHeight="1" spans="1:18" x14ac:dyDescent="0.25">
      <c r="A173" s="15" t="s">
        <v>591</v>
      </c>
      <c r="B173" s="16" t="s">
        <v>592</v>
      </c>
      <c r="C173" s="16" t="s">
        <v>593</v>
      </c>
      <c r="D173" s="16" t="s">
        <v>546</v>
      </c>
      <c r="E173" s="17" t="s">
        <v>24</v>
      </c>
      <c r="F173" s="17" t="s">
        <v>25</v>
      </c>
      <c r="G173" s="17" t="s">
        <v>578</v>
      </c>
      <c r="H173" s="17" t="s">
        <v>553</v>
      </c>
      <c r="I173" s="16" t="s">
        <v>26</v>
      </c>
      <c r="J173" s="16" t="s">
        <v>26</v>
      </c>
      <c r="K173" s="16" t="s">
        <v>549</v>
      </c>
      <c r="L173" s="18" t="s">
        <v>28</v>
      </c>
      <c r="M173" s="18" t="s">
        <v>28</v>
      </c>
      <c r="N173" s="20">
        <v>2</v>
      </c>
      <c r="O173" s="16" t="s">
        <v>26</v>
      </c>
      <c r="P173" s="13">
        <v>69000</v>
      </c>
      <c r="Q173" s="13"/>
      <c r="R173" s="14">
        <f>IF(AND(P173&gt;0,Q173&gt;0),ROUND((1-Q173/P173)*100,0),0)</f>
        <v>0</v>
      </c>
    </row>
    <row r="174" ht="20" customHeight="1" spans="1:18" x14ac:dyDescent="0.25">
      <c r="A174" s="7" t="s">
        <v>594</v>
      </c>
      <c r="B174" s="8" t="s">
        <v>595</v>
      </c>
      <c r="C174" s="8" t="s">
        <v>596</v>
      </c>
      <c r="D174" s="8" t="s">
        <v>546</v>
      </c>
      <c r="E174" s="9" t="s">
        <v>24</v>
      </c>
      <c r="F174" s="9" t="s">
        <v>25</v>
      </c>
      <c r="G174" s="9" t="s">
        <v>547</v>
      </c>
      <c r="H174" s="9" t="s">
        <v>553</v>
      </c>
      <c r="I174" s="8" t="s">
        <v>26</v>
      </c>
      <c r="J174" s="8" t="s">
        <v>26</v>
      </c>
      <c r="K174" s="8" t="s">
        <v>549</v>
      </c>
      <c r="L174" s="10" t="s">
        <v>28</v>
      </c>
      <c r="M174" s="10" t="s">
        <v>28</v>
      </c>
      <c r="N174" s="12">
        <v>2</v>
      </c>
      <c r="O174" s="8" t="s">
        <v>26</v>
      </c>
      <c r="P174" s="13">
        <v>70000</v>
      </c>
      <c r="Q174" s="13"/>
      <c r="R174" s="14">
        <f>IF(AND(P174&gt;0,Q174&gt;0),ROUND((1-Q174/P174)*100,0),0)</f>
        <v>0</v>
      </c>
    </row>
    <row r="175" ht="20" customHeight="1" spans="1:18" x14ac:dyDescent="0.25">
      <c r="A175" s="15" t="s">
        <v>597</v>
      </c>
      <c r="B175" s="16" t="s">
        <v>598</v>
      </c>
      <c r="C175" s="16" t="s">
        <v>599</v>
      </c>
      <c r="D175" s="16" t="s">
        <v>546</v>
      </c>
      <c r="E175" s="17" t="s">
        <v>24</v>
      </c>
      <c r="F175" s="17" t="s">
        <v>25</v>
      </c>
      <c r="G175" s="17" t="s">
        <v>547</v>
      </c>
      <c r="H175" s="17" t="s">
        <v>553</v>
      </c>
      <c r="I175" s="16" t="s">
        <v>26</v>
      </c>
      <c r="J175" s="16" t="s">
        <v>26</v>
      </c>
      <c r="K175" s="16" t="s">
        <v>549</v>
      </c>
      <c r="L175" s="18" t="s">
        <v>28</v>
      </c>
      <c r="M175" s="18" t="s">
        <v>28</v>
      </c>
      <c r="N175" s="20">
        <v>2</v>
      </c>
      <c r="O175" s="16" t="s">
        <v>26</v>
      </c>
      <c r="P175" s="13">
        <v>145600</v>
      </c>
      <c r="Q175" s="13">
        <v>87360</v>
      </c>
      <c r="R175" s="14">
        <f>IF(AND(P175&gt;0,Q175&gt;0),ROUND((1-Q175/P175)*100,0),0)</f>
        <v>40</v>
      </c>
    </row>
    <row r="176" ht="20" customHeight="1" spans="1:18" x14ac:dyDescent="0.25">
      <c r="A176" s="7" t="s">
        <v>600</v>
      </c>
      <c r="B176" s="8" t="s">
        <v>601</v>
      </c>
      <c r="C176" s="8" t="s">
        <v>602</v>
      </c>
      <c r="D176" s="8" t="s">
        <v>546</v>
      </c>
      <c r="E176" s="9" t="s">
        <v>24</v>
      </c>
      <c r="F176" s="9" t="s">
        <v>25</v>
      </c>
      <c r="G176" s="9" t="s">
        <v>547</v>
      </c>
      <c r="H176" s="9" t="s">
        <v>553</v>
      </c>
      <c r="I176" s="8" t="s">
        <v>26</v>
      </c>
      <c r="J176" s="8" t="s">
        <v>26</v>
      </c>
      <c r="K176" s="8" t="s">
        <v>549</v>
      </c>
      <c r="L176" s="10" t="s">
        <v>28</v>
      </c>
      <c r="M176" s="10" t="s">
        <v>28</v>
      </c>
      <c r="N176" s="12">
        <v>2</v>
      </c>
      <c r="O176" s="8" t="s">
        <v>26</v>
      </c>
      <c r="P176" s="13">
        <v>75500</v>
      </c>
      <c r="Q176" s="13">
        <v>60400</v>
      </c>
      <c r="R176" s="14">
        <f>IF(AND(P176&gt;0,Q176&gt;0),ROUND((1-Q176/P176)*100,0),0)</f>
        <v>20</v>
      </c>
    </row>
    <row r="177" ht="20" customHeight="1" spans="1:18" x14ac:dyDescent="0.25">
      <c r="A177" s="15" t="s">
        <v>603</v>
      </c>
      <c r="B177" s="16" t="s">
        <v>604</v>
      </c>
      <c r="C177" s="16" t="s">
        <v>605</v>
      </c>
      <c r="D177" s="16" t="s">
        <v>546</v>
      </c>
      <c r="E177" s="17" t="s">
        <v>24</v>
      </c>
      <c r="F177" s="17" t="s">
        <v>25</v>
      </c>
      <c r="G177" s="17" t="s">
        <v>547</v>
      </c>
      <c r="H177" s="17" t="s">
        <v>553</v>
      </c>
      <c r="I177" s="16" t="s">
        <v>26</v>
      </c>
      <c r="J177" s="16" t="s">
        <v>26</v>
      </c>
      <c r="K177" s="16" t="s">
        <v>549</v>
      </c>
      <c r="L177" s="18" t="s">
        <v>28</v>
      </c>
      <c r="M177" s="18" t="s">
        <v>28</v>
      </c>
      <c r="N177" s="20">
        <v>2</v>
      </c>
      <c r="O177" s="16" t="s">
        <v>26</v>
      </c>
      <c r="P177" s="13">
        <v>75500</v>
      </c>
      <c r="Q177" s="13">
        <v>60400</v>
      </c>
      <c r="R177" s="14">
        <f>IF(AND(P177&gt;0,Q177&gt;0),ROUND((1-Q177/P177)*100,0),0)</f>
        <v>20</v>
      </c>
    </row>
    <row r="178" ht="20" customHeight="1" spans="1:18" x14ac:dyDescent="0.25">
      <c r="A178" s="7" t="s">
        <v>606</v>
      </c>
      <c r="B178" s="8" t="s">
        <v>607</v>
      </c>
      <c r="C178" s="8" t="s">
        <v>608</v>
      </c>
      <c r="D178" s="8" t="s">
        <v>546</v>
      </c>
      <c r="E178" s="9" t="s">
        <v>24</v>
      </c>
      <c r="F178" s="9" t="s">
        <v>25</v>
      </c>
      <c r="G178" s="9" t="s">
        <v>578</v>
      </c>
      <c r="H178" s="9" t="s">
        <v>553</v>
      </c>
      <c r="I178" s="8" t="s">
        <v>26</v>
      </c>
      <c r="J178" s="8" t="s">
        <v>26</v>
      </c>
      <c r="K178" s="8" t="s">
        <v>549</v>
      </c>
      <c r="L178" s="10" t="s">
        <v>28</v>
      </c>
      <c r="M178" s="10" t="s">
        <v>28</v>
      </c>
      <c r="N178" s="12">
        <v>2</v>
      </c>
      <c r="O178" s="8" t="s">
        <v>26</v>
      </c>
      <c r="P178" s="13">
        <v>78800</v>
      </c>
      <c r="Q178" s="13"/>
      <c r="R178" s="14">
        <f>IF(AND(P178&gt;0,Q178&gt;0),ROUND((1-Q178/P178)*100,0),0)</f>
        <v>0</v>
      </c>
    </row>
    <row r="179" ht="20" customHeight="1" spans="1:18" x14ac:dyDescent="0.25">
      <c r="A179" s="15" t="s">
        <v>609</v>
      </c>
      <c r="B179" s="16" t="s">
        <v>610</v>
      </c>
      <c r="C179" s="16" t="s">
        <v>611</v>
      </c>
      <c r="D179" s="16" t="s">
        <v>546</v>
      </c>
      <c r="E179" s="17" t="s">
        <v>24</v>
      </c>
      <c r="F179" s="17" t="s">
        <v>25</v>
      </c>
      <c r="G179" s="17" t="s">
        <v>578</v>
      </c>
      <c r="H179" s="17" t="s">
        <v>553</v>
      </c>
      <c r="I179" s="16" t="s">
        <v>26</v>
      </c>
      <c r="J179" s="16" t="s">
        <v>26</v>
      </c>
      <c r="K179" s="16" t="s">
        <v>549</v>
      </c>
      <c r="L179" s="18" t="s">
        <v>28</v>
      </c>
      <c r="M179" s="18" t="s">
        <v>28</v>
      </c>
      <c r="N179" s="20">
        <v>2</v>
      </c>
      <c r="O179" s="16" t="s">
        <v>26</v>
      </c>
      <c r="P179" s="13">
        <v>69000</v>
      </c>
      <c r="Q179" s="13">
        <v>55200</v>
      </c>
      <c r="R179" s="14">
        <f>IF(AND(P179&gt;0,Q179&gt;0),ROUND((1-Q179/P179)*100,0),0)</f>
        <v>20</v>
      </c>
    </row>
    <row r="180" ht="20" customHeight="1" spans="1:18" x14ac:dyDescent="0.25">
      <c r="A180" s="7" t="s">
        <v>612</v>
      </c>
      <c r="B180" s="8" t="s">
        <v>613</v>
      </c>
      <c r="C180" s="8" t="s">
        <v>614</v>
      </c>
      <c r="D180" s="8" t="s">
        <v>546</v>
      </c>
      <c r="E180" s="9" t="s">
        <v>24</v>
      </c>
      <c r="F180" s="9" t="s">
        <v>25</v>
      </c>
      <c r="G180" s="9" t="s">
        <v>578</v>
      </c>
      <c r="H180" s="9" t="s">
        <v>553</v>
      </c>
      <c r="I180" s="8" t="s">
        <v>26</v>
      </c>
      <c r="J180" s="8" t="s">
        <v>26</v>
      </c>
      <c r="K180" s="8" t="s">
        <v>549</v>
      </c>
      <c r="L180" s="10" t="s">
        <v>28</v>
      </c>
      <c r="M180" s="10" t="s">
        <v>28</v>
      </c>
      <c r="N180" s="12">
        <v>2</v>
      </c>
      <c r="O180" s="8" t="s">
        <v>26</v>
      </c>
      <c r="P180" s="13">
        <v>75900</v>
      </c>
      <c r="Q180" s="13"/>
      <c r="R180" s="14">
        <f>IF(AND(P180&gt;0,Q180&gt;0),ROUND((1-Q180/P180)*100,0),0)</f>
        <v>0</v>
      </c>
    </row>
    <row r="181" ht="20" customHeight="1" spans="1:18" x14ac:dyDescent="0.25">
      <c r="A181" s="15" t="s">
        <v>615</v>
      </c>
      <c r="B181" s="16" t="s">
        <v>616</v>
      </c>
      <c r="C181" s="16" t="s">
        <v>617</v>
      </c>
      <c r="D181" s="16" t="s">
        <v>546</v>
      </c>
      <c r="E181" s="17" t="s">
        <v>24</v>
      </c>
      <c r="F181" s="17" t="s">
        <v>25</v>
      </c>
      <c r="G181" s="17" t="s">
        <v>578</v>
      </c>
      <c r="H181" s="17" t="s">
        <v>548</v>
      </c>
      <c r="I181" s="16" t="s">
        <v>26</v>
      </c>
      <c r="J181" s="16" t="s">
        <v>26</v>
      </c>
      <c r="K181" s="16" t="s">
        <v>549</v>
      </c>
      <c r="L181" s="18" t="s">
        <v>28</v>
      </c>
      <c r="M181" s="18" t="s">
        <v>28</v>
      </c>
      <c r="N181" s="20">
        <v>2</v>
      </c>
      <c r="O181" s="16" t="s">
        <v>26</v>
      </c>
      <c r="P181" s="13">
        <v>95000</v>
      </c>
      <c r="Q181" s="13"/>
      <c r="R181" s="14">
        <f>IF(AND(P181&gt;0,Q181&gt;0),ROUND((1-Q181/P181)*100,0),0)</f>
        <v>0</v>
      </c>
    </row>
    <row r="182" ht="20" customHeight="1" spans="1:18" x14ac:dyDescent="0.25">
      <c r="A182" s="7" t="s">
        <v>618</v>
      </c>
      <c r="B182" s="8" t="s">
        <v>619</v>
      </c>
      <c r="C182" s="8" t="s">
        <v>620</v>
      </c>
      <c r="D182" s="8" t="s">
        <v>546</v>
      </c>
      <c r="E182" s="9" t="s">
        <v>24</v>
      </c>
      <c r="F182" s="9" t="s">
        <v>25</v>
      </c>
      <c r="G182" s="9" t="s">
        <v>578</v>
      </c>
      <c r="H182" s="9" t="s">
        <v>553</v>
      </c>
      <c r="I182" s="8" t="s">
        <v>26</v>
      </c>
      <c r="J182" s="8" t="s">
        <v>26</v>
      </c>
      <c r="K182" s="8" t="s">
        <v>549</v>
      </c>
      <c r="L182" s="10" t="s">
        <v>28</v>
      </c>
      <c r="M182" s="10" t="s">
        <v>28</v>
      </c>
      <c r="N182" s="12">
        <v>2</v>
      </c>
      <c r="O182" s="8" t="s">
        <v>26</v>
      </c>
      <c r="P182" s="13">
        <v>59000</v>
      </c>
      <c r="Q182" s="13">
        <v>53100</v>
      </c>
      <c r="R182" s="14">
        <f>IF(AND(P182&gt;0,Q182&gt;0),ROUND((1-Q182/P182)*100,0),0)</f>
        <v>10</v>
      </c>
    </row>
    <row r="183" ht="20" customHeight="1" spans="1:18" x14ac:dyDescent="0.25">
      <c r="A183" s="15" t="s">
        <v>621</v>
      </c>
      <c r="B183" s="16" t="s">
        <v>622</v>
      </c>
      <c r="C183" s="16" t="s">
        <v>623</v>
      </c>
      <c r="D183" s="16" t="s">
        <v>546</v>
      </c>
      <c r="E183" s="17" t="s">
        <v>24</v>
      </c>
      <c r="F183" s="17" t="s">
        <v>25</v>
      </c>
      <c r="G183" s="17" t="s">
        <v>547</v>
      </c>
      <c r="H183" s="17" t="s">
        <v>553</v>
      </c>
      <c r="I183" s="16" t="s">
        <v>26</v>
      </c>
      <c r="J183" s="16" t="s">
        <v>26</v>
      </c>
      <c r="K183" s="16" t="s">
        <v>549</v>
      </c>
      <c r="L183" s="18" t="s">
        <v>28</v>
      </c>
      <c r="M183" s="18" t="s">
        <v>28</v>
      </c>
      <c r="N183" s="20">
        <v>2</v>
      </c>
      <c r="O183" s="16" t="s">
        <v>26</v>
      </c>
      <c r="P183" s="13">
        <v>70000</v>
      </c>
      <c r="Q183" s="13">
        <v>59500</v>
      </c>
      <c r="R183" s="14">
        <f>IF(AND(P183&gt;0,Q183&gt;0),ROUND((1-Q183/P183)*100,0),0)</f>
        <v>15</v>
      </c>
    </row>
    <row r="184" ht="20" customHeight="1" spans="1:18" x14ac:dyDescent="0.25">
      <c r="A184" s="7" t="s">
        <v>624</v>
      </c>
      <c r="B184" s="8" t="s">
        <v>625</v>
      </c>
      <c r="C184" s="8" t="s">
        <v>626</v>
      </c>
      <c r="D184" s="8" t="s">
        <v>546</v>
      </c>
      <c r="E184" s="9" t="s">
        <v>24</v>
      </c>
      <c r="F184" s="9" t="s">
        <v>25</v>
      </c>
      <c r="G184" s="9" t="s">
        <v>578</v>
      </c>
      <c r="H184" s="9" t="s">
        <v>553</v>
      </c>
      <c r="I184" s="8" t="s">
        <v>26</v>
      </c>
      <c r="J184" s="8" t="s">
        <v>26</v>
      </c>
      <c r="K184" s="8" t="s">
        <v>549</v>
      </c>
      <c r="L184" s="10" t="s">
        <v>28</v>
      </c>
      <c r="M184" s="10" t="s">
        <v>28</v>
      </c>
      <c r="N184" s="12">
        <v>2</v>
      </c>
      <c r="O184" s="8" t="s">
        <v>26</v>
      </c>
      <c r="P184" s="13">
        <v>70000</v>
      </c>
      <c r="Q184" s="13">
        <v>59500</v>
      </c>
      <c r="R184" s="14">
        <f>IF(AND(P184&gt;0,Q184&gt;0),ROUND((1-Q184/P184)*100,0),0)</f>
        <v>15</v>
      </c>
    </row>
    <row r="185" ht="20" customHeight="1" spans="1:18" x14ac:dyDescent="0.25">
      <c r="A185" s="15" t="s">
        <v>627</v>
      </c>
      <c r="B185" s="16" t="s">
        <v>628</v>
      </c>
      <c r="C185" s="16" t="s">
        <v>629</v>
      </c>
      <c r="D185" s="16" t="s">
        <v>546</v>
      </c>
      <c r="E185" s="17" t="s">
        <v>24</v>
      </c>
      <c r="F185" s="17" t="s">
        <v>25</v>
      </c>
      <c r="G185" s="17" t="s">
        <v>547</v>
      </c>
      <c r="H185" s="17" t="s">
        <v>553</v>
      </c>
      <c r="I185" s="16" t="s">
        <v>26</v>
      </c>
      <c r="J185" s="16" t="s">
        <v>26</v>
      </c>
      <c r="K185" s="16" t="s">
        <v>549</v>
      </c>
      <c r="L185" s="18" t="s">
        <v>28</v>
      </c>
      <c r="M185" s="18" t="s">
        <v>28</v>
      </c>
      <c r="N185" s="20">
        <v>2</v>
      </c>
      <c r="O185" s="16" t="s">
        <v>26</v>
      </c>
      <c r="P185" s="13">
        <v>75900</v>
      </c>
      <c r="Q185" s="13">
        <v>60720</v>
      </c>
      <c r="R185" s="14">
        <f>IF(AND(P185&gt;0,Q185&gt;0),ROUND((1-Q185/P185)*100,0),0)</f>
        <v>20</v>
      </c>
    </row>
    <row r="186" ht="20" customHeight="1" spans="1:18" x14ac:dyDescent="0.25">
      <c r="A186" s="7" t="s">
        <v>630</v>
      </c>
      <c r="B186" s="8" t="s">
        <v>631</v>
      </c>
      <c r="C186" s="8" t="s">
        <v>632</v>
      </c>
      <c r="D186" s="8" t="s">
        <v>546</v>
      </c>
      <c r="E186" s="9" t="s">
        <v>24</v>
      </c>
      <c r="F186" s="9" t="s">
        <v>25</v>
      </c>
      <c r="G186" s="9" t="s">
        <v>547</v>
      </c>
      <c r="H186" s="9" t="s">
        <v>553</v>
      </c>
      <c r="I186" s="8" t="s">
        <v>26</v>
      </c>
      <c r="J186" s="8" t="s">
        <v>26</v>
      </c>
      <c r="K186" s="8" t="s">
        <v>549</v>
      </c>
      <c r="L186" s="10" t="s">
        <v>28</v>
      </c>
      <c r="M186" s="10" t="s">
        <v>28</v>
      </c>
      <c r="N186" s="12">
        <v>2</v>
      </c>
      <c r="O186" s="8" t="s">
        <v>26</v>
      </c>
      <c r="P186" s="13">
        <v>179800</v>
      </c>
      <c r="Q186" s="13">
        <v>107880</v>
      </c>
      <c r="R186" s="14">
        <f>IF(AND(P186&gt;0,Q186&gt;0),ROUND((1-Q186/P186)*100,0),0)</f>
        <v>40</v>
      </c>
    </row>
    <row r="187" ht="20" customHeight="1" spans="1:18" x14ac:dyDescent="0.25">
      <c r="A187" s="15" t="s">
        <v>633</v>
      </c>
      <c r="B187" s="16" t="s">
        <v>634</v>
      </c>
      <c r="C187" s="16" t="s">
        <v>635</v>
      </c>
      <c r="D187" s="16" t="s">
        <v>546</v>
      </c>
      <c r="E187" s="17" t="s">
        <v>24</v>
      </c>
      <c r="F187" s="17" t="s">
        <v>25</v>
      </c>
      <c r="G187" s="17" t="s">
        <v>547</v>
      </c>
      <c r="H187" s="17" t="s">
        <v>553</v>
      </c>
      <c r="I187" s="16" t="s">
        <v>26</v>
      </c>
      <c r="J187" s="16" t="s">
        <v>26</v>
      </c>
      <c r="K187" s="16" t="s">
        <v>549</v>
      </c>
      <c r="L187" s="18" t="s">
        <v>28</v>
      </c>
      <c r="M187" s="18" t="s">
        <v>28</v>
      </c>
      <c r="N187" s="20">
        <v>2</v>
      </c>
      <c r="O187" s="16" t="s">
        <v>26</v>
      </c>
      <c r="P187" s="13">
        <v>86300</v>
      </c>
      <c r="Q187" s="13"/>
      <c r="R187" s="14">
        <f>IF(AND(P187&gt;0,Q187&gt;0),ROUND((1-Q187/P187)*100,0),0)</f>
        <v>50</v>
      </c>
    </row>
    <row r="188" ht="20" customHeight="1" spans="1:18" x14ac:dyDescent="0.25">
      <c r="A188" s="7" t="s">
        <v>636</v>
      </c>
      <c r="B188" s="8" t="s">
        <v>637</v>
      </c>
      <c r="C188" s="8" t="s">
        <v>638</v>
      </c>
      <c r="D188" s="8" t="s">
        <v>546</v>
      </c>
      <c r="E188" s="9" t="s">
        <v>24</v>
      </c>
      <c r="F188" s="9" t="s">
        <v>25</v>
      </c>
      <c r="G188" s="9" t="s">
        <v>547</v>
      </c>
      <c r="H188" s="9" t="s">
        <v>548</v>
      </c>
      <c r="I188" s="8" t="s">
        <v>26</v>
      </c>
      <c r="J188" s="8" t="s">
        <v>26</v>
      </c>
      <c r="K188" s="8" t="s">
        <v>549</v>
      </c>
      <c r="L188" s="10" t="s">
        <v>28</v>
      </c>
      <c r="M188" s="10" t="s">
        <v>28</v>
      </c>
      <c r="N188" s="12">
        <v>2</v>
      </c>
      <c r="O188" s="8" t="s">
        <v>26</v>
      </c>
      <c r="P188" s="13">
        <v>88000</v>
      </c>
      <c r="Q188" s="13"/>
      <c r="R188" s="14">
        <f>IF(AND(P188&gt;0,Q188&gt;0),ROUND((1-Q188/P188)*100,0),0)</f>
        <v>50</v>
      </c>
    </row>
    <row r="189" ht="20" customHeight="1" spans="1:18" x14ac:dyDescent="0.25">
      <c r="A189" s="15" t="s">
        <v>639</v>
      </c>
      <c r="B189" s="16" t="s">
        <v>640</v>
      </c>
      <c r="C189" s="16" t="s">
        <v>641</v>
      </c>
      <c r="D189" s="16" t="s">
        <v>546</v>
      </c>
      <c r="E189" s="17" t="s">
        <v>24</v>
      </c>
      <c r="F189" s="17" t="s">
        <v>25</v>
      </c>
      <c r="G189" s="17" t="s">
        <v>578</v>
      </c>
      <c r="H189" s="17" t="s">
        <v>553</v>
      </c>
      <c r="I189" s="16" t="s">
        <v>26</v>
      </c>
      <c r="J189" s="16" t="s">
        <v>26</v>
      </c>
      <c r="K189" s="16" t="s">
        <v>549</v>
      </c>
      <c r="L189" s="18" t="s">
        <v>28</v>
      </c>
      <c r="M189" s="18" t="s">
        <v>28</v>
      </c>
      <c r="N189" s="20">
        <v>2</v>
      </c>
      <c r="O189" s="16" t="s">
        <v>26</v>
      </c>
      <c r="P189" s="13">
        <v>83100</v>
      </c>
      <c r="Q189" s="13"/>
      <c r="R189" s="14">
        <f>IF(AND(P189&gt;0,Q189&gt;0),ROUND((1-Q189/P189)*100,0),0)</f>
        <v>50</v>
      </c>
    </row>
    <row r="190" ht="20" customHeight="1" spans="1:18" x14ac:dyDescent="0.25">
      <c r="A190" s="7" t="s">
        <v>642</v>
      </c>
      <c r="B190" s="8" t="s">
        <v>643</v>
      </c>
      <c r="C190" s="8" t="s">
        <v>644</v>
      </c>
      <c r="D190" s="8" t="s">
        <v>645</v>
      </c>
      <c r="E190" s="9" t="s">
        <v>24</v>
      </c>
      <c r="F190" s="9" t="s">
        <v>25</v>
      </c>
      <c r="G190" s="9" t="s">
        <v>578</v>
      </c>
      <c r="H190" s="9" t="s">
        <v>553</v>
      </c>
      <c r="I190" s="8" t="s">
        <v>26</v>
      </c>
      <c r="J190" s="8" t="s">
        <v>26</v>
      </c>
      <c r="K190" s="8" t="s">
        <v>549</v>
      </c>
      <c r="L190" s="10" t="s">
        <v>28</v>
      </c>
      <c r="M190" s="10" t="s">
        <v>28</v>
      </c>
      <c r="N190" s="12">
        <v>2</v>
      </c>
      <c r="O190" s="8" t="s">
        <v>26</v>
      </c>
      <c r="P190" s="13">
        <v>42200</v>
      </c>
      <c r="Q190" s="13"/>
      <c r="R190" s="14">
        <f>IF(AND(P190&gt;0,Q190&gt;0),ROUND((1-Q190/P190)*100,0),0)</f>
        <v>50</v>
      </c>
    </row>
    <row r="191" ht="20" customHeight="1" spans="1:18" x14ac:dyDescent="0.25">
      <c r="A191" s="15" t="s">
        <v>646</v>
      </c>
      <c r="B191" s="16" t="s">
        <v>647</v>
      </c>
      <c r="C191" s="16" t="s">
        <v>648</v>
      </c>
      <c r="D191" s="16" t="s">
        <v>645</v>
      </c>
      <c r="E191" s="17" t="s">
        <v>24</v>
      </c>
      <c r="F191" s="17" t="s">
        <v>25</v>
      </c>
      <c r="G191" s="17" t="s">
        <v>578</v>
      </c>
      <c r="H191" s="17" t="s">
        <v>553</v>
      </c>
      <c r="I191" s="16" t="s">
        <v>26</v>
      </c>
      <c r="J191" s="16" t="s">
        <v>26</v>
      </c>
      <c r="K191" s="16" t="s">
        <v>549</v>
      </c>
      <c r="L191" s="18" t="s">
        <v>28</v>
      </c>
      <c r="M191" s="18" t="s">
        <v>28</v>
      </c>
      <c r="N191" s="20">
        <v>2</v>
      </c>
      <c r="O191" s="16" t="s">
        <v>26</v>
      </c>
      <c r="P191" s="13">
        <v>42700</v>
      </c>
      <c r="Q191" s="13"/>
      <c r="R191" s="14">
        <f>IF(AND(P191&gt;0,Q191&gt;0),ROUND((1-Q191/P191)*100,0),0)</f>
        <v>35</v>
      </c>
    </row>
    <row r="192" ht="20" customHeight="1" spans="1:18" x14ac:dyDescent="0.25">
      <c r="A192" s="7" t="s">
        <v>649</v>
      </c>
      <c r="B192" s="8" t="s">
        <v>650</v>
      </c>
      <c r="C192" s="8" t="s">
        <v>651</v>
      </c>
      <c r="D192" s="8" t="s">
        <v>645</v>
      </c>
      <c r="E192" s="9" t="s">
        <v>24</v>
      </c>
      <c r="F192" s="9" t="s">
        <v>25</v>
      </c>
      <c r="G192" s="9" t="s">
        <v>578</v>
      </c>
      <c r="H192" s="9" t="s">
        <v>553</v>
      </c>
      <c r="I192" s="8" t="s">
        <v>26</v>
      </c>
      <c r="J192" s="8" t="s">
        <v>26</v>
      </c>
      <c r="K192" s="8" t="s">
        <v>549</v>
      </c>
      <c r="L192" s="10" t="s">
        <v>28</v>
      </c>
      <c r="M192" s="10" t="s">
        <v>28</v>
      </c>
      <c r="N192" s="12">
        <v>2</v>
      </c>
      <c r="O192" s="8" t="s">
        <v>26</v>
      </c>
      <c r="P192" s="13">
        <v>42700</v>
      </c>
      <c r="Q192" s="13"/>
      <c r="R192" s="14">
        <f>IF(AND(P192&gt;0,Q192&gt;0),ROUND((1-Q192/P192)*100,0),0)</f>
        <v>35</v>
      </c>
    </row>
    <row r="193" ht="20" customHeight="1" spans="1:18" x14ac:dyDescent="0.25">
      <c r="A193" s="15" t="s">
        <v>652</v>
      </c>
      <c r="B193" s="16" t="s">
        <v>653</v>
      </c>
      <c r="C193" s="16" t="s">
        <v>654</v>
      </c>
      <c r="D193" s="16" t="s">
        <v>645</v>
      </c>
      <c r="E193" s="17" t="s">
        <v>24</v>
      </c>
      <c r="F193" s="17" t="s">
        <v>25</v>
      </c>
      <c r="G193" s="17" t="s">
        <v>578</v>
      </c>
      <c r="H193" s="17" t="s">
        <v>553</v>
      </c>
      <c r="I193" s="16" t="s">
        <v>26</v>
      </c>
      <c r="J193" s="16" t="s">
        <v>26</v>
      </c>
      <c r="K193" s="16" t="s">
        <v>549</v>
      </c>
      <c r="L193" s="18" t="s">
        <v>28</v>
      </c>
      <c r="M193" s="18" t="s">
        <v>28</v>
      </c>
      <c r="N193" s="20">
        <v>2</v>
      </c>
      <c r="O193" s="16" t="s">
        <v>26</v>
      </c>
      <c r="P193" s="13">
        <v>40400</v>
      </c>
      <c r="Q193" s="13"/>
      <c r="R193" s="14">
        <f>IF(AND(P193&gt;0,Q193&gt;0),ROUND((1-Q193/P193)*100,0),0)</f>
        <v>0</v>
      </c>
    </row>
    <row r="194" ht="20" customHeight="1" spans="1:18" x14ac:dyDescent="0.25">
      <c r="A194" s="7" t="s">
        <v>655</v>
      </c>
      <c r="B194" s="8" t="s">
        <v>656</v>
      </c>
      <c r="C194" s="8" t="s">
        <v>657</v>
      </c>
      <c r="D194" s="8" t="s">
        <v>645</v>
      </c>
      <c r="E194" s="9" t="s">
        <v>24</v>
      </c>
      <c r="F194" s="9" t="s">
        <v>25</v>
      </c>
      <c r="G194" s="9" t="s">
        <v>578</v>
      </c>
      <c r="H194" s="9" t="s">
        <v>553</v>
      </c>
      <c r="I194" s="8" t="s">
        <v>26</v>
      </c>
      <c r="J194" s="8" t="s">
        <v>26</v>
      </c>
      <c r="K194" s="8" t="s">
        <v>549</v>
      </c>
      <c r="L194" s="10" t="s">
        <v>28</v>
      </c>
      <c r="M194" s="10" t="s">
        <v>28</v>
      </c>
      <c r="N194" s="12">
        <v>2</v>
      </c>
      <c r="O194" s="8" t="s">
        <v>26</v>
      </c>
      <c r="P194" s="13">
        <v>40400</v>
      </c>
      <c r="Q194" s="13"/>
      <c r="R194" s="14">
        <f>IF(AND(P194&gt;0,Q194&gt;0),ROUND((1-Q194/P194)*100,0),0)</f>
        <v>0</v>
      </c>
    </row>
    <row r="195" ht="20" customHeight="1" spans="1:18" x14ac:dyDescent="0.25">
      <c r="A195" s="15" t="s">
        <v>658</v>
      </c>
      <c r="B195" s="16" t="s">
        <v>659</v>
      </c>
      <c r="C195" s="16" t="s">
        <v>660</v>
      </c>
      <c r="D195" s="16" t="s">
        <v>546</v>
      </c>
      <c r="E195" s="17" t="s">
        <v>24</v>
      </c>
      <c r="F195" s="17" t="s">
        <v>25</v>
      </c>
      <c r="G195" s="17" t="s">
        <v>578</v>
      </c>
      <c r="H195" s="17" t="s">
        <v>553</v>
      </c>
      <c r="I195" s="16" t="s">
        <v>26</v>
      </c>
      <c r="J195" s="16" t="s">
        <v>26</v>
      </c>
      <c r="K195" s="16" t="s">
        <v>549</v>
      </c>
      <c r="L195" s="18" t="s">
        <v>28</v>
      </c>
      <c r="M195" s="18" t="s">
        <v>28</v>
      </c>
      <c r="N195" s="20">
        <v>2</v>
      </c>
      <c r="O195" s="16" t="s">
        <v>26</v>
      </c>
      <c r="P195" s="13">
        <v>75500</v>
      </c>
      <c r="Q195" s="13"/>
      <c r="R195" s="14">
        <f>IF(AND(P195&gt;0,Q195&gt;0),ROUND((1-Q195/P195)*100,0),0)</f>
        <v>0</v>
      </c>
    </row>
    <row r="196" ht="20" customHeight="1" spans="1:18" x14ac:dyDescent="0.25">
      <c r="A196" s="7" t="s">
        <v>661</v>
      </c>
      <c r="B196" s="8" t="s">
        <v>662</v>
      </c>
      <c r="C196" s="8" t="s">
        <v>663</v>
      </c>
      <c r="D196" s="8" t="s">
        <v>546</v>
      </c>
      <c r="E196" s="9" t="s">
        <v>24</v>
      </c>
      <c r="F196" s="9" t="s">
        <v>25</v>
      </c>
      <c r="G196" s="9" t="s">
        <v>578</v>
      </c>
      <c r="H196" s="9" t="s">
        <v>553</v>
      </c>
      <c r="I196" s="8" t="s">
        <v>26</v>
      </c>
      <c r="J196" s="8" t="s">
        <v>26</v>
      </c>
      <c r="K196" s="8" t="s">
        <v>549</v>
      </c>
      <c r="L196" s="10" t="s">
        <v>28</v>
      </c>
      <c r="M196" s="10" t="s">
        <v>28</v>
      </c>
      <c r="N196" s="12">
        <v>2</v>
      </c>
      <c r="O196" s="8" t="s">
        <v>26</v>
      </c>
      <c r="P196" s="13">
        <v>157300</v>
      </c>
      <c r="Q196" s="13">
        <v>94380</v>
      </c>
      <c r="R196" s="14">
        <f>IF(AND(P196&gt;0,Q196&gt;0),ROUND((1-Q196/P196)*100,0),0)</f>
        <v>40</v>
      </c>
    </row>
    <row r="197" ht="20" customHeight="1" spans="1:18" x14ac:dyDescent="0.25">
      <c r="A197" s="15" t="s">
        <v>664</v>
      </c>
      <c r="B197" s="16" t="s">
        <v>665</v>
      </c>
      <c r="C197" s="16" t="s">
        <v>666</v>
      </c>
      <c r="D197" s="16" t="s">
        <v>546</v>
      </c>
      <c r="E197" s="17" t="s">
        <v>24</v>
      </c>
      <c r="F197" s="17" t="s">
        <v>25</v>
      </c>
      <c r="G197" s="17" t="s">
        <v>578</v>
      </c>
      <c r="H197" s="17" t="s">
        <v>553</v>
      </c>
      <c r="I197" s="16" t="s">
        <v>26</v>
      </c>
      <c r="J197" s="16" t="s">
        <v>26</v>
      </c>
      <c r="K197" s="16" t="s">
        <v>549</v>
      </c>
      <c r="L197" s="18" t="s">
        <v>28</v>
      </c>
      <c r="M197" s="18" t="s">
        <v>28</v>
      </c>
      <c r="N197" s="20">
        <v>2</v>
      </c>
      <c r="O197" s="16" t="s">
        <v>26</v>
      </c>
      <c r="P197" s="13">
        <v>75500</v>
      </c>
      <c r="Q197" s="13"/>
      <c r="R197" s="14">
        <f>IF(AND(P197&gt;0,Q197&gt;0),ROUND((1-Q197/P197)*100,0),0)</f>
        <v>0</v>
      </c>
    </row>
    <row r="198" ht="20" customHeight="1" spans="1:18" x14ac:dyDescent="0.25">
      <c r="A198" s="7" t="s">
        <v>667</v>
      </c>
      <c r="B198" s="8" t="s">
        <v>668</v>
      </c>
      <c r="C198" s="8" t="s">
        <v>669</v>
      </c>
      <c r="D198" s="8" t="s">
        <v>546</v>
      </c>
      <c r="E198" s="9" t="s">
        <v>24</v>
      </c>
      <c r="F198" s="9" t="s">
        <v>25</v>
      </c>
      <c r="G198" s="9" t="s">
        <v>578</v>
      </c>
      <c r="H198" s="9" t="s">
        <v>548</v>
      </c>
      <c r="I198" s="8" t="s">
        <v>26</v>
      </c>
      <c r="J198" s="8" t="s">
        <v>26</v>
      </c>
      <c r="K198" s="8" t="s">
        <v>549</v>
      </c>
      <c r="L198" s="10" t="s">
        <v>28</v>
      </c>
      <c r="M198" s="10" t="s">
        <v>28</v>
      </c>
      <c r="N198" s="12">
        <v>2</v>
      </c>
      <c r="O198" s="8" t="s">
        <v>26</v>
      </c>
      <c r="P198" s="13">
        <v>95000</v>
      </c>
      <c r="Q198" s="13"/>
      <c r="R198" s="14">
        <f>IF(AND(P198&gt;0,Q198&gt;0),ROUND((1-Q198/P198)*100,0),0)</f>
        <v>0</v>
      </c>
    </row>
    <row r="199" ht="20" customHeight="1" spans="1:18" x14ac:dyDescent="0.25">
      <c r="A199" s="15" t="s">
        <v>670</v>
      </c>
      <c r="B199" s="16" t="s">
        <v>671</v>
      </c>
      <c r="C199" s="16" t="s">
        <v>672</v>
      </c>
      <c r="D199" s="16" t="s">
        <v>546</v>
      </c>
      <c r="E199" s="17" t="s">
        <v>24</v>
      </c>
      <c r="F199" s="17" t="s">
        <v>25</v>
      </c>
      <c r="G199" s="17" t="s">
        <v>578</v>
      </c>
      <c r="H199" s="17" t="s">
        <v>553</v>
      </c>
      <c r="I199" s="16" t="s">
        <v>26</v>
      </c>
      <c r="J199" s="16" t="s">
        <v>26</v>
      </c>
      <c r="K199" s="16" t="s">
        <v>549</v>
      </c>
      <c r="L199" s="18" t="s">
        <v>28</v>
      </c>
      <c r="M199" s="18" t="s">
        <v>28</v>
      </c>
      <c r="N199" s="20">
        <v>2</v>
      </c>
      <c r="O199" s="16" t="s">
        <v>26</v>
      </c>
      <c r="P199" s="13">
        <v>59000</v>
      </c>
      <c r="Q199" s="13"/>
      <c r="R199" s="14">
        <f>IF(AND(P199&gt;0,Q199&gt;0),ROUND((1-Q199/P199)*100,0),0)</f>
        <v>50</v>
      </c>
    </row>
    <row r="200" ht="20" customHeight="1" spans="1:18" x14ac:dyDescent="0.25">
      <c r="A200" s="7" t="s">
        <v>673</v>
      </c>
      <c r="B200" s="8" t="s">
        <v>674</v>
      </c>
      <c r="C200" s="8" t="s">
        <v>675</v>
      </c>
      <c r="D200" s="8" t="s">
        <v>546</v>
      </c>
      <c r="E200" s="9" t="s">
        <v>24</v>
      </c>
      <c r="F200" s="9" t="s">
        <v>25</v>
      </c>
      <c r="G200" s="9" t="s">
        <v>578</v>
      </c>
      <c r="H200" s="9" t="s">
        <v>553</v>
      </c>
      <c r="I200" s="8" t="s">
        <v>26</v>
      </c>
      <c r="J200" s="8" t="s">
        <v>26</v>
      </c>
      <c r="K200" s="8" t="s">
        <v>549</v>
      </c>
      <c r="L200" s="10" t="s">
        <v>28</v>
      </c>
      <c r="M200" s="10" t="s">
        <v>28</v>
      </c>
      <c r="N200" s="12">
        <v>2</v>
      </c>
      <c r="O200" s="8" t="s">
        <v>26</v>
      </c>
      <c r="P200" s="13">
        <v>69000</v>
      </c>
      <c r="Q200" s="13">
        <v>58650</v>
      </c>
      <c r="R200" s="14">
        <f>IF(AND(P200&gt;0,Q200&gt;0),ROUND((1-Q200/P200)*100,0),0)</f>
        <v>15</v>
      </c>
    </row>
    <row r="201" ht="20" customHeight="1" spans="1:18" x14ac:dyDescent="0.25">
      <c r="A201" s="15" t="s">
        <v>676</v>
      </c>
      <c r="B201" s="16" t="s">
        <v>677</v>
      </c>
      <c r="C201" s="16" t="s">
        <v>678</v>
      </c>
      <c r="D201" s="16" t="s">
        <v>546</v>
      </c>
      <c r="E201" s="17" t="s">
        <v>24</v>
      </c>
      <c r="F201" s="17" t="s">
        <v>25</v>
      </c>
      <c r="G201" s="17" t="s">
        <v>578</v>
      </c>
      <c r="H201" s="17" t="s">
        <v>553</v>
      </c>
      <c r="I201" s="16" t="s">
        <v>26</v>
      </c>
      <c r="J201" s="16" t="s">
        <v>26</v>
      </c>
      <c r="K201" s="16" t="s">
        <v>549</v>
      </c>
      <c r="L201" s="18" t="s">
        <v>28</v>
      </c>
      <c r="M201" s="18" t="s">
        <v>28</v>
      </c>
      <c r="N201" s="20">
        <v>2</v>
      </c>
      <c r="O201" s="16" t="s">
        <v>26</v>
      </c>
      <c r="P201" s="13">
        <v>76900</v>
      </c>
      <c r="Q201" s="13"/>
      <c r="R201" s="14">
        <f>IF(AND(P201&gt;0,Q201&gt;0),ROUND((1-Q201/P201)*100,0),0)</f>
        <v>50</v>
      </c>
    </row>
    <row r="202" ht="20" customHeight="1" spans="1:18" x14ac:dyDescent="0.25">
      <c r="A202" s="7" t="s">
        <v>679</v>
      </c>
      <c r="B202" s="8" t="s">
        <v>680</v>
      </c>
      <c r="C202" s="8" t="s">
        <v>681</v>
      </c>
      <c r="D202" s="8" t="s">
        <v>546</v>
      </c>
      <c r="E202" s="9" t="s">
        <v>24</v>
      </c>
      <c r="F202" s="9" t="s">
        <v>25</v>
      </c>
      <c r="G202" s="9" t="s">
        <v>578</v>
      </c>
      <c r="H202" s="9" t="s">
        <v>553</v>
      </c>
      <c r="I202" s="8" t="s">
        <v>26</v>
      </c>
      <c r="J202" s="8" t="s">
        <v>26</v>
      </c>
      <c r="K202" s="8" t="s">
        <v>549</v>
      </c>
      <c r="L202" s="10" t="s">
        <v>28</v>
      </c>
      <c r="M202" s="10" t="s">
        <v>28</v>
      </c>
      <c r="N202" s="12">
        <v>2</v>
      </c>
      <c r="O202" s="8" t="s">
        <v>26</v>
      </c>
      <c r="P202" s="13">
        <v>76900</v>
      </c>
      <c r="Q202" s="13"/>
      <c r="R202" s="14">
        <f>IF(AND(P202&gt;0,Q202&gt;0),ROUND((1-Q202/P202)*100,0),0)</f>
        <v>50</v>
      </c>
    </row>
    <row r="203" ht="20" customHeight="1" spans="1:18" x14ac:dyDescent="0.25">
      <c r="A203" s="15" t="s">
        <v>682</v>
      </c>
      <c r="B203" s="16" t="s">
        <v>683</v>
      </c>
      <c r="C203" s="16" t="s">
        <v>684</v>
      </c>
      <c r="D203" s="16" t="s">
        <v>546</v>
      </c>
      <c r="E203" s="17" t="s">
        <v>24</v>
      </c>
      <c r="F203" s="17" t="s">
        <v>25</v>
      </c>
      <c r="G203" s="17" t="s">
        <v>578</v>
      </c>
      <c r="H203" s="17" t="s">
        <v>553</v>
      </c>
      <c r="I203" s="16" t="s">
        <v>26</v>
      </c>
      <c r="J203" s="16" t="s">
        <v>26</v>
      </c>
      <c r="K203" s="16" t="s">
        <v>549</v>
      </c>
      <c r="L203" s="18" t="s">
        <v>28</v>
      </c>
      <c r="M203" s="18" t="s">
        <v>28</v>
      </c>
      <c r="N203" s="20">
        <v>2</v>
      </c>
      <c r="O203" s="16" t="s">
        <v>26</v>
      </c>
      <c r="P203" s="13">
        <v>69000</v>
      </c>
      <c r="Q203" s="13">
        <v>58650</v>
      </c>
      <c r="R203" s="14">
        <f>IF(AND(P203&gt;0,Q203&gt;0),ROUND((1-Q203/P203)*100,0),0)</f>
        <v>15</v>
      </c>
    </row>
    <row r="204" ht="20" customHeight="1" spans="1:18" x14ac:dyDescent="0.25">
      <c r="A204" s="7" t="s">
        <v>685</v>
      </c>
      <c r="B204" s="8" t="s">
        <v>686</v>
      </c>
      <c r="C204" s="8" t="s">
        <v>687</v>
      </c>
      <c r="D204" s="8" t="s">
        <v>546</v>
      </c>
      <c r="E204" s="9" t="s">
        <v>24</v>
      </c>
      <c r="F204" s="9" t="s">
        <v>25</v>
      </c>
      <c r="G204" s="9" t="s">
        <v>547</v>
      </c>
      <c r="H204" s="9" t="s">
        <v>553</v>
      </c>
      <c r="I204" s="8" t="s">
        <v>26</v>
      </c>
      <c r="J204" s="8" t="s">
        <v>26</v>
      </c>
      <c r="K204" s="8" t="s">
        <v>549</v>
      </c>
      <c r="L204" s="10" t="s">
        <v>28</v>
      </c>
      <c r="M204" s="10" t="s">
        <v>28</v>
      </c>
      <c r="N204" s="12">
        <v>2</v>
      </c>
      <c r="O204" s="8" t="s">
        <v>26</v>
      </c>
      <c r="P204" s="13">
        <v>69000</v>
      </c>
      <c r="Q204" s="13">
        <v>58650</v>
      </c>
      <c r="R204" s="14">
        <f>IF(AND(P204&gt;0,Q204&gt;0),ROUND((1-Q204/P204)*100,0),0)</f>
        <v>15</v>
      </c>
    </row>
    <row r="205" ht="20" customHeight="1" spans="1:18" x14ac:dyDescent="0.25">
      <c r="A205" s="15" t="s">
        <v>688</v>
      </c>
      <c r="B205" s="16" t="s">
        <v>689</v>
      </c>
      <c r="C205" s="16" t="s">
        <v>690</v>
      </c>
      <c r="D205" s="16" t="s">
        <v>546</v>
      </c>
      <c r="E205" s="17" t="s">
        <v>24</v>
      </c>
      <c r="F205" s="17" t="s">
        <v>25</v>
      </c>
      <c r="G205" s="17" t="s">
        <v>547</v>
      </c>
      <c r="H205" s="17" t="s">
        <v>553</v>
      </c>
      <c r="I205" s="16" t="s">
        <v>26</v>
      </c>
      <c r="J205" s="16" t="s">
        <v>26</v>
      </c>
      <c r="K205" s="16" t="s">
        <v>549</v>
      </c>
      <c r="L205" s="18" t="s">
        <v>28</v>
      </c>
      <c r="M205" s="18" t="s">
        <v>28</v>
      </c>
      <c r="N205" s="20">
        <v>2</v>
      </c>
      <c r="O205" s="16" t="s">
        <v>26</v>
      </c>
      <c r="P205" s="13">
        <v>59000</v>
      </c>
      <c r="Q205" s="13">
        <v>47200</v>
      </c>
      <c r="R205" s="14">
        <f>IF(AND(P205&gt;0,Q205&gt;0),ROUND((1-Q205/P205)*100,0),0)</f>
        <v>20</v>
      </c>
    </row>
    <row r="206" ht="20" customHeight="1" spans="1:18" x14ac:dyDescent="0.25">
      <c r="A206" s="7" t="s">
        <v>691</v>
      </c>
      <c r="B206" s="8" t="s">
        <v>692</v>
      </c>
      <c r="C206" s="8" t="s">
        <v>693</v>
      </c>
      <c r="D206" s="8" t="s">
        <v>546</v>
      </c>
      <c r="E206" s="9" t="s">
        <v>24</v>
      </c>
      <c r="F206" s="9" t="s">
        <v>25</v>
      </c>
      <c r="G206" s="9" t="s">
        <v>578</v>
      </c>
      <c r="H206" s="9" t="s">
        <v>553</v>
      </c>
      <c r="I206" s="8" t="s">
        <v>26</v>
      </c>
      <c r="J206" s="8" t="s">
        <v>26</v>
      </c>
      <c r="K206" s="8" t="s">
        <v>549</v>
      </c>
      <c r="L206" s="10" t="s">
        <v>28</v>
      </c>
      <c r="M206" s="10" t="s">
        <v>28</v>
      </c>
      <c r="N206" s="12">
        <v>2</v>
      </c>
      <c r="O206" s="8" t="s">
        <v>26</v>
      </c>
      <c r="P206" s="13">
        <v>95000</v>
      </c>
      <c r="Q206" s="13"/>
      <c r="R206" s="14">
        <f>IF(AND(P206&gt;0,Q206&gt;0),ROUND((1-Q206/P206)*100,0),0)</f>
        <v>50</v>
      </c>
    </row>
    <row r="207" ht="20" customHeight="1" spans="1:18" x14ac:dyDescent="0.25">
      <c r="A207" s="15" t="s">
        <v>694</v>
      </c>
      <c r="B207" s="16" t="s">
        <v>695</v>
      </c>
      <c r="C207" s="16" t="s">
        <v>696</v>
      </c>
      <c r="D207" s="16" t="s">
        <v>546</v>
      </c>
      <c r="E207" s="17" t="s">
        <v>24</v>
      </c>
      <c r="F207" s="17" t="s">
        <v>25</v>
      </c>
      <c r="G207" s="17" t="s">
        <v>578</v>
      </c>
      <c r="H207" s="17" t="s">
        <v>553</v>
      </c>
      <c r="I207" s="16" t="s">
        <v>26</v>
      </c>
      <c r="J207" s="16" t="s">
        <v>26</v>
      </c>
      <c r="K207" s="16" t="s">
        <v>549</v>
      </c>
      <c r="L207" s="18" t="s">
        <v>28</v>
      </c>
      <c r="M207" s="18" t="s">
        <v>28</v>
      </c>
      <c r="N207" s="20">
        <v>2</v>
      </c>
      <c r="O207" s="16" t="s">
        <v>26</v>
      </c>
      <c r="P207" s="13">
        <v>59000</v>
      </c>
      <c r="Q207" s="13"/>
      <c r="R207" s="14">
        <f>IF(AND(P207&gt;0,Q207&gt;0),ROUND((1-Q207/P207)*100,0),0)</f>
        <v>0</v>
      </c>
    </row>
    <row r="208" ht="20" customHeight="1" spans="1:18" x14ac:dyDescent="0.25">
      <c r="A208" s="7" t="s">
        <v>697</v>
      </c>
      <c r="B208" s="8" t="s">
        <v>698</v>
      </c>
      <c r="C208" s="8" t="s">
        <v>699</v>
      </c>
      <c r="D208" s="8" t="s">
        <v>546</v>
      </c>
      <c r="E208" s="9" t="s">
        <v>24</v>
      </c>
      <c r="F208" s="9" t="s">
        <v>25</v>
      </c>
      <c r="G208" s="9" t="s">
        <v>578</v>
      </c>
      <c r="H208" s="9" t="s">
        <v>553</v>
      </c>
      <c r="I208" s="8" t="s">
        <v>26</v>
      </c>
      <c r="J208" s="8" t="s">
        <v>26</v>
      </c>
      <c r="K208" s="8" t="s">
        <v>549</v>
      </c>
      <c r="L208" s="10" t="s">
        <v>28</v>
      </c>
      <c r="M208" s="10" t="s">
        <v>28</v>
      </c>
      <c r="N208" s="12">
        <v>2</v>
      </c>
      <c r="O208" s="8" t="s">
        <v>26</v>
      </c>
      <c r="P208" s="13">
        <v>157300</v>
      </c>
      <c r="Q208" s="13">
        <v>94380</v>
      </c>
      <c r="R208" s="14">
        <f>IF(AND(P208&gt;0,Q208&gt;0),ROUND((1-Q208/P208)*100,0),0)</f>
        <v>40</v>
      </c>
    </row>
    <row r="209" ht="20" customHeight="1" spans="1:18" x14ac:dyDescent="0.25">
      <c r="A209" s="15" t="s">
        <v>700</v>
      </c>
      <c r="B209" s="16" t="s">
        <v>701</v>
      </c>
      <c r="C209" s="16" t="s">
        <v>702</v>
      </c>
      <c r="D209" s="16" t="s">
        <v>546</v>
      </c>
      <c r="E209" s="17" t="s">
        <v>24</v>
      </c>
      <c r="F209" s="17" t="s">
        <v>25</v>
      </c>
      <c r="G209" s="17" t="s">
        <v>578</v>
      </c>
      <c r="H209" s="17" t="s">
        <v>553</v>
      </c>
      <c r="I209" s="16" t="s">
        <v>26</v>
      </c>
      <c r="J209" s="16" t="s">
        <v>26</v>
      </c>
      <c r="K209" s="16" t="s">
        <v>549</v>
      </c>
      <c r="L209" s="18" t="s">
        <v>28</v>
      </c>
      <c r="M209" s="18" t="s">
        <v>28</v>
      </c>
      <c r="N209" s="20">
        <v>2</v>
      </c>
      <c r="O209" s="16" t="s">
        <v>26</v>
      </c>
      <c r="P209" s="13">
        <v>75500</v>
      </c>
      <c r="Q209" s="13"/>
      <c r="R209" s="14">
        <f>IF(AND(P209&gt;0,Q209&gt;0),ROUND((1-Q209/P209)*100,0),0)</f>
        <v>0</v>
      </c>
    </row>
    <row r="210" ht="20" customHeight="1" spans="1:18" x14ac:dyDescent="0.25">
      <c r="A210" s="7" t="s">
        <v>703</v>
      </c>
      <c r="B210" s="8" t="s">
        <v>704</v>
      </c>
      <c r="C210" s="8" t="s">
        <v>705</v>
      </c>
      <c r="D210" s="8" t="s">
        <v>546</v>
      </c>
      <c r="E210" s="9" t="s">
        <v>24</v>
      </c>
      <c r="F210" s="9" t="s">
        <v>25</v>
      </c>
      <c r="G210" s="9" t="s">
        <v>547</v>
      </c>
      <c r="H210" s="9" t="s">
        <v>553</v>
      </c>
      <c r="I210" s="8" t="s">
        <v>26</v>
      </c>
      <c r="J210" s="8" t="s">
        <v>26</v>
      </c>
      <c r="K210" s="8" t="s">
        <v>549</v>
      </c>
      <c r="L210" s="10" t="s">
        <v>28</v>
      </c>
      <c r="M210" s="10" t="s">
        <v>28</v>
      </c>
      <c r="N210" s="12">
        <v>2</v>
      </c>
      <c r="O210" s="8" t="s">
        <v>26</v>
      </c>
      <c r="P210" s="13">
        <v>59000</v>
      </c>
      <c r="Q210" s="13"/>
      <c r="R210" s="14">
        <f>IF(AND(P210&gt;0,Q210&gt;0),ROUND((1-Q210/P210)*100,0),0)</f>
        <v>0</v>
      </c>
    </row>
    <row r="211" ht="20" customHeight="1" spans="1:18" x14ac:dyDescent="0.25">
      <c r="A211" s="15" t="s">
        <v>706</v>
      </c>
      <c r="B211" s="16" t="s">
        <v>707</v>
      </c>
      <c r="C211" s="16" t="s">
        <v>708</v>
      </c>
      <c r="D211" s="16" t="s">
        <v>546</v>
      </c>
      <c r="E211" s="17" t="s">
        <v>24</v>
      </c>
      <c r="F211" s="17" t="s">
        <v>25</v>
      </c>
      <c r="G211" s="17" t="s">
        <v>578</v>
      </c>
      <c r="H211" s="17" t="s">
        <v>553</v>
      </c>
      <c r="I211" s="16" t="s">
        <v>26</v>
      </c>
      <c r="J211" s="16" t="s">
        <v>26</v>
      </c>
      <c r="K211" s="16" t="s">
        <v>549</v>
      </c>
      <c r="L211" s="18" t="s">
        <v>28</v>
      </c>
      <c r="M211" s="18" t="s">
        <v>28</v>
      </c>
      <c r="N211" s="20">
        <v>2</v>
      </c>
      <c r="O211" s="16" t="s">
        <v>26</v>
      </c>
      <c r="P211" s="13">
        <v>76900</v>
      </c>
      <c r="Q211" s="13"/>
      <c r="R211" s="14">
        <f>IF(AND(P211&gt;0,Q211&gt;0),ROUND((1-Q211/P211)*100,0),0)</f>
        <v>50</v>
      </c>
    </row>
    <row r="212" ht="20" customHeight="1" spans="1:18" x14ac:dyDescent="0.25">
      <c r="A212" s="7" t="s">
        <v>709</v>
      </c>
      <c r="B212" s="8" t="s">
        <v>710</v>
      </c>
      <c r="C212" s="8" t="s">
        <v>711</v>
      </c>
      <c r="D212" s="8" t="s">
        <v>712</v>
      </c>
      <c r="E212" s="9" t="s">
        <v>24</v>
      </c>
      <c r="F212" s="9" t="s">
        <v>25</v>
      </c>
      <c r="G212" s="9" t="s">
        <v>578</v>
      </c>
      <c r="H212" s="9" t="s">
        <v>553</v>
      </c>
      <c r="I212" s="8" t="s">
        <v>26</v>
      </c>
      <c r="J212" s="8" t="s">
        <v>26</v>
      </c>
      <c r="K212" s="8" t="s">
        <v>549</v>
      </c>
      <c r="L212" s="10" t="s">
        <v>28</v>
      </c>
      <c r="M212" s="10" t="s">
        <v>28</v>
      </c>
      <c r="N212" s="12">
        <v>2</v>
      </c>
      <c r="O212" s="8" t="s">
        <v>26</v>
      </c>
      <c r="P212" s="13">
        <v>39800</v>
      </c>
      <c r="Q212" s="13"/>
      <c r="R212" s="14">
        <f>IF(AND(P212&gt;0,Q212&gt;0),ROUND((1-Q212/P212)*100,0),0)</f>
        <v>50</v>
      </c>
    </row>
    <row r="213" ht="20" customHeight="1" spans="1:18" x14ac:dyDescent="0.25">
      <c r="A213" s="15" t="s">
        <v>713</v>
      </c>
      <c r="B213" s="16" t="s">
        <v>714</v>
      </c>
      <c r="C213" s="16" t="s">
        <v>715</v>
      </c>
      <c r="D213" s="16" t="s">
        <v>712</v>
      </c>
      <c r="E213" s="17" t="s">
        <v>24</v>
      </c>
      <c r="F213" s="17" t="s">
        <v>25</v>
      </c>
      <c r="G213" s="17" t="s">
        <v>578</v>
      </c>
      <c r="H213" s="17" t="s">
        <v>553</v>
      </c>
      <c r="I213" s="16" t="s">
        <v>26</v>
      </c>
      <c r="J213" s="16" t="s">
        <v>26</v>
      </c>
      <c r="K213" s="16" t="s">
        <v>549</v>
      </c>
      <c r="L213" s="18" t="s">
        <v>28</v>
      </c>
      <c r="M213" s="18" t="s">
        <v>28</v>
      </c>
      <c r="N213" s="20">
        <v>2</v>
      </c>
      <c r="O213" s="16" t="s">
        <v>26</v>
      </c>
      <c r="P213" s="13">
        <v>33200</v>
      </c>
      <c r="Q213" s="13"/>
      <c r="R213" s="14">
        <f>IF(AND(P213&gt;0,Q213&gt;0),ROUND((1-Q213/P213)*100,0),0)</f>
        <v>0</v>
      </c>
    </row>
    <row r="214" ht="20" customHeight="1" spans="1:18" x14ac:dyDescent="0.25">
      <c r="A214" s="7" t="s">
        <v>716</v>
      </c>
      <c r="B214" s="8" t="s">
        <v>717</v>
      </c>
      <c r="C214" s="8" t="s">
        <v>718</v>
      </c>
      <c r="D214" s="8" t="s">
        <v>712</v>
      </c>
      <c r="E214" s="9" t="s">
        <v>24</v>
      </c>
      <c r="F214" s="9" t="s">
        <v>25</v>
      </c>
      <c r="G214" s="9" t="s">
        <v>578</v>
      </c>
      <c r="H214" s="9" t="s">
        <v>553</v>
      </c>
      <c r="I214" s="8" t="s">
        <v>26</v>
      </c>
      <c r="J214" s="8" t="s">
        <v>26</v>
      </c>
      <c r="K214" s="8" t="s">
        <v>549</v>
      </c>
      <c r="L214" s="10" t="s">
        <v>28</v>
      </c>
      <c r="M214" s="10" t="s">
        <v>28</v>
      </c>
      <c r="N214" s="12">
        <v>2</v>
      </c>
      <c r="O214" s="8" t="s">
        <v>26</v>
      </c>
      <c r="P214" s="13">
        <v>48200</v>
      </c>
      <c r="Q214" s="13"/>
      <c r="R214" s="14">
        <f>IF(AND(P214&gt;0,Q214&gt;0),ROUND((1-Q214/P214)*100,0),0)</f>
        <v>35</v>
      </c>
    </row>
    <row r="215" ht="20" customHeight="1" spans="1:18" x14ac:dyDescent="0.25">
      <c r="A215" s="15" t="s">
        <v>719</v>
      </c>
      <c r="B215" s="16" t="s">
        <v>720</v>
      </c>
      <c r="C215" s="16" t="s">
        <v>721</v>
      </c>
      <c r="D215" s="16" t="s">
        <v>712</v>
      </c>
      <c r="E215" s="17" t="s">
        <v>24</v>
      </c>
      <c r="F215" s="17" t="s">
        <v>25</v>
      </c>
      <c r="G215" s="17" t="s">
        <v>547</v>
      </c>
      <c r="H215" s="17" t="s">
        <v>553</v>
      </c>
      <c r="I215" s="16" t="s">
        <v>26</v>
      </c>
      <c r="J215" s="16" t="s">
        <v>26</v>
      </c>
      <c r="K215" s="16" t="s">
        <v>549</v>
      </c>
      <c r="L215" s="18" t="s">
        <v>28</v>
      </c>
      <c r="M215" s="18" t="s">
        <v>28</v>
      </c>
      <c r="N215" s="20">
        <v>2</v>
      </c>
      <c r="O215" s="16" t="s">
        <v>26</v>
      </c>
      <c r="P215" s="13">
        <v>51400</v>
      </c>
      <c r="Q215" s="13"/>
      <c r="R215" s="14">
        <f>IF(AND(P215&gt;0,Q215&gt;0),ROUND((1-Q215/P215)*100,0),0)</f>
        <v>50</v>
      </c>
    </row>
    <row r="216" ht="20" customHeight="1" spans="1:18" x14ac:dyDescent="0.25">
      <c r="A216" s="7" t="s">
        <v>722</v>
      </c>
      <c r="B216" s="8" t="s">
        <v>723</v>
      </c>
      <c r="C216" s="8" t="s">
        <v>724</v>
      </c>
      <c r="D216" s="8" t="s">
        <v>712</v>
      </c>
      <c r="E216" s="9" t="s">
        <v>24</v>
      </c>
      <c r="F216" s="9" t="s">
        <v>25</v>
      </c>
      <c r="G216" s="9" t="s">
        <v>547</v>
      </c>
      <c r="H216" s="9" t="s">
        <v>553</v>
      </c>
      <c r="I216" s="8" t="s">
        <v>26</v>
      </c>
      <c r="J216" s="8" t="s">
        <v>26</v>
      </c>
      <c r="K216" s="8" t="s">
        <v>549</v>
      </c>
      <c r="L216" s="10" t="s">
        <v>28</v>
      </c>
      <c r="M216" s="10" t="s">
        <v>28</v>
      </c>
      <c r="N216" s="12">
        <v>2</v>
      </c>
      <c r="O216" s="8" t="s">
        <v>26</v>
      </c>
      <c r="P216" s="13">
        <v>49900</v>
      </c>
      <c r="Q216" s="13"/>
      <c r="R216" s="14">
        <f>IF(AND(P216&gt;0,Q216&gt;0),ROUND((1-Q216/P216)*100,0),0)</f>
        <v>0</v>
      </c>
    </row>
    <row r="217" ht="20" customHeight="1" spans="1:18" x14ac:dyDescent="0.25">
      <c r="A217" s="15" t="s">
        <v>725</v>
      </c>
      <c r="B217" s="16" t="s">
        <v>726</v>
      </c>
      <c r="C217" s="16" t="s">
        <v>727</v>
      </c>
      <c r="D217" s="16" t="s">
        <v>712</v>
      </c>
      <c r="E217" s="17" t="s">
        <v>24</v>
      </c>
      <c r="F217" s="17" t="s">
        <v>25</v>
      </c>
      <c r="G217" s="17" t="s">
        <v>547</v>
      </c>
      <c r="H217" s="17" t="s">
        <v>553</v>
      </c>
      <c r="I217" s="16" t="s">
        <v>26</v>
      </c>
      <c r="J217" s="16" t="s">
        <v>26</v>
      </c>
      <c r="K217" s="16" t="s">
        <v>549</v>
      </c>
      <c r="L217" s="18" t="s">
        <v>28</v>
      </c>
      <c r="M217" s="18" t="s">
        <v>28</v>
      </c>
      <c r="N217" s="20">
        <v>2</v>
      </c>
      <c r="O217" s="16" t="s">
        <v>26</v>
      </c>
      <c r="P217" s="13">
        <v>37900</v>
      </c>
      <c r="Q217" s="13"/>
      <c r="R217" s="14">
        <f>IF(AND(P217&gt;0,Q217&gt;0),ROUND((1-Q217/P217)*100,0),0)</f>
        <v>0</v>
      </c>
    </row>
    <row r="218" ht="20" customHeight="1" spans="1:18" x14ac:dyDescent="0.25">
      <c r="A218" s="7" t="s">
        <v>728</v>
      </c>
      <c r="B218" s="8" t="s">
        <v>729</v>
      </c>
      <c r="C218" s="8" t="s">
        <v>730</v>
      </c>
      <c r="D218" s="8" t="s">
        <v>712</v>
      </c>
      <c r="E218" s="9" t="s">
        <v>24</v>
      </c>
      <c r="F218" s="9" t="s">
        <v>25</v>
      </c>
      <c r="G218" s="9" t="s">
        <v>547</v>
      </c>
      <c r="H218" s="9" t="s">
        <v>553</v>
      </c>
      <c r="I218" s="8" t="s">
        <v>26</v>
      </c>
      <c r="J218" s="8" t="s">
        <v>26</v>
      </c>
      <c r="K218" s="8" t="s">
        <v>549</v>
      </c>
      <c r="L218" s="10" t="s">
        <v>28</v>
      </c>
      <c r="M218" s="10" t="s">
        <v>28</v>
      </c>
      <c r="N218" s="12">
        <v>2</v>
      </c>
      <c r="O218" s="8" t="s">
        <v>26</v>
      </c>
      <c r="P218" s="13">
        <v>45200</v>
      </c>
      <c r="Q218" s="13"/>
      <c r="R218" s="14">
        <f>IF(AND(P218&gt;0,Q218&gt;0),ROUND((1-Q218/P218)*100,0),0)</f>
        <v>0</v>
      </c>
    </row>
    <row r="219" ht="20" customHeight="1" spans="1:18" x14ac:dyDescent="0.25">
      <c r="A219" s="15" t="s">
        <v>731</v>
      </c>
      <c r="B219" s="16" t="s">
        <v>732</v>
      </c>
      <c r="C219" s="16" t="s">
        <v>733</v>
      </c>
      <c r="D219" s="16" t="s">
        <v>712</v>
      </c>
      <c r="E219" s="17" t="s">
        <v>24</v>
      </c>
      <c r="F219" s="17" t="s">
        <v>25</v>
      </c>
      <c r="G219" s="17" t="s">
        <v>547</v>
      </c>
      <c r="H219" s="17" t="s">
        <v>553</v>
      </c>
      <c r="I219" s="16" t="s">
        <v>26</v>
      </c>
      <c r="J219" s="16" t="s">
        <v>26</v>
      </c>
      <c r="K219" s="16" t="s">
        <v>549</v>
      </c>
      <c r="L219" s="18" t="s">
        <v>28</v>
      </c>
      <c r="M219" s="18" t="s">
        <v>28</v>
      </c>
      <c r="N219" s="20">
        <v>2</v>
      </c>
      <c r="O219" s="16" t="s">
        <v>26</v>
      </c>
      <c r="P219" s="13">
        <v>41000</v>
      </c>
      <c r="Q219" s="13"/>
      <c r="R219" s="14">
        <f>IF(AND(P219&gt;0,Q219&gt;0),ROUND((1-Q219/P219)*100,0),0)</f>
        <v>50</v>
      </c>
    </row>
    <row r="220" ht="20" customHeight="1" spans="1:18" x14ac:dyDescent="0.25">
      <c r="A220" s="7" t="s">
        <v>734</v>
      </c>
      <c r="B220" s="8" t="s">
        <v>735</v>
      </c>
      <c r="C220" s="8" t="s">
        <v>736</v>
      </c>
      <c r="D220" s="8" t="s">
        <v>712</v>
      </c>
      <c r="E220" s="9" t="s">
        <v>24</v>
      </c>
      <c r="F220" s="9" t="s">
        <v>25</v>
      </c>
      <c r="G220" s="9" t="s">
        <v>578</v>
      </c>
      <c r="H220" s="9" t="s">
        <v>553</v>
      </c>
      <c r="I220" s="8" t="s">
        <v>26</v>
      </c>
      <c r="J220" s="8" t="s">
        <v>26</v>
      </c>
      <c r="K220" s="8" t="s">
        <v>549</v>
      </c>
      <c r="L220" s="10" t="s">
        <v>28</v>
      </c>
      <c r="M220" s="10" t="s">
        <v>28</v>
      </c>
      <c r="N220" s="12">
        <v>2</v>
      </c>
      <c r="O220" s="8" t="s">
        <v>26</v>
      </c>
      <c r="P220" s="13">
        <v>58900</v>
      </c>
      <c r="Q220" s="13"/>
      <c r="R220" s="14">
        <f>IF(AND(P220&gt;0,Q220&gt;0),ROUND((1-Q220/P220)*100,0),0)</f>
        <v>0</v>
      </c>
    </row>
    <row r="221" ht="20" customHeight="1" spans="1:18" x14ac:dyDescent="0.25">
      <c r="A221" s="15" t="s">
        <v>737</v>
      </c>
      <c r="B221" s="16" t="s">
        <v>738</v>
      </c>
      <c r="C221" s="16" t="s">
        <v>739</v>
      </c>
      <c r="D221" s="16" t="s">
        <v>712</v>
      </c>
      <c r="E221" s="17" t="s">
        <v>24</v>
      </c>
      <c r="F221" s="17" t="s">
        <v>25</v>
      </c>
      <c r="G221" s="17" t="s">
        <v>578</v>
      </c>
      <c r="H221" s="17" t="s">
        <v>553</v>
      </c>
      <c r="I221" s="16" t="s">
        <v>26</v>
      </c>
      <c r="J221" s="16" t="s">
        <v>26</v>
      </c>
      <c r="K221" s="16" t="s">
        <v>549</v>
      </c>
      <c r="L221" s="18" t="s">
        <v>28</v>
      </c>
      <c r="M221" s="18" t="s">
        <v>28</v>
      </c>
      <c r="N221" s="20">
        <v>2</v>
      </c>
      <c r="O221" s="16" t="s">
        <v>26</v>
      </c>
      <c r="P221" s="13">
        <v>44600</v>
      </c>
      <c r="Q221" s="13"/>
      <c r="R221" s="14">
        <f>IF(AND(P221&gt;0,Q221&gt;0),ROUND((1-Q221/P221)*100,0),0)</f>
        <v>20</v>
      </c>
    </row>
    <row r="222" ht="20" customHeight="1" spans="1:18" x14ac:dyDescent="0.25">
      <c r="A222" s="7" t="s">
        <v>740</v>
      </c>
      <c r="B222" s="8" t="s">
        <v>741</v>
      </c>
      <c r="C222" s="8" t="s">
        <v>742</v>
      </c>
      <c r="D222" s="8" t="s">
        <v>712</v>
      </c>
      <c r="E222" s="9" t="s">
        <v>24</v>
      </c>
      <c r="F222" s="9" t="s">
        <v>25</v>
      </c>
      <c r="G222" s="9" t="s">
        <v>578</v>
      </c>
      <c r="H222" s="9" t="s">
        <v>553</v>
      </c>
      <c r="I222" s="8" t="s">
        <v>26</v>
      </c>
      <c r="J222" s="8" t="s">
        <v>26</v>
      </c>
      <c r="K222" s="8" t="s">
        <v>549</v>
      </c>
      <c r="L222" s="10" t="s">
        <v>28</v>
      </c>
      <c r="M222" s="10" t="s">
        <v>28</v>
      </c>
      <c r="N222" s="12">
        <v>2</v>
      </c>
      <c r="O222" s="8" t="s">
        <v>26</v>
      </c>
      <c r="P222" s="13">
        <v>3899924</v>
      </c>
      <c r="Q222" s="13"/>
      <c r="R222" s="14">
        <f>IF(AND(P222&gt;0,Q222&gt;0),ROUND((1-Q222/P222)*100,0),0)</f>
        <v>0</v>
      </c>
    </row>
    <row r="223" ht="20" customHeight="1" spans="1:18" x14ac:dyDescent="0.25">
      <c r="A223" s="15" t="s">
        <v>743</v>
      </c>
      <c r="B223" s="16" t="s">
        <v>744</v>
      </c>
      <c r="C223" s="16" t="s">
        <v>745</v>
      </c>
      <c r="D223" s="16" t="s">
        <v>712</v>
      </c>
      <c r="E223" s="17" t="s">
        <v>24</v>
      </c>
      <c r="F223" s="17" t="s">
        <v>25</v>
      </c>
      <c r="G223" s="17" t="s">
        <v>547</v>
      </c>
      <c r="H223" s="17" t="s">
        <v>553</v>
      </c>
      <c r="I223" s="16" t="s">
        <v>26</v>
      </c>
      <c r="J223" s="16" t="s">
        <v>26</v>
      </c>
      <c r="K223" s="16" t="s">
        <v>549</v>
      </c>
      <c r="L223" s="18" t="s">
        <v>28</v>
      </c>
      <c r="M223" s="18" t="s">
        <v>28</v>
      </c>
      <c r="N223" s="20">
        <v>2</v>
      </c>
      <c r="O223" s="16" t="s">
        <v>26</v>
      </c>
      <c r="P223" s="13">
        <v>68600</v>
      </c>
      <c r="Q223" s="13"/>
      <c r="R223" s="14">
        <f>IF(AND(P223&gt;0,Q223&gt;0),ROUND((1-Q223/P223)*100,0),0)</f>
        <v>0</v>
      </c>
    </row>
    <row r="224" ht="20" customHeight="1" spans="1:18" x14ac:dyDescent="0.25">
      <c r="A224" s="7" t="s">
        <v>746</v>
      </c>
      <c r="B224" s="8" t="s">
        <v>747</v>
      </c>
      <c r="C224" s="8" t="s">
        <v>748</v>
      </c>
      <c r="D224" s="8" t="s">
        <v>712</v>
      </c>
      <c r="E224" s="9" t="s">
        <v>24</v>
      </c>
      <c r="F224" s="9" t="s">
        <v>25</v>
      </c>
      <c r="G224" s="9" t="s">
        <v>547</v>
      </c>
      <c r="H224" s="9" t="s">
        <v>553</v>
      </c>
      <c r="I224" s="8" t="s">
        <v>26</v>
      </c>
      <c r="J224" s="8" t="s">
        <v>26</v>
      </c>
      <c r="K224" s="8" t="s">
        <v>549</v>
      </c>
      <c r="L224" s="10" t="s">
        <v>28</v>
      </c>
      <c r="M224" s="10" t="s">
        <v>28</v>
      </c>
      <c r="N224" s="12">
        <v>2</v>
      </c>
      <c r="O224" s="8" t="s">
        <v>26</v>
      </c>
      <c r="P224" s="13">
        <v>46600</v>
      </c>
      <c r="Q224" s="13"/>
      <c r="R224" s="14">
        <f>IF(AND(P224&gt;0,Q224&gt;0),ROUND((1-Q224/P224)*100,0),0)</f>
        <v>0</v>
      </c>
    </row>
    <row r="225" ht="20" customHeight="1" spans="1:18" x14ac:dyDescent="0.25">
      <c r="A225" s="15" t="s">
        <v>749</v>
      </c>
      <c r="B225" s="16" t="s">
        <v>750</v>
      </c>
      <c r="C225" s="16" t="s">
        <v>751</v>
      </c>
      <c r="D225" s="16" t="s">
        <v>752</v>
      </c>
      <c r="E225" s="17" t="s">
        <v>24</v>
      </c>
      <c r="F225" s="17" t="s">
        <v>25</v>
      </c>
      <c r="G225" s="17" t="s">
        <v>547</v>
      </c>
      <c r="H225" s="17" t="s">
        <v>553</v>
      </c>
      <c r="I225" s="16" t="s">
        <v>26</v>
      </c>
      <c r="J225" s="16" t="s">
        <v>26</v>
      </c>
      <c r="K225" s="16" t="s">
        <v>549</v>
      </c>
      <c r="L225" s="18" t="s">
        <v>28</v>
      </c>
      <c r="M225" s="18" t="s">
        <v>28</v>
      </c>
      <c r="N225" s="20">
        <v>2</v>
      </c>
      <c r="O225" s="16" t="s">
        <v>26</v>
      </c>
      <c r="P225" s="13">
        <v>44000</v>
      </c>
      <c r="Q225" s="13"/>
      <c r="R225" s="14">
        <f>IF(AND(P225&gt;0,Q225&gt;0),ROUND((1-Q225/P225)*100,0),0)</f>
        <v>0</v>
      </c>
    </row>
    <row r="226" ht="20" customHeight="1" spans="1:18" x14ac:dyDescent="0.25">
      <c r="A226" s="7" t="s">
        <v>753</v>
      </c>
      <c r="B226" s="8" t="s">
        <v>754</v>
      </c>
      <c r="C226" s="8" t="s">
        <v>755</v>
      </c>
      <c r="D226" s="8" t="s">
        <v>752</v>
      </c>
      <c r="E226" s="9" t="s">
        <v>24</v>
      </c>
      <c r="F226" s="9" t="s">
        <v>25</v>
      </c>
      <c r="G226" s="9" t="s">
        <v>547</v>
      </c>
      <c r="H226" s="9" t="s">
        <v>553</v>
      </c>
      <c r="I226" s="8" t="s">
        <v>26</v>
      </c>
      <c r="J226" s="8" t="s">
        <v>26</v>
      </c>
      <c r="K226" s="8" t="s">
        <v>549</v>
      </c>
      <c r="L226" s="10" t="s">
        <v>28</v>
      </c>
      <c r="M226" s="10" t="s">
        <v>28</v>
      </c>
      <c r="N226" s="12">
        <v>2</v>
      </c>
      <c r="O226" s="8" t="s">
        <v>26</v>
      </c>
      <c r="P226" s="13">
        <v>44000</v>
      </c>
      <c r="Q226" s="13"/>
      <c r="R226" s="14">
        <f>IF(AND(P226&gt;0,Q226&gt;0),ROUND((1-Q226/P226)*100,0),0)</f>
        <v>0</v>
      </c>
    </row>
    <row r="227" ht="20" customHeight="1" spans="1:18" x14ac:dyDescent="0.25">
      <c r="A227" s="15" t="s">
        <v>756</v>
      </c>
      <c r="B227" s="16" t="s">
        <v>757</v>
      </c>
      <c r="C227" s="16" t="s">
        <v>758</v>
      </c>
      <c r="D227" s="16" t="s">
        <v>752</v>
      </c>
      <c r="E227" s="17" t="s">
        <v>24</v>
      </c>
      <c r="F227" s="17" t="s">
        <v>25</v>
      </c>
      <c r="G227" s="17" t="s">
        <v>547</v>
      </c>
      <c r="H227" s="17" t="s">
        <v>553</v>
      </c>
      <c r="I227" s="16" t="s">
        <v>26</v>
      </c>
      <c r="J227" s="16" t="s">
        <v>26</v>
      </c>
      <c r="K227" s="16" t="s">
        <v>549</v>
      </c>
      <c r="L227" s="18" t="s">
        <v>28</v>
      </c>
      <c r="M227" s="18" t="s">
        <v>28</v>
      </c>
      <c r="N227" s="20">
        <v>2</v>
      </c>
      <c r="O227" s="16" t="s">
        <v>26</v>
      </c>
      <c r="P227" s="13">
        <v>86700</v>
      </c>
      <c r="Q227" s="13">
        <v>52020</v>
      </c>
      <c r="R227" s="14">
        <f>IF(AND(P227&gt;0,Q227&gt;0),ROUND((1-Q227/P227)*100,0),0)</f>
        <v>40</v>
      </c>
    </row>
    <row r="228" ht="20" customHeight="1" spans="1:18" x14ac:dyDescent="0.25">
      <c r="A228" s="7" t="s">
        <v>759</v>
      </c>
      <c r="B228" s="8" t="s">
        <v>760</v>
      </c>
      <c r="C228" s="8" t="s">
        <v>761</v>
      </c>
      <c r="D228" s="8" t="s">
        <v>752</v>
      </c>
      <c r="E228" s="9" t="s">
        <v>24</v>
      </c>
      <c r="F228" s="9" t="s">
        <v>25</v>
      </c>
      <c r="G228" s="9" t="s">
        <v>547</v>
      </c>
      <c r="H228" s="9" t="s">
        <v>553</v>
      </c>
      <c r="I228" s="8" t="s">
        <v>26</v>
      </c>
      <c r="J228" s="8" t="s">
        <v>26</v>
      </c>
      <c r="K228" s="8" t="s">
        <v>549</v>
      </c>
      <c r="L228" s="10" t="s">
        <v>28</v>
      </c>
      <c r="M228" s="10" t="s">
        <v>28</v>
      </c>
      <c r="N228" s="12">
        <v>2</v>
      </c>
      <c r="O228" s="8" t="s">
        <v>26</v>
      </c>
      <c r="P228" s="13">
        <v>41600</v>
      </c>
      <c r="Q228" s="13"/>
      <c r="R228" s="14">
        <f>IF(AND(P228&gt;0,Q228&gt;0),ROUND((1-Q228/P228)*100,0),0)</f>
        <v>0</v>
      </c>
    </row>
    <row r="229" ht="20" customHeight="1" spans="1:18" x14ac:dyDescent="0.25">
      <c r="A229" s="15" t="s">
        <v>762</v>
      </c>
      <c r="B229" s="16" t="s">
        <v>763</v>
      </c>
      <c r="C229" s="16" t="s">
        <v>764</v>
      </c>
      <c r="D229" s="16" t="s">
        <v>752</v>
      </c>
      <c r="E229" s="17" t="s">
        <v>24</v>
      </c>
      <c r="F229" s="17" t="s">
        <v>25</v>
      </c>
      <c r="G229" s="17" t="s">
        <v>547</v>
      </c>
      <c r="H229" s="17" t="s">
        <v>553</v>
      </c>
      <c r="I229" s="16" t="s">
        <v>26</v>
      </c>
      <c r="J229" s="16" t="s">
        <v>26</v>
      </c>
      <c r="K229" s="16" t="s">
        <v>549</v>
      </c>
      <c r="L229" s="18" t="s">
        <v>28</v>
      </c>
      <c r="M229" s="18" t="s">
        <v>28</v>
      </c>
      <c r="N229" s="20">
        <v>2</v>
      </c>
      <c r="O229" s="16" t="s">
        <v>26</v>
      </c>
      <c r="P229" s="13">
        <v>31000</v>
      </c>
      <c r="Q229" s="13"/>
      <c r="R229" s="14">
        <f>IF(AND(P229&gt;0,Q229&gt;0),ROUND((1-Q229/P229)*100,0),0)</f>
        <v>0</v>
      </c>
    </row>
    <row r="230" ht="20" customHeight="1" spans="1:18" x14ac:dyDescent="0.25">
      <c r="A230" s="7" t="s">
        <v>765</v>
      </c>
      <c r="B230" s="8" t="s">
        <v>766</v>
      </c>
      <c r="C230" s="8" t="s">
        <v>767</v>
      </c>
      <c r="D230" s="8" t="s">
        <v>752</v>
      </c>
      <c r="E230" s="9" t="s">
        <v>24</v>
      </c>
      <c r="F230" s="9" t="s">
        <v>25</v>
      </c>
      <c r="G230" s="9" t="s">
        <v>547</v>
      </c>
      <c r="H230" s="9" t="s">
        <v>553</v>
      </c>
      <c r="I230" s="8" t="s">
        <v>26</v>
      </c>
      <c r="J230" s="8" t="s">
        <v>26</v>
      </c>
      <c r="K230" s="8" t="s">
        <v>549</v>
      </c>
      <c r="L230" s="10" t="s">
        <v>28</v>
      </c>
      <c r="M230" s="10" t="s">
        <v>28</v>
      </c>
      <c r="N230" s="12">
        <v>2</v>
      </c>
      <c r="O230" s="8" t="s">
        <v>26</v>
      </c>
      <c r="P230" s="13">
        <v>36700</v>
      </c>
      <c r="Q230" s="13"/>
      <c r="R230" s="14">
        <f>IF(AND(P230&gt;0,Q230&gt;0),ROUND((1-Q230/P230)*100,0),0)</f>
        <v>0</v>
      </c>
    </row>
    <row r="231" ht="20" customHeight="1" spans="1:18" x14ac:dyDescent="0.25">
      <c r="A231" s="15" t="s">
        <v>768</v>
      </c>
      <c r="B231" s="16" t="s">
        <v>769</v>
      </c>
      <c r="C231" s="16" t="s">
        <v>770</v>
      </c>
      <c r="D231" s="16" t="s">
        <v>752</v>
      </c>
      <c r="E231" s="17" t="s">
        <v>24</v>
      </c>
      <c r="F231" s="17" t="s">
        <v>25</v>
      </c>
      <c r="G231" s="17" t="s">
        <v>578</v>
      </c>
      <c r="H231" s="17" t="s">
        <v>553</v>
      </c>
      <c r="I231" s="16" t="s">
        <v>26</v>
      </c>
      <c r="J231" s="16" t="s">
        <v>26</v>
      </c>
      <c r="K231" s="16" t="s">
        <v>549</v>
      </c>
      <c r="L231" s="18" t="s">
        <v>28</v>
      </c>
      <c r="M231" s="18" t="s">
        <v>28</v>
      </c>
      <c r="N231" s="20">
        <v>2</v>
      </c>
      <c r="O231" s="16" t="s">
        <v>26</v>
      </c>
      <c r="P231" s="13">
        <v>36700</v>
      </c>
      <c r="Q231" s="13"/>
      <c r="R231" s="14">
        <f>IF(AND(P231&gt;0,Q231&gt;0),ROUND((1-Q231/P231)*100,0),0)</f>
        <v>0</v>
      </c>
    </row>
    <row r="232" ht="20" customHeight="1" spans="1:18" x14ac:dyDescent="0.25">
      <c r="A232" s="7" t="s">
        <v>771</v>
      </c>
      <c r="B232" s="8" t="s">
        <v>772</v>
      </c>
      <c r="C232" s="8" t="s">
        <v>773</v>
      </c>
      <c r="D232" s="8" t="s">
        <v>752</v>
      </c>
      <c r="E232" s="9" t="s">
        <v>24</v>
      </c>
      <c r="F232" s="9" t="s">
        <v>25</v>
      </c>
      <c r="G232" s="9" t="s">
        <v>547</v>
      </c>
      <c r="H232" s="9" t="s">
        <v>553</v>
      </c>
      <c r="I232" s="8" t="s">
        <v>26</v>
      </c>
      <c r="J232" s="8" t="s">
        <v>26</v>
      </c>
      <c r="K232" s="8" t="s">
        <v>549</v>
      </c>
      <c r="L232" s="10" t="s">
        <v>28</v>
      </c>
      <c r="M232" s="10" t="s">
        <v>28</v>
      </c>
      <c r="N232" s="12">
        <v>2</v>
      </c>
      <c r="O232" s="8" t="s">
        <v>26</v>
      </c>
      <c r="P232" s="13">
        <v>82600</v>
      </c>
      <c r="Q232" s="13">
        <v>49560</v>
      </c>
      <c r="R232" s="14">
        <f>IF(AND(P232&gt;0,Q232&gt;0),ROUND((1-Q232/P232)*100,0),0)</f>
        <v>40</v>
      </c>
    </row>
    <row r="233" ht="20" customHeight="1" spans="1:18" x14ac:dyDescent="0.25">
      <c r="A233" s="15" t="s">
        <v>774</v>
      </c>
      <c r="B233" s="16" t="s">
        <v>775</v>
      </c>
      <c r="C233" s="16" t="s">
        <v>776</v>
      </c>
      <c r="D233" s="16" t="s">
        <v>752</v>
      </c>
      <c r="E233" s="17" t="s">
        <v>24</v>
      </c>
      <c r="F233" s="17" t="s">
        <v>25</v>
      </c>
      <c r="G233" s="17" t="s">
        <v>547</v>
      </c>
      <c r="H233" s="17" t="s">
        <v>553</v>
      </c>
      <c r="I233" s="16" t="s">
        <v>26</v>
      </c>
      <c r="J233" s="16" t="s">
        <v>26</v>
      </c>
      <c r="K233" s="16" t="s">
        <v>549</v>
      </c>
      <c r="L233" s="18" t="s">
        <v>28</v>
      </c>
      <c r="M233" s="18" t="s">
        <v>28</v>
      </c>
      <c r="N233" s="20">
        <v>2</v>
      </c>
      <c r="O233" s="16" t="s">
        <v>26</v>
      </c>
      <c r="P233" s="13">
        <v>36900</v>
      </c>
      <c r="Q233" s="13"/>
      <c r="R233" s="14">
        <f>IF(AND(P233&gt;0,Q233&gt;0),ROUND((1-Q233/P233)*100,0),0)</f>
        <v>0</v>
      </c>
    </row>
    <row r="234" ht="20" customHeight="1" spans="1:18" x14ac:dyDescent="0.25">
      <c r="A234" s="7" t="s">
        <v>777</v>
      </c>
      <c r="B234" s="8" t="s">
        <v>778</v>
      </c>
      <c r="C234" s="8" t="s">
        <v>779</v>
      </c>
      <c r="D234" s="8" t="s">
        <v>752</v>
      </c>
      <c r="E234" s="9" t="s">
        <v>24</v>
      </c>
      <c r="F234" s="9" t="s">
        <v>25</v>
      </c>
      <c r="G234" s="9" t="s">
        <v>578</v>
      </c>
      <c r="H234" s="9" t="s">
        <v>553</v>
      </c>
      <c r="I234" s="8" t="s">
        <v>26</v>
      </c>
      <c r="J234" s="8" t="s">
        <v>26</v>
      </c>
      <c r="K234" s="8" t="s">
        <v>549</v>
      </c>
      <c r="L234" s="10" t="s">
        <v>28</v>
      </c>
      <c r="M234" s="10" t="s">
        <v>28</v>
      </c>
      <c r="N234" s="12">
        <v>2</v>
      </c>
      <c r="O234" s="8" t="s">
        <v>26</v>
      </c>
      <c r="P234" s="13">
        <v>36900</v>
      </c>
      <c r="Q234" s="13"/>
      <c r="R234" s="14">
        <f>IF(AND(P234&gt;0,Q234&gt;0),ROUND((1-Q234/P234)*100,0),0)</f>
        <v>0</v>
      </c>
    </row>
    <row r="235" ht="20" customHeight="1" spans="1:18" x14ac:dyDescent="0.25">
      <c r="A235" s="15" t="s">
        <v>780</v>
      </c>
      <c r="B235" s="16" t="s">
        <v>781</v>
      </c>
      <c r="C235" s="16" t="s">
        <v>782</v>
      </c>
      <c r="D235" s="16" t="s">
        <v>752</v>
      </c>
      <c r="E235" s="17" t="s">
        <v>24</v>
      </c>
      <c r="F235" s="17" t="s">
        <v>25</v>
      </c>
      <c r="G235" s="17" t="s">
        <v>547</v>
      </c>
      <c r="H235" s="17" t="s">
        <v>553</v>
      </c>
      <c r="I235" s="16" t="s">
        <v>26</v>
      </c>
      <c r="J235" s="16" t="s">
        <v>26</v>
      </c>
      <c r="K235" s="16" t="s">
        <v>549</v>
      </c>
      <c r="L235" s="18" t="s">
        <v>28</v>
      </c>
      <c r="M235" s="18" t="s">
        <v>28</v>
      </c>
      <c r="N235" s="20">
        <v>2</v>
      </c>
      <c r="O235" s="16" t="s">
        <v>26</v>
      </c>
      <c r="P235" s="13">
        <v>36900</v>
      </c>
      <c r="Q235" s="13"/>
      <c r="R235" s="14">
        <f>IF(AND(P235&gt;0,Q235&gt;0),ROUND((1-Q235/P235)*100,0),0)</f>
        <v>0</v>
      </c>
    </row>
    <row r="236" ht="20" customHeight="1" spans="1:18" x14ac:dyDescent="0.25">
      <c r="A236" s="7" t="s">
        <v>783</v>
      </c>
      <c r="B236" s="8" t="s">
        <v>784</v>
      </c>
      <c r="C236" s="8" t="s">
        <v>785</v>
      </c>
      <c r="D236" s="8" t="s">
        <v>752</v>
      </c>
      <c r="E236" s="9" t="s">
        <v>24</v>
      </c>
      <c r="F236" s="9" t="s">
        <v>25</v>
      </c>
      <c r="G236" s="9" t="s">
        <v>578</v>
      </c>
      <c r="H236" s="9" t="s">
        <v>553</v>
      </c>
      <c r="I236" s="8" t="s">
        <v>26</v>
      </c>
      <c r="J236" s="8" t="s">
        <v>26</v>
      </c>
      <c r="K236" s="8" t="s">
        <v>549</v>
      </c>
      <c r="L236" s="10" t="s">
        <v>28</v>
      </c>
      <c r="M236" s="10" t="s">
        <v>28</v>
      </c>
      <c r="N236" s="12">
        <v>2</v>
      </c>
      <c r="O236" s="8" t="s">
        <v>26</v>
      </c>
      <c r="P236" s="13">
        <v>36900</v>
      </c>
      <c r="Q236" s="13"/>
      <c r="R236" s="14">
        <f>IF(AND(P236&gt;0,Q236&gt;0),ROUND((1-Q236/P236)*100,0),0)</f>
        <v>0</v>
      </c>
    </row>
    <row r="237" ht="20" customHeight="1" spans="1:18" x14ac:dyDescent="0.25">
      <c r="A237" s="15" t="s">
        <v>786</v>
      </c>
      <c r="B237" s="16" t="s">
        <v>787</v>
      </c>
      <c r="C237" s="16" t="s">
        <v>788</v>
      </c>
      <c r="D237" s="16" t="s">
        <v>752</v>
      </c>
      <c r="E237" s="17" t="s">
        <v>24</v>
      </c>
      <c r="F237" s="17" t="s">
        <v>25</v>
      </c>
      <c r="G237" s="17" t="s">
        <v>578</v>
      </c>
      <c r="H237" s="17" t="s">
        <v>553</v>
      </c>
      <c r="I237" s="16" t="s">
        <v>26</v>
      </c>
      <c r="J237" s="16" t="s">
        <v>26</v>
      </c>
      <c r="K237" s="16" t="s">
        <v>549</v>
      </c>
      <c r="L237" s="18" t="s">
        <v>28</v>
      </c>
      <c r="M237" s="18" t="s">
        <v>28</v>
      </c>
      <c r="N237" s="20">
        <v>2</v>
      </c>
      <c r="O237" s="16" t="s">
        <v>26</v>
      </c>
      <c r="P237" s="13">
        <v>46300</v>
      </c>
      <c r="Q237" s="13"/>
      <c r="R237" s="14">
        <f>IF(AND(P237&gt;0,Q237&gt;0),ROUND((1-Q237/P237)*100,0),0)</f>
        <v>0</v>
      </c>
    </row>
    <row r="238" ht="20" customHeight="1" spans="1:18" x14ac:dyDescent="0.25">
      <c r="A238" s="7" t="s">
        <v>789</v>
      </c>
      <c r="B238" s="8" t="s">
        <v>790</v>
      </c>
      <c r="C238" s="8" t="s">
        <v>791</v>
      </c>
      <c r="D238" s="8" t="s">
        <v>752</v>
      </c>
      <c r="E238" s="9" t="s">
        <v>24</v>
      </c>
      <c r="F238" s="9" t="s">
        <v>25</v>
      </c>
      <c r="G238" s="9" t="s">
        <v>578</v>
      </c>
      <c r="H238" s="9" t="s">
        <v>553</v>
      </c>
      <c r="I238" s="8" t="s">
        <v>26</v>
      </c>
      <c r="J238" s="8" t="s">
        <v>26</v>
      </c>
      <c r="K238" s="8" t="s">
        <v>549</v>
      </c>
      <c r="L238" s="10" t="s">
        <v>28</v>
      </c>
      <c r="M238" s="10" t="s">
        <v>28</v>
      </c>
      <c r="N238" s="12">
        <v>2</v>
      </c>
      <c r="O238" s="8" t="s">
        <v>26</v>
      </c>
      <c r="P238" s="13">
        <v>49000</v>
      </c>
      <c r="Q238" s="13"/>
      <c r="R238" s="14">
        <f>IF(AND(P238&gt;0,Q238&gt;0),ROUND((1-Q238/P238)*100,0),0)</f>
        <v>0</v>
      </c>
    </row>
    <row r="239" ht="20" customHeight="1" spans="1:18" x14ac:dyDescent="0.25">
      <c r="A239" s="15" t="s">
        <v>792</v>
      </c>
      <c r="B239" s="16" t="s">
        <v>793</v>
      </c>
      <c r="C239" s="16" t="s">
        <v>794</v>
      </c>
      <c r="D239" s="16" t="s">
        <v>752</v>
      </c>
      <c r="E239" s="17" t="s">
        <v>24</v>
      </c>
      <c r="F239" s="17" t="s">
        <v>25</v>
      </c>
      <c r="G239" s="17" t="s">
        <v>578</v>
      </c>
      <c r="H239" s="17" t="s">
        <v>553</v>
      </c>
      <c r="I239" s="16" t="s">
        <v>26</v>
      </c>
      <c r="J239" s="16" t="s">
        <v>26</v>
      </c>
      <c r="K239" s="16" t="s">
        <v>549</v>
      </c>
      <c r="L239" s="18" t="s">
        <v>28</v>
      </c>
      <c r="M239" s="18" t="s">
        <v>28</v>
      </c>
      <c r="N239" s="20">
        <v>2</v>
      </c>
      <c r="O239" s="16" t="s">
        <v>26</v>
      </c>
      <c r="P239" s="13">
        <v>50500</v>
      </c>
      <c r="Q239" s="13"/>
      <c r="R239" s="14">
        <f>IF(AND(P239&gt;0,Q239&gt;0),ROUND((1-Q239/P239)*100,0),0)</f>
        <v>0</v>
      </c>
    </row>
    <row r="240" ht="20" customHeight="1" spans="1:18" x14ac:dyDescent="0.25">
      <c r="A240" s="7" t="s">
        <v>795</v>
      </c>
      <c r="B240" s="8" t="s">
        <v>796</v>
      </c>
      <c r="C240" s="8" t="s">
        <v>797</v>
      </c>
      <c r="D240" s="8" t="s">
        <v>752</v>
      </c>
      <c r="E240" s="9" t="s">
        <v>24</v>
      </c>
      <c r="F240" s="9" t="s">
        <v>25</v>
      </c>
      <c r="G240" s="9" t="s">
        <v>578</v>
      </c>
      <c r="H240" s="9" t="s">
        <v>553</v>
      </c>
      <c r="I240" s="8" t="s">
        <v>26</v>
      </c>
      <c r="J240" s="8" t="s">
        <v>26</v>
      </c>
      <c r="K240" s="8" t="s">
        <v>549</v>
      </c>
      <c r="L240" s="10" t="s">
        <v>28</v>
      </c>
      <c r="M240" s="10" t="s">
        <v>28</v>
      </c>
      <c r="N240" s="12">
        <v>2</v>
      </c>
      <c r="O240" s="8" t="s">
        <v>26</v>
      </c>
      <c r="P240" s="13">
        <v>50500</v>
      </c>
      <c r="Q240" s="13"/>
      <c r="R240" s="14">
        <f>IF(AND(P240&gt;0,Q240&gt;0),ROUND((1-Q240/P240)*100,0),0)</f>
        <v>0</v>
      </c>
    </row>
    <row r="241" ht="20" customHeight="1" spans="1:18" x14ac:dyDescent="0.25">
      <c r="A241" s="15" t="s">
        <v>798</v>
      </c>
      <c r="B241" s="16" t="s">
        <v>799</v>
      </c>
      <c r="C241" s="16" t="s">
        <v>800</v>
      </c>
      <c r="D241" s="16" t="s">
        <v>752</v>
      </c>
      <c r="E241" s="17" t="s">
        <v>24</v>
      </c>
      <c r="F241" s="17" t="s">
        <v>25</v>
      </c>
      <c r="G241" s="17" t="s">
        <v>578</v>
      </c>
      <c r="H241" s="17" t="s">
        <v>553</v>
      </c>
      <c r="I241" s="16" t="s">
        <v>26</v>
      </c>
      <c r="J241" s="16" t="s">
        <v>26</v>
      </c>
      <c r="K241" s="16" t="s">
        <v>549</v>
      </c>
      <c r="L241" s="18" t="s">
        <v>28</v>
      </c>
      <c r="M241" s="18" t="s">
        <v>28</v>
      </c>
      <c r="N241" s="20">
        <v>2</v>
      </c>
      <c r="O241" s="16" t="s">
        <v>26</v>
      </c>
      <c r="P241" s="13">
        <v>46300</v>
      </c>
      <c r="Q241" s="13">
        <v>37040</v>
      </c>
      <c r="R241" s="14">
        <f>IF(AND(P241&gt;0,Q241&gt;0),ROUND((1-Q241/P241)*100,0),0)</f>
        <v>20</v>
      </c>
    </row>
    <row r="242" ht="20" customHeight="1" spans="1:18" x14ac:dyDescent="0.25">
      <c r="A242" s="7" t="s">
        <v>801</v>
      </c>
      <c r="B242" s="8" t="s">
        <v>802</v>
      </c>
      <c r="C242" s="8" t="s">
        <v>803</v>
      </c>
      <c r="D242" s="8" t="s">
        <v>752</v>
      </c>
      <c r="E242" s="9" t="s">
        <v>24</v>
      </c>
      <c r="F242" s="9" t="s">
        <v>25</v>
      </c>
      <c r="G242" s="9" t="s">
        <v>578</v>
      </c>
      <c r="H242" s="9" t="s">
        <v>553</v>
      </c>
      <c r="I242" s="8" t="s">
        <v>26</v>
      </c>
      <c r="J242" s="8" t="s">
        <v>26</v>
      </c>
      <c r="K242" s="8" t="s">
        <v>549</v>
      </c>
      <c r="L242" s="10" t="s">
        <v>28</v>
      </c>
      <c r="M242" s="10" t="s">
        <v>28</v>
      </c>
      <c r="N242" s="12">
        <v>2</v>
      </c>
      <c r="O242" s="8" t="s">
        <v>26</v>
      </c>
      <c r="P242" s="13">
        <v>50500</v>
      </c>
      <c r="Q242" s="13"/>
      <c r="R242" s="14">
        <f>IF(AND(P242&gt;0,Q242&gt;0),ROUND((1-Q242/P242)*100,0),0)</f>
        <v>0</v>
      </c>
    </row>
    <row r="243" ht="20" customHeight="1" spans="1:18" x14ac:dyDescent="0.25">
      <c r="A243" s="15" t="s">
        <v>804</v>
      </c>
      <c r="B243" s="16" t="s">
        <v>805</v>
      </c>
      <c r="C243" s="16" t="s">
        <v>806</v>
      </c>
      <c r="D243" s="16" t="s">
        <v>752</v>
      </c>
      <c r="E243" s="17" t="s">
        <v>24</v>
      </c>
      <c r="F243" s="17" t="s">
        <v>25</v>
      </c>
      <c r="G243" s="17" t="s">
        <v>578</v>
      </c>
      <c r="H243" s="17" t="s">
        <v>553</v>
      </c>
      <c r="I243" s="16" t="s">
        <v>26</v>
      </c>
      <c r="J243" s="16" t="s">
        <v>26</v>
      </c>
      <c r="K243" s="16" t="s">
        <v>549</v>
      </c>
      <c r="L243" s="18" t="s">
        <v>28</v>
      </c>
      <c r="M243" s="18" t="s">
        <v>28</v>
      </c>
      <c r="N243" s="20">
        <v>2</v>
      </c>
      <c r="O243" s="16" t="s">
        <v>26</v>
      </c>
      <c r="P243" s="13">
        <v>46300</v>
      </c>
      <c r="Q243" s="13"/>
      <c r="R243" s="14">
        <f>IF(AND(P243&gt;0,Q243&gt;0),ROUND((1-Q243/P243)*100,0),0)</f>
        <v>0</v>
      </c>
    </row>
    <row r="244" ht="20" customHeight="1" spans="1:18" x14ac:dyDescent="0.25">
      <c r="A244" s="7" t="s">
        <v>807</v>
      </c>
      <c r="B244" s="8" t="s">
        <v>808</v>
      </c>
      <c r="C244" s="8" t="s">
        <v>809</v>
      </c>
      <c r="D244" s="8" t="s">
        <v>752</v>
      </c>
      <c r="E244" s="9" t="s">
        <v>24</v>
      </c>
      <c r="F244" s="9" t="s">
        <v>25</v>
      </c>
      <c r="G244" s="9" t="s">
        <v>578</v>
      </c>
      <c r="H244" s="9" t="s">
        <v>553</v>
      </c>
      <c r="I244" s="8" t="s">
        <v>26</v>
      </c>
      <c r="J244" s="8" t="s">
        <v>26</v>
      </c>
      <c r="K244" s="8" t="s">
        <v>549</v>
      </c>
      <c r="L244" s="10" t="s">
        <v>28</v>
      </c>
      <c r="M244" s="10" t="s">
        <v>28</v>
      </c>
      <c r="N244" s="12">
        <v>2</v>
      </c>
      <c r="O244" s="8" t="s">
        <v>26</v>
      </c>
      <c r="P244" s="13">
        <v>46300</v>
      </c>
      <c r="Q244" s="13"/>
      <c r="R244" s="14">
        <f>IF(AND(P244&gt;0,Q244&gt;0),ROUND((1-Q244/P244)*100,0),0)</f>
        <v>0</v>
      </c>
    </row>
    <row r="245" ht="20" customHeight="1" spans="1:18" x14ac:dyDescent="0.25">
      <c r="A245" s="15" t="s">
        <v>810</v>
      </c>
      <c r="B245" s="16" t="s">
        <v>811</v>
      </c>
      <c r="C245" s="16" t="s">
        <v>812</v>
      </c>
      <c r="D245" s="16" t="s">
        <v>752</v>
      </c>
      <c r="E245" s="17" t="s">
        <v>24</v>
      </c>
      <c r="F245" s="17" t="s">
        <v>25</v>
      </c>
      <c r="G245" s="17" t="s">
        <v>578</v>
      </c>
      <c r="H245" s="17" t="s">
        <v>553</v>
      </c>
      <c r="I245" s="16" t="s">
        <v>26</v>
      </c>
      <c r="J245" s="16" t="s">
        <v>26</v>
      </c>
      <c r="K245" s="16" t="s">
        <v>549</v>
      </c>
      <c r="L245" s="18" t="s">
        <v>28</v>
      </c>
      <c r="M245" s="18" t="s">
        <v>28</v>
      </c>
      <c r="N245" s="20">
        <v>2</v>
      </c>
      <c r="O245" s="16" t="s">
        <v>26</v>
      </c>
      <c r="P245" s="13">
        <v>50500</v>
      </c>
      <c r="Q245" s="13"/>
      <c r="R245" s="14">
        <f>IF(AND(P245&gt;0,Q245&gt;0),ROUND((1-Q245/P245)*100,0),0)</f>
        <v>0</v>
      </c>
    </row>
    <row r="246" ht="20" customHeight="1" spans="1:18" x14ac:dyDescent="0.25">
      <c r="A246" s="7" t="s">
        <v>813</v>
      </c>
      <c r="B246" s="8" t="s">
        <v>814</v>
      </c>
      <c r="C246" s="8" t="s">
        <v>815</v>
      </c>
      <c r="D246" s="8" t="s">
        <v>752</v>
      </c>
      <c r="E246" s="9" t="s">
        <v>24</v>
      </c>
      <c r="F246" s="9" t="s">
        <v>25</v>
      </c>
      <c r="G246" s="9" t="s">
        <v>578</v>
      </c>
      <c r="H246" s="9" t="s">
        <v>553</v>
      </c>
      <c r="I246" s="8" t="s">
        <v>26</v>
      </c>
      <c r="J246" s="8" t="s">
        <v>26</v>
      </c>
      <c r="K246" s="8" t="s">
        <v>549</v>
      </c>
      <c r="L246" s="10" t="s">
        <v>28</v>
      </c>
      <c r="M246" s="10" t="s">
        <v>28</v>
      </c>
      <c r="N246" s="12">
        <v>2</v>
      </c>
      <c r="O246" s="8" t="s">
        <v>26</v>
      </c>
      <c r="P246" s="13">
        <v>46300</v>
      </c>
      <c r="Q246" s="13"/>
      <c r="R246" s="14">
        <f>IF(AND(P246&gt;0,Q246&gt;0),ROUND((1-Q246/P246)*100,0),0)</f>
        <v>0</v>
      </c>
    </row>
    <row r="247" ht="20" customHeight="1" spans="1:18" x14ac:dyDescent="0.25">
      <c r="A247" s="15" t="s">
        <v>816</v>
      </c>
      <c r="B247" s="16" t="s">
        <v>817</v>
      </c>
      <c r="C247" s="16" t="s">
        <v>818</v>
      </c>
      <c r="D247" s="16" t="s">
        <v>752</v>
      </c>
      <c r="E247" s="17" t="s">
        <v>24</v>
      </c>
      <c r="F247" s="17" t="s">
        <v>25</v>
      </c>
      <c r="G247" s="17" t="s">
        <v>547</v>
      </c>
      <c r="H247" s="17" t="s">
        <v>553</v>
      </c>
      <c r="I247" s="16" t="s">
        <v>26</v>
      </c>
      <c r="J247" s="16" t="s">
        <v>26</v>
      </c>
      <c r="K247" s="16" t="s">
        <v>549</v>
      </c>
      <c r="L247" s="18" t="s">
        <v>28</v>
      </c>
      <c r="M247" s="18" t="s">
        <v>28</v>
      </c>
      <c r="N247" s="20">
        <v>2</v>
      </c>
      <c r="O247" s="16" t="s">
        <v>26</v>
      </c>
      <c r="P247" s="13">
        <v>52200</v>
      </c>
      <c r="Q247" s="13"/>
      <c r="R247" s="14">
        <f>IF(AND(P247&gt;0,Q247&gt;0),ROUND((1-Q247/P247)*100,0),0)</f>
        <v>0</v>
      </c>
    </row>
    <row r="248" ht="20" customHeight="1" spans="1:18" x14ac:dyDescent="0.25">
      <c r="A248" s="7" t="s">
        <v>819</v>
      </c>
      <c r="B248" s="8" t="s">
        <v>820</v>
      </c>
      <c r="C248" s="8" t="s">
        <v>821</v>
      </c>
      <c r="D248" s="8" t="s">
        <v>752</v>
      </c>
      <c r="E248" s="9" t="s">
        <v>24</v>
      </c>
      <c r="F248" s="9" t="s">
        <v>25</v>
      </c>
      <c r="G248" s="9" t="s">
        <v>547</v>
      </c>
      <c r="H248" s="9" t="s">
        <v>553</v>
      </c>
      <c r="I248" s="8" t="s">
        <v>26</v>
      </c>
      <c r="J248" s="8" t="s">
        <v>26</v>
      </c>
      <c r="K248" s="8" t="s">
        <v>549</v>
      </c>
      <c r="L248" s="10" t="s">
        <v>28</v>
      </c>
      <c r="M248" s="10" t="s">
        <v>28</v>
      </c>
      <c r="N248" s="12">
        <v>2</v>
      </c>
      <c r="O248" s="8" t="s">
        <v>26</v>
      </c>
      <c r="P248" s="13">
        <v>46300</v>
      </c>
      <c r="Q248" s="13"/>
      <c r="R248" s="14">
        <f>IF(AND(P248&gt;0,Q248&gt;0),ROUND((1-Q248/P248)*100,0),0)</f>
        <v>0</v>
      </c>
    </row>
    <row r="249" ht="20" customHeight="1" spans="1:18" x14ac:dyDescent="0.25">
      <c r="A249" s="15" t="s">
        <v>822</v>
      </c>
      <c r="B249" s="16" t="s">
        <v>823</v>
      </c>
      <c r="C249" s="16" t="s">
        <v>824</v>
      </c>
      <c r="D249" s="16" t="s">
        <v>752</v>
      </c>
      <c r="E249" s="17" t="s">
        <v>24</v>
      </c>
      <c r="F249" s="17" t="s">
        <v>25</v>
      </c>
      <c r="G249" s="17" t="s">
        <v>547</v>
      </c>
      <c r="H249" s="17" t="s">
        <v>553</v>
      </c>
      <c r="I249" s="16" t="s">
        <v>26</v>
      </c>
      <c r="J249" s="16" t="s">
        <v>26</v>
      </c>
      <c r="K249" s="16" t="s">
        <v>549</v>
      </c>
      <c r="L249" s="18" t="s">
        <v>28</v>
      </c>
      <c r="M249" s="18" t="s">
        <v>28</v>
      </c>
      <c r="N249" s="20">
        <v>2</v>
      </c>
      <c r="O249" s="16" t="s">
        <v>26</v>
      </c>
      <c r="P249" s="13">
        <v>50900</v>
      </c>
      <c r="Q249" s="13"/>
      <c r="R249" s="14">
        <f>IF(AND(P249&gt;0,Q249&gt;0),ROUND((1-Q249/P249)*100,0),0)</f>
        <v>0</v>
      </c>
    </row>
    <row r="250" ht="20" customHeight="1" spans="1:18" x14ac:dyDescent="0.25">
      <c r="A250" s="7" t="s">
        <v>825</v>
      </c>
      <c r="B250" s="8" t="s">
        <v>826</v>
      </c>
      <c r="C250" s="8" t="s">
        <v>827</v>
      </c>
      <c r="D250" s="8" t="s">
        <v>752</v>
      </c>
      <c r="E250" s="9" t="s">
        <v>24</v>
      </c>
      <c r="F250" s="9" t="s">
        <v>25</v>
      </c>
      <c r="G250" s="9" t="s">
        <v>547</v>
      </c>
      <c r="H250" s="9" t="s">
        <v>553</v>
      </c>
      <c r="I250" s="8" t="s">
        <v>26</v>
      </c>
      <c r="J250" s="8" t="s">
        <v>26</v>
      </c>
      <c r="K250" s="8" t="s">
        <v>549</v>
      </c>
      <c r="L250" s="10" t="s">
        <v>28</v>
      </c>
      <c r="M250" s="10" t="s">
        <v>28</v>
      </c>
      <c r="N250" s="12">
        <v>2</v>
      </c>
      <c r="O250" s="8" t="s">
        <v>26</v>
      </c>
      <c r="P250" s="13">
        <v>47400</v>
      </c>
      <c r="Q250" s="13"/>
      <c r="R250" s="14">
        <f>IF(AND(P250&gt;0,Q250&gt;0),ROUND((1-Q250/P250)*100,0),0)</f>
        <v>0</v>
      </c>
    </row>
    <row r="251" ht="20" customHeight="1" spans="1:18" x14ac:dyDescent="0.25">
      <c r="A251" s="15" t="s">
        <v>828</v>
      </c>
      <c r="B251" s="16" t="s">
        <v>829</v>
      </c>
      <c r="C251" s="16" t="s">
        <v>830</v>
      </c>
      <c r="D251" s="16" t="s">
        <v>752</v>
      </c>
      <c r="E251" s="17" t="s">
        <v>24</v>
      </c>
      <c r="F251" s="17" t="s">
        <v>25</v>
      </c>
      <c r="G251" s="17" t="s">
        <v>547</v>
      </c>
      <c r="H251" s="17" t="s">
        <v>553</v>
      </c>
      <c r="I251" s="16" t="s">
        <v>26</v>
      </c>
      <c r="J251" s="16" t="s">
        <v>26</v>
      </c>
      <c r="K251" s="16" t="s">
        <v>549</v>
      </c>
      <c r="L251" s="18" t="s">
        <v>28</v>
      </c>
      <c r="M251" s="18" t="s">
        <v>28</v>
      </c>
      <c r="N251" s="20">
        <v>2</v>
      </c>
      <c r="O251" s="16" t="s">
        <v>26</v>
      </c>
      <c r="P251" s="13">
        <v>52200</v>
      </c>
      <c r="Q251" s="13"/>
      <c r="R251" s="14">
        <f>IF(AND(P251&gt;0,Q251&gt;0),ROUND((1-Q251/P251)*100,0),0)</f>
        <v>0</v>
      </c>
    </row>
    <row r="252" ht="20" customHeight="1" spans="1:18" x14ac:dyDescent="0.25">
      <c r="A252" s="7" t="s">
        <v>831</v>
      </c>
      <c r="B252" s="8" t="s">
        <v>832</v>
      </c>
      <c r="C252" s="8" t="s">
        <v>833</v>
      </c>
      <c r="D252" s="8" t="s">
        <v>752</v>
      </c>
      <c r="E252" s="9" t="s">
        <v>24</v>
      </c>
      <c r="F252" s="9" t="s">
        <v>25</v>
      </c>
      <c r="G252" s="9" t="s">
        <v>547</v>
      </c>
      <c r="H252" s="9" t="s">
        <v>553</v>
      </c>
      <c r="I252" s="8" t="s">
        <v>26</v>
      </c>
      <c r="J252" s="8" t="s">
        <v>26</v>
      </c>
      <c r="K252" s="8" t="s">
        <v>549</v>
      </c>
      <c r="L252" s="10" t="s">
        <v>28</v>
      </c>
      <c r="M252" s="10" t="s">
        <v>28</v>
      </c>
      <c r="N252" s="12">
        <v>2</v>
      </c>
      <c r="O252" s="8" t="s">
        <v>26</v>
      </c>
      <c r="P252" s="13">
        <v>46300</v>
      </c>
      <c r="Q252" s="13"/>
      <c r="R252" s="14">
        <f>IF(AND(P252&gt;0,Q252&gt;0),ROUND((1-Q252/P252)*100,0),0)</f>
        <v>0</v>
      </c>
    </row>
    <row r="253" ht="20" customHeight="1" spans="1:18" x14ac:dyDescent="0.25">
      <c r="A253" s="15" t="s">
        <v>834</v>
      </c>
      <c r="B253" s="16" t="s">
        <v>835</v>
      </c>
      <c r="C253" s="16" t="s">
        <v>836</v>
      </c>
      <c r="D253" s="16" t="s">
        <v>752</v>
      </c>
      <c r="E253" s="17" t="s">
        <v>24</v>
      </c>
      <c r="F253" s="17" t="s">
        <v>25</v>
      </c>
      <c r="G253" s="17" t="s">
        <v>547</v>
      </c>
      <c r="H253" s="17" t="s">
        <v>553</v>
      </c>
      <c r="I253" s="16" t="s">
        <v>26</v>
      </c>
      <c r="J253" s="16" t="s">
        <v>26</v>
      </c>
      <c r="K253" s="16" t="s">
        <v>549</v>
      </c>
      <c r="L253" s="18" t="s">
        <v>28</v>
      </c>
      <c r="M253" s="18" t="s">
        <v>28</v>
      </c>
      <c r="N253" s="20">
        <v>2</v>
      </c>
      <c r="O253" s="16" t="s">
        <v>26</v>
      </c>
      <c r="P253" s="13">
        <v>50900</v>
      </c>
      <c r="Q253" s="13"/>
      <c r="R253" s="14">
        <f>IF(AND(P253&gt;0,Q253&gt;0),ROUND((1-Q253/P253)*100,0),0)</f>
        <v>0</v>
      </c>
    </row>
    <row r="254" ht="20" customHeight="1" spans="1:18" x14ac:dyDescent="0.25">
      <c r="A254" s="7" t="s">
        <v>837</v>
      </c>
      <c r="B254" s="8" t="s">
        <v>838</v>
      </c>
      <c r="C254" s="8" t="s">
        <v>836</v>
      </c>
      <c r="D254" s="8" t="s">
        <v>752</v>
      </c>
      <c r="E254" s="9" t="s">
        <v>24</v>
      </c>
      <c r="F254" s="9" t="s">
        <v>25</v>
      </c>
      <c r="G254" s="9" t="s">
        <v>547</v>
      </c>
      <c r="H254" s="9" t="s">
        <v>553</v>
      </c>
      <c r="I254" s="8" t="s">
        <v>26</v>
      </c>
      <c r="J254" s="8" t="s">
        <v>26</v>
      </c>
      <c r="K254" s="8" t="s">
        <v>549</v>
      </c>
      <c r="L254" s="10" t="s">
        <v>28</v>
      </c>
      <c r="M254" s="10" t="s">
        <v>28</v>
      </c>
      <c r="N254" s="12">
        <v>2</v>
      </c>
      <c r="O254" s="8" t="s">
        <v>26</v>
      </c>
      <c r="P254" s="13">
        <v>50900</v>
      </c>
      <c r="Q254" s="13"/>
      <c r="R254" s="14">
        <f>IF(AND(P254&gt;0,Q254&gt;0),ROUND((1-Q254/P254)*100,0),0)</f>
        <v>0</v>
      </c>
    </row>
    <row r="255" ht="20" customHeight="1" spans="1:18" x14ac:dyDescent="0.25">
      <c r="A255" s="15" t="s">
        <v>839</v>
      </c>
      <c r="B255" s="16" t="s">
        <v>840</v>
      </c>
      <c r="C255" s="16" t="s">
        <v>841</v>
      </c>
      <c r="D255" s="16" t="s">
        <v>752</v>
      </c>
      <c r="E255" s="17" t="s">
        <v>24</v>
      </c>
      <c r="F255" s="17" t="s">
        <v>25</v>
      </c>
      <c r="G255" s="17" t="s">
        <v>547</v>
      </c>
      <c r="H255" s="17" t="s">
        <v>553</v>
      </c>
      <c r="I255" s="16" t="s">
        <v>26</v>
      </c>
      <c r="J255" s="16" t="s">
        <v>26</v>
      </c>
      <c r="K255" s="16" t="s">
        <v>549</v>
      </c>
      <c r="L255" s="18" t="s">
        <v>28</v>
      </c>
      <c r="M255" s="18" t="s">
        <v>28</v>
      </c>
      <c r="N255" s="20">
        <v>2</v>
      </c>
      <c r="O255" s="16" t="s">
        <v>26</v>
      </c>
      <c r="P255" s="13">
        <v>46300</v>
      </c>
      <c r="Q255" s="13"/>
      <c r="R255" s="14">
        <f>IF(AND(P255&gt;0,Q255&gt;0),ROUND((1-Q255/P255)*100,0),0)</f>
        <v>0</v>
      </c>
    </row>
    <row r="256" ht="20" customHeight="1" spans="1:18" x14ac:dyDescent="0.25">
      <c r="A256" s="7" t="s">
        <v>842</v>
      </c>
      <c r="B256" s="8" t="s">
        <v>843</v>
      </c>
      <c r="C256" s="8" t="s">
        <v>844</v>
      </c>
      <c r="D256" s="8" t="s">
        <v>752</v>
      </c>
      <c r="E256" s="9" t="s">
        <v>24</v>
      </c>
      <c r="F256" s="9" t="s">
        <v>25</v>
      </c>
      <c r="G256" s="9" t="s">
        <v>547</v>
      </c>
      <c r="H256" s="9" t="s">
        <v>553</v>
      </c>
      <c r="I256" s="8" t="s">
        <v>26</v>
      </c>
      <c r="J256" s="8" t="s">
        <v>26</v>
      </c>
      <c r="K256" s="8" t="s">
        <v>549</v>
      </c>
      <c r="L256" s="10" t="s">
        <v>28</v>
      </c>
      <c r="M256" s="10" t="s">
        <v>28</v>
      </c>
      <c r="N256" s="12">
        <v>2</v>
      </c>
      <c r="O256" s="8" t="s">
        <v>26</v>
      </c>
      <c r="P256" s="13">
        <v>49800</v>
      </c>
      <c r="Q256" s="13"/>
      <c r="R256" s="14">
        <f>IF(AND(P256&gt;0,Q256&gt;0),ROUND((1-Q256/P256)*100,0),0)</f>
        <v>0</v>
      </c>
    </row>
    <row r="257" ht="20" customHeight="1" spans="1:18" x14ac:dyDescent="0.25">
      <c r="A257" s="15" t="s">
        <v>845</v>
      </c>
      <c r="B257" s="16" t="s">
        <v>846</v>
      </c>
      <c r="C257" s="16" t="s">
        <v>847</v>
      </c>
      <c r="D257" s="16" t="s">
        <v>546</v>
      </c>
      <c r="E257" s="17" t="s">
        <v>24</v>
      </c>
      <c r="F257" s="17" t="s">
        <v>25</v>
      </c>
      <c r="G257" s="17" t="s">
        <v>547</v>
      </c>
      <c r="H257" s="17" t="s">
        <v>553</v>
      </c>
      <c r="I257" s="16" t="s">
        <v>26</v>
      </c>
      <c r="J257" s="16" t="s">
        <v>26</v>
      </c>
      <c r="K257" s="16" t="s">
        <v>549</v>
      </c>
      <c r="L257" s="18" t="s">
        <v>28</v>
      </c>
      <c r="M257" s="18" t="s">
        <v>28</v>
      </c>
      <c r="N257" s="20">
        <v>2</v>
      </c>
      <c r="O257" s="16" t="s">
        <v>26</v>
      </c>
      <c r="P257" s="13">
        <v>157300</v>
      </c>
      <c r="Q257" s="13">
        <v>94380</v>
      </c>
      <c r="R257" s="14">
        <f>IF(AND(P257&gt;0,Q257&gt;0),ROUND((1-Q257/P257)*100,0),0)</f>
        <v>40</v>
      </c>
    </row>
    <row r="258" ht="20" customHeight="1" spans="1:18" x14ac:dyDescent="0.25">
      <c r="A258" s="7" t="s">
        <v>848</v>
      </c>
      <c r="B258" s="8" t="s">
        <v>849</v>
      </c>
      <c r="C258" s="8" t="s">
        <v>850</v>
      </c>
      <c r="D258" s="8" t="s">
        <v>712</v>
      </c>
      <c r="E258" s="9" t="s">
        <v>24</v>
      </c>
      <c r="F258" s="9" t="s">
        <v>25</v>
      </c>
      <c r="G258" s="9" t="s">
        <v>547</v>
      </c>
      <c r="H258" s="9" t="s">
        <v>553</v>
      </c>
      <c r="I258" s="8" t="s">
        <v>26</v>
      </c>
      <c r="J258" s="8" t="s">
        <v>26</v>
      </c>
      <c r="K258" s="8" t="s">
        <v>549</v>
      </c>
      <c r="L258" s="10" t="s">
        <v>28</v>
      </c>
      <c r="M258" s="10" t="s">
        <v>28</v>
      </c>
      <c r="N258" s="12">
        <v>2</v>
      </c>
      <c r="O258" s="8" t="s">
        <v>26</v>
      </c>
      <c r="P258" s="13">
        <v>46600</v>
      </c>
      <c r="Q258" s="13"/>
      <c r="R258" s="14">
        <f>IF(AND(P258&gt;0,Q258&gt;0),ROUND((1-Q258/P258)*100,0),0)</f>
        <v>0</v>
      </c>
    </row>
    <row r="259" ht="20" customHeight="1" spans="1:18" x14ac:dyDescent="0.25">
      <c r="A259" s="15" t="s">
        <v>851</v>
      </c>
      <c r="B259" s="16" t="s">
        <v>852</v>
      </c>
      <c r="C259" s="16" t="s">
        <v>853</v>
      </c>
      <c r="D259" s="16" t="s">
        <v>712</v>
      </c>
      <c r="E259" s="17" t="s">
        <v>24</v>
      </c>
      <c r="F259" s="17" t="s">
        <v>25</v>
      </c>
      <c r="G259" s="17" t="s">
        <v>547</v>
      </c>
      <c r="H259" s="17" t="s">
        <v>553</v>
      </c>
      <c r="I259" s="16" t="s">
        <v>26</v>
      </c>
      <c r="J259" s="16" t="s">
        <v>26</v>
      </c>
      <c r="K259" s="16" t="s">
        <v>549</v>
      </c>
      <c r="L259" s="18" t="s">
        <v>28</v>
      </c>
      <c r="M259" s="18" t="s">
        <v>28</v>
      </c>
      <c r="N259" s="20">
        <v>2</v>
      </c>
      <c r="O259" s="16" t="s">
        <v>26</v>
      </c>
      <c r="P259" s="13">
        <v>97000</v>
      </c>
      <c r="Q259" s="13">
        <v>58200</v>
      </c>
      <c r="R259" s="14">
        <f>IF(AND(P259&gt;0,Q259&gt;0),ROUND((1-Q259/P259)*100,0),0)</f>
        <v>40</v>
      </c>
    </row>
    <row r="260" ht="20" customHeight="1" spans="1:18" x14ac:dyDescent="0.25">
      <c r="A260" s="7" t="s">
        <v>854</v>
      </c>
      <c r="B260" s="8" t="s">
        <v>855</v>
      </c>
      <c r="C260" s="8" t="s">
        <v>856</v>
      </c>
      <c r="D260" s="8" t="s">
        <v>712</v>
      </c>
      <c r="E260" s="9" t="s">
        <v>24</v>
      </c>
      <c r="F260" s="9" t="s">
        <v>25</v>
      </c>
      <c r="G260" s="9" t="s">
        <v>547</v>
      </c>
      <c r="H260" s="9" t="s">
        <v>553</v>
      </c>
      <c r="I260" s="8" t="s">
        <v>26</v>
      </c>
      <c r="J260" s="8" t="s">
        <v>26</v>
      </c>
      <c r="K260" s="8" t="s">
        <v>549</v>
      </c>
      <c r="L260" s="10" t="s">
        <v>28</v>
      </c>
      <c r="M260" s="10" t="s">
        <v>28</v>
      </c>
      <c r="N260" s="12">
        <v>2</v>
      </c>
      <c r="O260" s="8" t="s">
        <v>26</v>
      </c>
      <c r="P260" s="13">
        <v>46600</v>
      </c>
      <c r="Q260" s="13"/>
      <c r="R260" s="14">
        <f>IF(AND(P260&gt;0,Q260&gt;0),ROUND((1-Q260/P260)*100,0),0)</f>
        <v>0</v>
      </c>
    </row>
    <row r="261" ht="20" customHeight="1" spans="1:18" x14ac:dyDescent="0.25">
      <c r="A261" s="15" t="s">
        <v>857</v>
      </c>
      <c r="B261" s="16" t="s">
        <v>858</v>
      </c>
      <c r="C261" s="16" t="s">
        <v>859</v>
      </c>
      <c r="D261" s="16" t="s">
        <v>712</v>
      </c>
      <c r="E261" s="17" t="s">
        <v>24</v>
      </c>
      <c r="F261" s="17" t="s">
        <v>25</v>
      </c>
      <c r="G261" s="17" t="s">
        <v>547</v>
      </c>
      <c r="H261" s="17" t="s">
        <v>553</v>
      </c>
      <c r="I261" s="16" t="s">
        <v>26</v>
      </c>
      <c r="J261" s="16" t="s">
        <v>26</v>
      </c>
      <c r="K261" s="16" t="s">
        <v>549</v>
      </c>
      <c r="L261" s="18" t="s">
        <v>28</v>
      </c>
      <c r="M261" s="18" t="s">
        <v>28</v>
      </c>
      <c r="N261" s="20">
        <v>2</v>
      </c>
      <c r="O261" s="16" t="s">
        <v>26</v>
      </c>
      <c r="P261" s="13">
        <v>51500</v>
      </c>
      <c r="Q261" s="13"/>
      <c r="R261" s="14">
        <f>IF(AND(P261&gt;0,Q261&gt;0),ROUND((1-Q261/P261)*100,0),0)</f>
        <v>0</v>
      </c>
    </row>
    <row r="262" ht="20" customHeight="1" spans="1:18" x14ac:dyDescent="0.25">
      <c r="A262" s="7" t="s">
        <v>860</v>
      </c>
      <c r="B262" s="8" t="s">
        <v>861</v>
      </c>
      <c r="C262" s="8" t="s">
        <v>862</v>
      </c>
      <c r="D262" s="8" t="s">
        <v>712</v>
      </c>
      <c r="E262" s="9" t="s">
        <v>24</v>
      </c>
      <c r="F262" s="9" t="s">
        <v>25</v>
      </c>
      <c r="G262" s="9" t="s">
        <v>547</v>
      </c>
      <c r="H262" s="9" t="s">
        <v>553</v>
      </c>
      <c r="I262" s="8" t="s">
        <v>26</v>
      </c>
      <c r="J262" s="8" t="s">
        <v>26</v>
      </c>
      <c r="K262" s="8" t="s">
        <v>549</v>
      </c>
      <c r="L262" s="10" t="s">
        <v>28</v>
      </c>
      <c r="M262" s="10" t="s">
        <v>28</v>
      </c>
      <c r="N262" s="12">
        <v>2</v>
      </c>
      <c r="O262" s="8" t="s">
        <v>26</v>
      </c>
      <c r="P262" s="13">
        <v>38700</v>
      </c>
      <c r="Q262" s="13"/>
      <c r="R262" s="14">
        <f>IF(AND(P262&gt;0,Q262&gt;0),ROUND((1-Q262/P262)*100,0),0)</f>
        <v>0</v>
      </c>
    </row>
    <row r="263" ht="20" customHeight="1" spans="1:18" x14ac:dyDescent="0.25">
      <c r="A263" s="15" t="s">
        <v>863</v>
      </c>
      <c r="B263" s="16" t="s">
        <v>864</v>
      </c>
      <c r="C263" s="16" t="s">
        <v>865</v>
      </c>
      <c r="D263" s="16" t="s">
        <v>712</v>
      </c>
      <c r="E263" s="17" t="s">
        <v>24</v>
      </c>
      <c r="F263" s="17" t="s">
        <v>25</v>
      </c>
      <c r="G263" s="17" t="s">
        <v>578</v>
      </c>
      <c r="H263" s="17" t="s">
        <v>553</v>
      </c>
      <c r="I263" s="16" t="s">
        <v>26</v>
      </c>
      <c r="J263" s="16" t="s">
        <v>26</v>
      </c>
      <c r="K263" s="16" t="s">
        <v>549</v>
      </c>
      <c r="L263" s="18" t="s">
        <v>28</v>
      </c>
      <c r="M263" s="18" t="s">
        <v>28</v>
      </c>
      <c r="N263" s="20">
        <v>2</v>
      </c>
      <c r="O263" s="16" t="s">
        <v>26</v>
      </c>
      <c r="P263" s="13">
        <v>32000</v>
      </c>
      <c r="Q263" s="13"/>
      <c r="R263" s="14">
        <f>IF(AND(P263&gt;0,Q263&gt;0),ROUND((1-Q263/P263)*100,0),0)</f>
        <v>0</v>
      </c>
    </row>
    <row r="264" ht="20" customHeight="1" spans="1:18" x14ac:dyDescent="0.25">
      <c r="A264" s="7" t="s">
        <v>866</v>
      </c>
      <c r="B264" s="8" t="s">
        <v>867</v>
      </c>
      <c r="C264" s="8" t="s">
        <v>868</v>
      </c>
      <c r="D264" s="8" t="s">
        <v>712</v>
      </c>
      <c r="E264" s="9" t="s">
        <v>24</v>
      </c>
      <c r="F264" s="9" t="s">
        <v>25</v>
      </c>
      <c r="G264" s="9" t="s">
        <v>578</v>
      </c>
      <c r="H264" s="9" t="s">
        <v>553</v>
      </c>
      <c r="I264" s="8" t="s">
        <v>26</v>
      </c>
      <c r="J264" s="8" t="s">
        <v>26</v>
      </c>
      <c r="K264" s="8" t="s">
        <v>549</v>
      </c>
      <c r="L264" s="10" t="s">
        <v>28</v>
      </c>
      <c r="M264" s="10" t="s">
        <v>28</v>
      </c>
      <c r="N264" s="12">
        <v>2</v>
      </c>
      <c r="O264" s="8" t="s">
        <v>26</v>
      </c>
      <c r="P264" s="13">
        <v>999999</v>
      </c>
      <c r="Q264" s="13"/>
      <c r="R264" s="14">
        <f>IF(AND(P264&gt;0,Q264&gt;0),ROUND((1-Q264/P264)*100,0),0)</f>
        <v>0</v>
      </c>
    </row>
    <row r="265" ht="20" customHeight="1" spans="1:18" x14ac:dyDescent="0.25">
      <c r="A265" s="15" t="s">
        <v>869</v>
      </c>
      <c r="B265" s="16" t="s">
        <v>870</v>
      </c>
      <c r="C265" s="16" t="s">
        <v>871</v>
      </c>
      <c r="D265" s="16" t="s">
        <v>712</v>
      </c>
      <c r="E265" s="17" t="s">
        <v>24</v>
      </c>
      <c r="F265" s="17" t="s">
        <v>25</v>
      </c>
      <c r="G265" s="17" t="s">
        <v>578</v>
      </c>
      <c r="H265" s="17" t="s">
        <v>553</v>
      </c>
      <c r="I265" s="16" t="s">
        <v>26</v>
      </c>
      <c r="J265" s="16" t="s">
        <v>26</v>
      </c>
      <c r="K265" s="16" t="s">
        <v>549</v>
      </c>
      <c r="L265" s="18" t="s">
        <v>28</v>
      </c>
      <c r="M265" s="18" t="s">
        <v>28</v>
      </c>
      <c r="N265" s="20">
        <v>2</v>
      </c>
      <c r="O265" s="16" t="s">
        <v>26</v>
      </c>
      <c r="P265" s="13">
        <v>84500</v>
      </c>
      <c r="Q265" s="13"/>
      <c r="R265" s="14">
        <f>IF(AND(P265&gt;0,Q265&gt;0),ROUND((1-Q265/P265)*100,0),0)</f>
        <v>0</v>
      </c>
    </row>
    <row r="266" ht="20" customHeight="1" spans="1:18" x14ac:dyDescent="0.25">
      <c r="A266" s="7" t="s">
        <v>872</v>
      </c>
      <c r="B266" s="8" t="s">
        <v>873</v>
      </c>
      <c r="C266" s="8" t="s">
        <v>874</v>
      </c>
      <c r="D266" s="8" t="s">
        <v>712</v>
      </c>
      <c r="E266" s="9" t="s">
        <v>24</v>
      </c>
      <c r="F266" s="9" t="s">
        <v>25</v>
      </c>
      <c r="G266" s="9" t="s">
        <v>578</v>
      </c>
      <c r="H266" s="9" t="s">
        <v>553</v>
      </c>
      <c r="I266" s="8" t="s">
        <v>26</v>
      </c>
      <c r="J266" s="8" t="s">
        <v>26</v>
      </c>
      <c r="K266" s="8" t="s">
        <v>549</v>
      </c>
      <c r="L266" s="10" t="s">
        <v>28</v>
      </c>
      <c r="M266" s="10" t="s">
        <v>28</v>
      </c>
      <c r="N266" s="12">
        <v>2</v>
      </c>
      <c r="O266" s="8" t="s">
        <v>26</v>
      </c>
      <c r="P266" s="13">
        <v>40600</v>
      </c>
      <c r="Q266" s="13"/>
      <c r="R266" s="14">
        <f>IF(AND(P266&gt;0,Q266&gt;0),ROUND((1-Q266/P266)*100,0),0)</f>
        <v>0</v>
      </c>
    </row>
    <row r="267" ht="20" customHeight="1" spans="1:18" x14ac:dyDescent="0.25">
      <c r="A267" s="15" t="s">
        <v>875</v>
      </c>
      <c r="B267" s="16" t="s">
        <v>876</v>
      </c>
      <c r="C267" s="16" t="s">
        <v>877</v>
      </c>
      <c r="D267" s="16" t="s">
        <v>712</v>
      </c>
      <c r="E267" s="17" t="s">
        <v>24</v>
      </c>
      <c r="F267" s="17" t="s">
        <v>25</v>
      </c>
      <c r="G267" s="17" t="s">
        <v>547</v>
      </c>
      <c r="H267" s="17" t="s">
        <v>553</v>
      </c>
      <c r="I267" s="16" t="s">
        <v>26</v>
      </c>
      <c r="J267" s="16" t="s">
        <v>26</v>
      </c>
      <c r="K267" s="16" t="s">
        <v>549</v>
      </c>
      <c r="L267" s="18" t="s">
        <v>28</v>
      </c>
      <c r="M267" s="18" t="s">
        <v>28</v>
      </c>
      <c r="N267" s="20">
        <v>2</v>
      </c>
      <c r="O267" s="16" t="s">
        <v>26</v>
      </c>
      <c r="P267" s="13">
        <v>36500</v>
      </c>
      <c r="Q267" s="13"/>
      <c r="R267" s="14">
        <f>IF(AND(P267&gt;0,Q267&gt;0),ROUND((1-Q267/P267)*100,0),0)</f>
        <v>0</v>
      </c>
    </row>
    <row r="268" ht="20" customHeight="1" spans="1:18" x14ac:dyDescent="0.25">
      <c r="A268" s="7" t="s">
        <v>878</v>
      </c>
      <c r="B268" s="8" t="s">
        <v>879</v>
      </c>
      <c r="C268" s="8" t="s">
        <v>880</v>
      </c>
      <c r="D268" s="8" t="s">
        <v>712</v>
      </c>
      <c r="E268" s="9" t="s">
        <v>24</v>
      </c>
      <c r="F268" s="9" t="s">
        <v>25</v>
      </c>
      <c r="G268" s="9" t="s">
        <v>547</v>
      </c>
      <c r="H268" s="9" t="s">
        <v>553</v>
      </c>
      <c r="I268" s="8" t="s">
        <v>26</v>
      </c>
      <c r="J268" s="8" t="s">
        <v>26</v>
      </c>
      <c r="K268" s="8" t="s">
        <v>549</v>
      </c>
      <c r="L268" s="10" t="s">
        <v>28</v>
      </c>
      <c r="M268" s="10" t="s">
        <v>28</v>
      </c>
      <c r="N268" s="12">
        <v>2</v>
      </c>
      <c r="O268" s="8" t="s">
        <v>26</v>
      </c>
      <c r="P268" s="13">
        <v>76000</v>
      </c>
      <c r="Q268" s="13">
        <v>45600</v>
      </c>
      <c r="R268" s="14">
        <f>IF(AND(P268&gt;0,Q268&gt;0),ROUND((1-Q268/P268)*100,0),0)</f>
        <v>40</v>
      </c>
    </row>
    <row r="269" ht="20" customHeight="1" spans="1:18" x14ac:dyDescent="0.25">
      <c r="A269" s="15" t="s">
        <v>881</v>
      </c>
      <c r="B269" s="16" t="s">
        <v>882</v>
      </c>
      <c r="C269" s="16" t="s">
        <v>883</v>
      </c>
      <c r="D269" s="16" t="s">
        <v>546</v>
      </c>
      <c r="E269" s="17" t="s">
        <v>24</v>
      </c>
      <c r="F269" s="17" t="s">
        <v>25</v>
      </c>
      <c r="G269" s="17" t="s">
        <v>547</v>
      </c>
      <c r="H269" s="17" t="s">
        <v>553</v>
      </c>
      <c r="I269" s="16" t="s">
        <v>26</v>
      </c>
      <c r="J269" s="16" t="s">
        <v>26</v>
      </c>
      <c r="K269" s="16" t="s">
        <v>549</v>
      </c>
      <c r="L269" s="18" t="s">
        <v>28</v>
      </c>
      <c r="M269" s="18" t="s">
        <v>28</v>
      </c>
      <c r="N269" s="20">
        <v>2</v>
      </c>
      <c r="O269" s="16" t="s">
        <v>26</v>
      </c>
      <c r="P269" s="13">
        <v>82000</v>
      </c>
      <c r="Q269" s="13">
        <v>65600</v>
      </c>
      <c r="R269" s="14">
        <f>IF(AND(P269&gt;0,Q269&gt;0),ROUND((1-Q269/P269)*100,0),0)</f>
        <v>20</v>
      </c>
    </row>
    <row r="270" ht="20" customHeight="1" spans="1:18" x14ac:dyDescent="0.25">
      <c r="A270" s="7" t="s">
        <v>884</v>
      </c>
      <c r="B270" s="8" t="s">
        <v>885</v>
      </c>
      <c r="C270" s="8" t="s">
        <v>886</v>
      </c>
      <c r="D270" s="8" t="s">
        <v>546</v>
      </c>
      <c r="E270" s="9" t="s">
        <v>24</v>
      </c>
      <c r="F270" s="9" t="s">
        <v>25</v>
      </c>
      <c r="G270" s="9" t="s">
        <v>547</v>
      </c>
      <c r="H270" s="9" t="s">
        <v>553</v>
      </c>
      <c r="I270" s="8" t="s">
        <v>26</v>
      </c>
      <c r="J270" s="8" t="s">
        <v>26</v>
      </c>
      <c r="K270" s="8" t="s">
        <v>549</v>
      </c>
      <c r="L270" s="10" t="s">
        <v>28</v>
      </c>
      <c r="M270" s="10" t="s">
        <v>28</v>
      </c>
      <c r="N270" s="12">
        <v>2</v>
      </c>
      <c r="O270" s="8" t="s">
        <v>26</v>
      </c>
      <c r="P270" s="13">
        <v>170800</v>
      </c>
      <c r="Q270" s="13">
        <v>102480</v>
      </c>
      <c r="R270" s="14">
        <f>IF(AND(P270&gt;0,Q270&gt;0),ROUND((1-Q270/P270)*100,0),0)</f>
        <v>40</v>
      </c>
    </row>
    <row r="271" ht="20" customHeight="1" spans="1:18" x14ac:dyDescent="0.25">
      <c r="A271" s="15" t="s">
        <v>887</v>
      </c>
      <c r="B271" s="16" t="s">
        <v>888</v>
      </c>
      <c r="C271" s="16" t="s">
        <v>889</v>
      </c>
      <c r="D271" s="16" t="s">
        <v>645</v>
      </c>
      <c r="E271" s="17" t="s">
        <v>24</v>
      </c>
      <c r="F271" s="17" t="s">
        <v>25</v>
      </c>
      <c r="G271" s="17" t="s">
        <v>578</v>
      </c>
      <c r="H271" s="17" t="s">
        <v>553</v>
      </c>
      <c r="I271" s="16" t="s">
        <v>26</v>
      </c>
      <c r="J271" s="16" t="s">
        <v>26</v>
      </c>
      <c r="K271" s="16" t="s">
        <v>549</v>
      </c>
      <c r="L271" s="18" t="s">
        <v>28</v>
      </c>
      <c r="M271" s="18" t="s">
        <v>28</v>
      </c>
      <c r="N271" s="20">
        <v>2</v>
      </c>
      <c r="O271" s="16" t="s">
        <v>26</v>
      </c>
      <c r="P271" s="13">
        <v>42700</v>
      </c>
      <c r="Q271" s="13"/>
      <c r="R271" s="14">
        <f>IF(AND(P271&gt;0,Q271&gt;0),ROUND((1-Q271/P271)*100,0),0)</f>
        <v>0</v>
      </c>
    </row>
    <row r="272" ht="20" customHeight="1" spans="1:18" x14ac:dyDescent="0.25">
      <c r="A272" s="7" t="s">
        <v>890</v>
      </c>
      <c r="B272" s="8" t="s">
        <v>891</v>
      </c>
      <c r="C272" s="8" t="s">
        <v>892</v>
      </c>
      <c r="D272" s="8" t="s">
        <v>645</v>
      </c>
      <c r="E272" s="9" t="s">
        <v>24</v>
      </c>
      <c r="F272" s="9" t="s">
        <v>25</v>
      </c>
      <c r="G272" s="9" t="s">
        <v>578</v>
      </c>
      <c r="H272" s="9" t="s">
        <v>553</v>
      </c>
      <c r="I272" s="8" t="s">
        <v>26</v>
      </c>
      <c r="J272" s="8" t="s">
        <v>26</v>
      </c>
      <c r="K272" s="8" t="s">
        <v>549</v>
      </c>
      <c r="L272" s="10" t="s">
        <v>28</v>
      </c>
      <c r="M272" s="10" t="s">
        <v>28</v>
      </c>
      <c r="N272" s="12">
        <v>2</v>
      </c>
      <c r="O272" s="8" t="s">
        <v>26</v>
      </c>
      <c r="P272" s="13">
        <v>42700</v>
      </c>
      <c r="Q272" s="13"/>
      <c r="R272" s="14">
        <f>IF(AND(P272&gt;0,Q272&gt;0),ROUND((1-Q272/P272)*100,0),0)</f>
        <v>0</v>
      </c>
    </row>
    <row r="273" ht="20" customHeight="1" spans="1:18" x14ac:dyDescent="0.25">
      <c r="A273" s="15" t="s">
        <v>893</v>
      </c>
      <c r="B273" s="16" t="s">
        <v>894</v>
      </c>
      <c r="C273" s="16" t="s">
        <v>895</v>
      </c>
      <c r="D273" s="16" t="s">
        <v>645</v>
      </c>
      <c r="E273" s="17" t="s">
        <v>24</v>
      </c>
      <c r="F273" s="17" t="s">
        <v>25</v>
      </c>
      <c r="G273" s="17" t="s">
        <v>578</v>
      </c>
      <c r="H273" s="17" t="s">
        <v>553</v>
      </c>
      <c r="I273" s="16" t="s">
        <v>26</v>
      </c>
      <c r="J273" s="16" t="s">
        <v>26</v>
      </c>
      <c r="K273" s="16" t="s">
        <v>549</v>
      </c>
      <c r="L273" s="18" t="s">
        <v>28</v>
      </c>
      <c r="M273" s="18" t="s">
        <v>28</v>
      </c>
      <c r="N273" s="20">
        <v>2</v>
      </c>
      <c r="O273" s="16" t="s">
        <v>26</v>
      </c>
      <c r="P273" s="13">
        <v>42700</v>
      </c>
      <c r="Q273" s="13"/>
      <c r="R273" s="14">
        <f>IF(AND(P273&gt;0,Q273&gt;0),ROUND((1-Q273/P273)*100,0),0)</f>
        <v>0</v>
      </c>
    </row>
    <row r="274" ht="20" customHeight="1" spans="1:18" x14ac:dyDescent="0.25">
      <c r="A274" s="7" t="s">
        <v>896</v>
      </c>
      <c r="B274" s="8" t="s">
        <v>897</v>
      </c>
      <c r="C274" s="8" t="s">
        <v>898</v>
      </c>
      <c r="D274" s="8" t="s">
        <v>645</v>
      </c>
      <c r="E274" s="9" t="s">
        <v>24</v>
      </c>
      <c r="F274" s="9" t="s">
        <v>25</v>
      </c>
      <c r="G274" s="9" t="s">
        <v>578</v>
      </c>
      <c r="H274" s="9" t="s">
        <v>553</v>
      </c>
      <c r="I274" s="8" t="s">
        <v>26</v>
      </c>
      <c r="J274" s="8" t="s">
        <v>26</v>
      </c>
      <c r="K274" s="8" t="s">
        <v>549</v>
      </c>
      <c r="L274" s="10" t="s">
        <v>28</v>
      </c>
      <c r="M274" s="10" t="s">
        <v>28</v>
      </c>
      <c r="N274" s="12">
        <v>2</v>
      </c>
      <c r="O274" s="8" t="s">
        <v>26</v>
      </c>
      <c r="P274" s="13">
        <v>42700</v>
      </c>
      <c r="Q274" s="13"/>
      <c r="R274" s="14">
        <f>IF(AND(P274&gt;0,Q274&gt;0),ROUND((1-Q274/P274)*100,0),0)</f>
        <v>0</v>
      </c>
    </row>
    <row r="275" ht="20" customHeight="1" spans="1:18" x14ac:dyDescent="0.25">
      <c r="A275" s="15" t="s">
        <v>899</v>
      </c>
      <c r="B275" s="16" t="s">
        <v>900</v>
      </c>
      <c r="C275" s="16" t="s">
        <v>901</v>
      </c>
      <c r="D275" s="16" t="s">
        <v>712</v>
      </c>
      <c r="E275" s="17" t="s">
        <v>24</v>
      </c>
      <c r="F275" s="17" t="s">
        <v>25</v>
      </c>
      <c r="G275" s="17" t="s">
        <v>578</v>
      </c>
      <c r="H275" s="17" t="s">
        <v>553</v>
      </c>
      <c r="I275" s="16" t="s">
        <v>26</v>
      </c>
      <c r="J275" s="16" t="s">
        <v>26</v>
      </c>
      <c r="K275" s="16" t="s">
        <v>549</v>
      </c>
      <c r="L275" s="18" t="s">
        <v>28</v>
      </c>
      <c r="M275" s="18" t="s">
        <v>28</v>
      </c>
      <c r="N275" s="20">
        <v>2</v>
      </c>
      <c r="O275" s="16" t="s">
        <v>26</v>
      </c>
      <c r="P275" s="13">
        <v>40600</v>
      </c>
      <c r="Q275" s="13"/>
      <c r="R275" s="14">
        <f>IF(AND(P275&gt;0,Q275&gt;0),ROUND((1-Q275/P275)*100,0),0)</f>
        <v>0</v>
      </c>
    </row>
    <row r="276" ht="20" customHeight="1" spans="1:18" x14ac:dyDescent="0.25">
      <c r="A276" s="7" t="s">
        <v>902</v>
      </c>
      <c r="B276" s="8" t="s">
        <v>903</v>
      </c>
      <c r="C276" s="8" t="s">
        <v>904</v>
      </c>
      <c r="D276" s="8" t="s">
        <v>712</v>
      </c>
      <c r="E276" s="9" t="s">
        <v>24</v>
      </c>
      <c r="F276" s="9" t="s">
        <v>25</v>
      </c>
      <c r="G276" s="9" t="s">
        <v>578</v>
      </c>
      <c r="H276" s="9" t="s">
        <v>553</v>
      </c>
      <c r="I276" s="8" t="s">
        <v>26</v>
      </c>
      <c r="J276" s="8" t="s">
        <v>26</v>
      </c>
      <c r="K276" s="8" t="s">
        <v>549</v>
      </c>
      <c r="L276" s="10" t="s">
        <v>28</v>
      </c>
      <c r="M276" s="10" t="s">
        <v>28</v>
      </c>
      <c r="N276" s="12">
        <v>2</v>
      </c>
      <c r="O276" s="8" t="s">
        <v>26</v>
      </c>
      <c r="P276" s="13">
        <v>48200</v>
      </c>
      <c r="Q276" s="13"/>
      <c r="R276" s="14">
        <f>IF(AND(P276&gt;0,Q276&gt;0),ROUND((1-Q276/P276)*100,0),0)</f>
        <v>0</v>
      </c>
    </row>
    <row r="277" ht="20" customHeight="1" spans="1:18" x14ac:dyDescent="0.25">
      <c r="A277" s="15" t="s">
        <v>905</v>
      </c>
      <c r="B277" s="16" t="s">
        <v>906</v>
      </c>
      <c r="C277" s="16" t="s">
        <v>907</v>
      </c>
      <c r="D277" s="16" t="s">
        <v>712</v>
      </c>
      <c r="E277" s="17" t="s">
        <v>24</v>
      </c>
      <c r="F277" s="17" t="s">
        <v>25</v>
      </c>
      <c r="G277" s="17" t="s">
        <v>578</v>
      </c>
      <c r="H277" s="17" t="s">
        <v>553</v>
      </c>
      <c r="I277" s="16" t="s">
        <v>26</v>
      </c>
      <c r="J277" s="16" t="s">
        <v>26</v>
      </c>
      <c r="K277" s="16" t="s">
        <v>549</v>
      </c>
      <c r="L277" s="18" t="s">
        <v>28</v>
      </c>
      <c r="M277" s="18" t="s">
        <v>28</v>
      </c>
      <c r="N277" s="20">
        <v>2</v>
      </c>
      <c r="O277" s="16" t="s">
        <v>26</v>
      </c>
      <c r="P277" s="13">
        <v>29700</v>
      </c>
      <c r="Q277" s="13"/>
      <c r="R277" s="14">
        <f>IF(AND(P277&gt;0,Q277&gt;0),ROUND((1-Q277/P277)*100,0),0)</f>
        <v>0</v>
      </c>
    </row>
    <row r="278" ht="20" customHeight="1" spans="1:18" x14ac:dyDescent="0.25">
      <c r="A278" s="7" t="s">
        <v>908</v>
      </c>
      <c r="B278" s="8" t="s">
        <v>909</v>
      </c>
      <c r="C278" s="8" t="s">
        <v>910</v>
      </c>
      <c r="D278" s="8" t="s">
        <v>712</v>
      </c>
      <c r="E278" s="9" t="s">
        <v>24</v>
      </c>
      <c r="F278" s="9" t="s">
        <v>25</v>
      </c>
      <c r="G278" s="9" t="s">
        <v>578</v>
      </c>
      <c r="H278" s="9" t="s">
        <v>553</v>
      </c>
      <c r="I278" s="8" t="s">
        <v>26</v>
      </c>
      <c r="J278" s="8" t="s">
        <v>26</v>
      </c>
      <c r="K278" s="8" t="s">
        <v>549</v>
      </c>
      <c r="L278" s="10" t="s">
        <v>28</v>
      </c>
      <c r="M278" s="10" t="s">
        <v>28</v>
      </c>
      <c r="N278" s="12">
        <v>2</v>
      </c>
      <c r="O278" s="8" t="s">
        <v>26</v>
      </c>
      <c r="P278" s="13">
        <v>40600</v>
      </c>
      <c r="Q278" s="13"/>
      <c r="R278" s="14">
        <f>IF(AND(P278&gt;0,Q278&gt;0),ROUND((1-Q278/P278)*100,0),0)</f>
        <v>0</v>
      </c>
    </row>
    <row r="279" ht="20" customHeight="1" spans="1:18" x14ac:dyDescent="0.25">
      <c r="A279" s="15" t="s">
        <v>911</v>
      </c>
      <c r="B279" s="16" t="s">
        <v>912</v>
      </c>
      <c r="C279" s="16" t="s">
        <v>711</v>
      </c>
      <c r="D279" s="16" t="s">
        <v>712</v>
      </c>
      <c r="E279" s="17" t="s">
        <v>24</v>
      </c>
      <c r="F279" s="17" t="s">
        <v>25</v>
      </c>
      <c r="G279" s="17" t="s">
        <v>578</v>
      </c>
      <c r="H279" s="17" t="s">
        <v>553</v>
      </c>
      <c r="I279" s="16" t="s">
        <v>26</v>
      </c>
      <c r="J279" s="16" t="s">
        <v>26</v>
      </c>
      <c r="K279" s="16" t="s">
        <v>549</v>
      </c>
      <c r="L279" s="18" t="s">
        <v>28</v>
      </c>
      <c r="M279" s="18" t="s">
        <v>28</v>
      </c>
      <c r="N279" s="20">
        <v>2</v>
      </c>
      <c r="O279" s="16" t="s">
        <v>26</v>
      </c>
      <c r="P279" s="13">
        <v>39800</v>
      </c>
      <c r="Q279" s="13"/>
      <c r="R279" s="14">
        <f>IF(AND(P279&gt;0,Q279&gt;0),ROUND((1-Q279/P279)*100,0),0)</f>
        <v>0</v>
      </c>
    </row>
    <row r="280" ht="20" customHeight="1" spans="1:18" x14ac:dyDescent="0.25">
      <c r="A280" s="7" t="s">
        <v>913</v>
      </c>
      <c r="B280" s="8" t="s">
        <v>914</v>
      </c>
      <c r="C280" s="8" t="s">
        <v>915</v>
      </c>
      <c r="D280" s="8" t="s">
        <v>712</v>
      </c>
      <c r="E280" s="9" t="s">
        <v>24</v>
      </c>
      <c r="F280" s="9" t="s">
        <v>25</v>
      </c>
      <c r="G280" s="9" t="s">
        <v>578</v>
      </c>
      <c r="H280" s="9" t="s">
        <v>553</v>
      </c>
      <c r="I280" s="8" t="s">
        <v>26</v>
      </c>
      <c r="J280" s="8" t="s">
        <v>26</v>
      </c>
      <c r="K280" s="8" t="s">
        <v>549</v>
      </c>
      <c r="L280" s="10" t="s">
        <v>28</v>
      </c>
      <c r="M280" s="10" t="s">
        <v>28</v>
      </c>
      <c r="N280" s="12">
        <v>2</v>
      </c>
      <c r="O280" s="8" t="s">
        <v>26</v>
      </c>
      <c r="P280" s="13">
        <v>29700</v>
      </c>
      <c r="Q280" s="13"/>
      <c r="R280" s="14">
        <f>IF(AND(P280&gt;0,Q280&gt;0),ROUND((1-Q280/P280)*100,0),0)</f>
        <v>0</v>
      </c>
    </row>
    <row r="281" ht="20" customHeight="1" spans="1:18" x14ac:dyDescent="0.25">
      <c r="A281" s="15" t="s">
        <v>916</v>
      </c>
      <c r="B281" s="16" t="s">
        <v>917</v>
      </c>
      <c r="C281" s="16" t="s">
        <v>918</v>
      </c>
      <c r="D281" s="16" t="s">
        <v>712</v>
      </c>
      <c r="E281" s="17" t="s">
        <v>24</v>
      </c>
      <c r="F281" s="17" t="s">
        <v>25</v>
      </c>
      <c r="G281" s="17" t="s">
        <v>578</v>
      </c>
      <c r="H281" s="17" t="s">
        <v>553</v>
      </c>
      <c r="I281" s="16" t="s">
        <v>26</v>
      </c>
      <c r="J281" s="16" t="s">
        <v>26</v>
      </c>
      <c r="K281" s="16" t="s">
        <v>549</v>
      </c>
      <c r="L281" s="18" t="s">
        <v>28</v>
      </c>
      <c r="M281" s="18" t="s">
        <v>28</v>
      </c>
      <c r="N281" s="20">
        <v>2</v>
      </c>
      <c r="O281" s="16" t="s">
        <v>26</v>
      </c>
      <c r="P281" s="13">
        <v>39800</v>
      </c>
      <c r="Q281" s="13"/>
      <c r="R281" s="14">
        <f>IF(AND(P281&gt;0,Q281&gt;0),ROUND((1-Q281/P281)*100,0),0)</f>
        <v>0</v>
      </c>
    </row>
    <row r="282" ht="20" customHeight="1" spans="1:18" x14ac:dyDescent="0.25">
      <c r="A282" s="7" t="s">
        <v>919</v>
      </c>
      <c r="B282" s="8" t="s">
        <v>920</v>
      </c>
      <c r="C282" s="8" t="s">
        <v>921</v>
      </c>
      <c r="D282" s="8" t="s">
        <v>712</v>
      </c>
      <c r="E282" s="9" t="s">
        <v>24</v>
      </c>
      <c r="F282" s="9" t="s">
        <v>25</v>
      </c>
      <c r="G282" s="9" t="s">
        <v>547</v>
      </c>
      <c r="H282" s="9" t="s">
        <v>553</v>
      </c>
      <c r="I282" s="8" t="s">
        <v>26</v>
      </c>
      <c r="J282" s="8" t="s">
        <v>26</v>
      </c>
      <c r="K282" s="8" t="s">
        <v>549</v>
      </c>
      <c r="L282" s="10" t="s">
        <v>28</v>
      </c>
      <c r="M282" s="10" t="s">
        <v>28</v>
      </c>
      <c r="N282" s="12">
        <v>2</v>
      </c>
      <c r="O282" s="8" t="s">
        <v>26</v>
      </c>
      <c r="P282" s="13">
        <v>99600</v>
      </c>
      <c r="Q282" s="13"/>
      <c r="R282" s="14">
        <f>IF(AND(P282&gt;0,Q282&gt;0),ROUND((1-Q282/P282)*100,0),0)</f>
        <v>0</v>
      </c>
    </row>
    <row r="283" ht="20" customHeight="1" spans="1:18" x14ac:dyDescent="0.25">
      <c r="A283" s="15" t="s">
        <v>922</v>
      </c>
      <c r="B283" s="16" t="s">
        <v>923</v>
      </c>
      <c r="C283" s="16" t="s">
        <v>924</v>
      </c>
      <c r="D283" s="16" t="s">
        <v>712</v>
      </c>
      <c r="E283" s="17" t="s">
        <v>24</v>
      </c>
      <c r="F283" s="17" t="s">
        <v>25</v>
      </c>
      <c r="G283" s="17" t="s">
        <v>547</v>
      </c>
      <c r="H283" s="17" t="s">
        <v>553</v>
      </c>
      <c r="I283" s="16" t="s">
        <v>26</v>
      </c>
      <c r="J283" s="16" t="s">
        <v>26</v>
      </c>
      <c r="K283" s="16" t="s">
        <v>549</v>
      </c>
      <c r="L283" s="18" t="s">
        <v>28</v>
      </c>
      <c r="M283" s="18" t="s">
        <v>28</v>
      </c>
      <c r="N283" s="20">
        <v>2</v>
      </c>
      <c r="O283" s="16" t="s">
        <v>26</v>
      </c>
      <c r="P283" s="13">
        <v>99600</v>
      </c>
      <c r="Q283" s="13"/>
      <c r="R283" s="14">
        <f>IF(AND(P283&gt;0,Q283&gt;0),ROUND((1-Q283/P283)*100,0),0)</f>
        <v>0</v>
      </c>
    </row>
    <row r="284" ht="20" customHeight="1" spans="1:18" x14ac:dyDescent="0.25">
      <c r="A284" s="7" t="s">
        <v>925</v>
      </c>
      <c r="B284" s="8" t="s">
        <v>926</v>
      </c>
      <c r="C284" s="8" t="s">
        <v>927</v>
      </c>
      <c r="D284" s="8" t="s">
        <v>712</v>
      </c>
      <c r="E284" s="9" t="s">
        <v>24</v>
      </c>
      <c r="F284" s="9" t="s">
        <v>25</v>
      </c>
      <c r="G284" s="9" t="s">
        <v>547</v>
      </c>
      <c r="H284" s="9" t="s">
        <v>553</v>
      </c>
      <c r="I284" s="8" t="s">
        <v>26</v>
      </c>
      <c r="J284" s="8" t="s">
        <v>26</v>
      </c>
      <c r="K284" s="8" t="s">
        <v>549</v>
      </c>
      <c r="L284" s="10" t="s">
        <v>28</v>
      </c>
      <c r="M284" s="10" t="s">
        <v>28</v>
      </c>
      <c r="N284" s="12">
        <v>2</v>
      </c>
      <c r="O284" s="8" t="s">
        <v>26</v>
      </c>
      <c r="P284" s="13">
        <v>47900</v>
      </c>
      <c r="Q284" s="13"/>
      <c r="R284" s="14">
        <f>IF(AND(P284&gt;0,Q284&gt;0),ROUND((1-Q284/P284)*100,0),0)</f>
        <v>0</v>
      </c>
    </row>
    <row r="285" ht="20" customHeight="1" spans="1:18" x14ac:dyDescent="0.25">
      <c r="A285" s="15" t="s">
        <v>928</v>
      </c>
      <c r="B285" s="16" t="s">
        <v>929</v>
      </c>
      <c r="C285" s="16" t="s">
        <v>930</v>
      </c>
      <c r="D285" s="16" t="s">
        <v>712</v>
      </c>
      <c r="E285" s="17" t="s">
        <v>24</v>
      </c>
      <c r="F285" s="17" t="s">
        <v>25</v>
      </c>
      <c r="G285" s="17" t="s">
        <v>547</v>
      </c>
      <c r="H285" s="17" t="s">
        <v>553</v>
      </c>
      <c r="I285" s="16" t="s">
        <v>26</v>
      </c>
      <c r="J285" s="16" t="s">
        <v>26</v>
      </c>
      <c r="K285" s="16" t="s">
        <v>549</v>
      </c>
      <c r="L285" s="18" t="s">
        <v>28</v>
      </c>
      <c r="M285" s="18" t="s">
        <v>28</v>
      </c>
      <c r="N285" s="20">
        <v>2</v>
      </c>
      <c r="O285" s="16" t="s">
        <v>26</v>
      </c>
      <c r="P285" s="13">
        <v>47900</v>
      </c>
      <c r="Q285" s="13"/>
      <c r="R285" s="14">
        <f>IF(AND(P285&gt;0,Q285&gt;0),ROUND((1-Q285/P285)*100,0),0)</f>
        <v>0</v>
      </c>
    </row>
    <row r="286" ht="20" customHeight="1" spans="1:18" x14ac:dyDescent="0.25">
      <c r="A286" s="7" t="s">
        <v>931</v>
      </c>
      <c r="B286" s="8" t="s">
        <v>932</v>
      </c>
      <c r="C286" s="8" t="s">
        <v>933</v>
      </c>
      <c r="D286" s="8" t="s">
        <v>712</v>
      </c>
      <c r="E286" s="9" t="s">
        <v>24</v>
      </c>
      <c r="F286" s="9" t="s">
        <v>25</v>
      </c>
      <c r="G286" s="9" t="s">
        <v>547</v>
      </c>
      <c r="H286" s="9" t="s">
        <v>553</v>
      </c>
      <c r="I286" s="8" t="s">
        <v>26</v>
      </c>
      <c r="J286" s="8" t="s">
        <v>26</v>
      </c>
      <c r="K286" s="8" t="s">
        <v>549</v>
      </c>
      <c r="L286" s="10" t="s">
        <v>28</v>
      </c>
      <c r="M286" s="10" t="s">
        <v>28</v>
      </c>
      <c r="N286" s="12">
        <v>2</v>
      </c>
      <c r="O286" s="8" t="s">
        <v>26</v>
      </c>
      <c r="P286" s="13">
        <v>34800</v>
      </c>
      <c r="Q286" s="13"/>
      <c r="R286" s="14">
        <f>IF(AND(P286&gt;0,Q286&gt;0),ROUND((1-Q286/P286)*100,0),0)</f>
        <v>0</v>
      </c>
    </row>
    <row r="287" ht="20" customHeight="1" spans="1:18" x14ac:dyDescent="0.25">
      <c r="A287" s="15" t="s">
        <v>934</v>
      </c>
      <c r="B287" s="16" t="s">
        <v>935</v>
      </c>
      <c r="C287" s="16" t="s">
        <v>936</v>
      </c>
      <c r="D287" s="16" t="s">
        <v>712</v>
      </c>
      <c r="E287" s="17" t="s">
        <v>24</v>
      </c>
      <c r="F287" s="17" t="s">
        <v>25</v>
      </c>
      <c r="G287" s="17" t="s">
        <v>547</v>
      </c>
      <c r="H287" s="17" t="s">
        <v>553</v>
      </c>
      <c r="I287" s="16" t="s">
        <v>26</v>
      </c>
      <c r="J287" s="16" t="s">
        <v>26</v>
      </c>
      <c r="K287" s="16" t="s">
        <v>549</v>
      </c>
      <c r="L287" s="18" t="s">
        <v>28</v>
      </c>
      <c r="M287" s="18" t="s">
        <v>28</v>
      </c>
      <c r="N287" s="20">
        <v>2</v>
      </c>
      <c r="O287" s="16" t="s">
        <v>26</v>
      </c>
      <c r="P287" s="13">
        <v>52600</v>
      </c>
      <c r="Q287" s="13"/>
      <c r="R287" s="14">
        <f>IF(AND(P287&gt;0,Q287&gt;0),ROUND((1-Q287/P287)*100,0),0)</f>
        <v>0</v>
      </c>
    </row>
    <row r="288" ht="20" customHeight="1" spans="1:18" x14ac:dyDescent="0.25">
      <c r="A288" s="7" t="s">
        <v>937</v>
      </c>
      <c r="B288" s="8" t="s">
        <v>938</v>
      </c>
      <c r="C288" s="8" t="s">
        <v>939</v>
      </c>
      <c r="D288" s="8" t="s">
        <v>712</v>
      </c>
      <c r="E288" s="9" t="s">
        <v>24</v>
      </c>
      <c r="F288" s="9" t="s">
        <v>25</v>
      </c>
      <c r="G288" s="9" t="s">
        <v>547</v>
      </c>
      <c r="H288" s="9" t="s">
        <v>553</v>
      </c>
      <c r="I288" s="8" t="s">
        <v>26</v>
      </c>
      <c r="J288" s="8" t="s">
        <v>26</v>
      </c>
      <c r="K288" s="8" t="s">
        <v>549</v>
      </c>
      <c r="L288" s="10" t="s">
        <v>28</v>
      </c>
      <c r="M288" s="10" t="s">
        <v>28</v>
      </c>
      <c r="N288" s="12">
        <v>2</v>
      </c>
      <c r="O288" s="8" t="s">
        <v>26</v>
      </c>
      <c r="P288" s="13">
        <v>34800</v>
      </c>
      <c r="Q288" s="13"/>
      <c r="R288" s="14">
        <f>IF(AND(P288&gt;0,Q288&gt;0),ROUND((1-Q288/P288)*100,0),0)</f>
        <v>0</v>
      </c>
    </row>
    <row r="289" ht="20" customHeight="1" spans="1:18" x14ac:dyDescent="0.25">
      <c r="A289" s="15" t="s">
        <v>940</v>
      </c>
      <c r="B289" s="16" t="s">
        <v>941</v>
      </c>
      <c r="C289" s="16" t="s">
        <v>942</v>
      </c>
      <c r="D289" s="16" t="s">
        <v>645</v>
      </c>
      <c r="E289" s="17" t="s">
        <v>24</v>
      </c>
      <c r="F289" s="17" t="s">
        <v>25</v>
      </c>
      <c r="G289" s="17" t="s">
        <v>578</v>
      </c>
      <c r="H289" s="17" t="s">
        <v>553</v>
      </c>
      <c r="I289" s="16" t="s">
        <v>26</v>
      </c>
      <c r="J289" s="16" t="s">
        <v>26</v>
      </c>
      <c r="K289" s="16" t="s">
        <v>549</v>
      </c>
      <c r="L289" s="18" t="s">
        <v>28</v>
      </c>
      <c r="M289" s="18" t="s">
        <v>28</v>
      </c>
      <c r="N289" s="20">
        <v>2</v>
      </c>
      <c r="O289" s="16" t="s">
        <v>26</v>
      </c>
      <c r="P289" s="13">
        <v>40400</v>
      </c>
      <c r="Q289" s="13"/>
      <c r="R289" s="14">
        <f>IF(AND(P289&gt;0,Q289&gt;0),ROUND((1-Q289/P289)*100,0),0)</f>
        <v>0</v>
      </c>
    </row>
    <row r="290" ht="20" customHeight="1" spans="1:18" x14ac:dyDescent="0.25">
      <c r="A290" s="7" t="s">
        <v>943</v>
      </c>
      <c r="B290" s="8" t="s">
        <v>944</v>
      </c>
      <c r="C290" s="8" t="s">
        <v>945</v>
      </c>
      <c r="D290" s="8" t="s">
        <v>645</v>
      </c>
      <c r="E290" s="9" t="s">
        <v>24</v>
      </c>
      <c r="F290" s="9" t="s">
        <v>25</v>
      </c>
      <c r="G290" s="9" t="s">
        <v>578</v>
      </c>
      <c r="H290" s="9" t="s">
        <v>553</v>
      </c>
      <c r="I290" s="8" t="s">
        <v>26</v>
      </c>
      <c r="J290" s="8" t="s">
        <v>26</v>
      </c>
      <c r="K290" s="8" t="s">
        <v>549</v>
      </c>
      <c r="L290" s="10" t="s">
        <v>28</v>
      </c>
      <c r="M290" s="10" t="s">
        <v>28</v>
      </c>
      <c r="N290" s="12">
        <v>2</v>
      </c>
      <c r="O290" s="8" t="s">
        <v>26</v>
      </c>
      <c r="P290" s="13">
        <v>42700</v>
      </c>
      <c r="Q290" s="13"/>
      <c r="R290" s="14">
        <f>IF(AND(P290&gt;0,Q290&gt;0),ROUND((1-Q290/P290)*100,0),0)</f>
        <v>0</v>
      </c>
    </row>
    <row r="291" ht="20" customHeight="1" spans="1:18" x14ac:dyDescent="0.25">
      <c r="A291" s="15" t="s">
        <v>946</v>
      </c>
      <c r="B291" s="16" t="s">
        <v>947</v>
      </c>
      <c r="C291" s="16" t="s">
        <v>948</v>
      </c>
      <c r="D291" s="16" t="s">
        <v>949</v>
      </c>
      <c r="E291" s="17" t="s">
        <v>24</v>
      </c>
      <c r="F291" s="17" t="s">
        <v>25</v>
      </c>
      <c r="G291" s="17" t="s">
        <v>547</v>
      </c>
      <c r="H291" s="17" t="s">
        <v>553</v>
      </c>
      <c r="I291" s="16" t="s">
        <v>26</v>
      </c>
      <c r="J291" s="16" t="s">
        <v>26</v>
      </c>
      <c r="K291" s="16" t="s">
        <v>549</v>
      </c>
      <c r="L291" s="18" t="s">
        <v>28</v>
      </c>
      <c r="M291" s="18" t="s">
        <v>28</v>
      </c>
      <c r="N291" s="20">
        <v>2</v>
      </c>
      <c r="O291" s="16" t="s">
        <v>26</v>
      </c>
      <c r="P291" s="13">
        <v>18500</v>
      </c>
      <c r="Q291" s="13"/>
      <c r="R291" s="14">
        <f>IF(AND(P291&gt;0,Q291&gt;0),ROUND((1-Q291/P291)*100,0),0)</f>
        <v>0</v>
      </c>
    </row>
    <row r="292" ht="20" customHeight="1" spans="1:18" x14ac:dyDescent="0.25">
      <c r="A292" s="7" t="s">
        <v>950</v>
      </c>
      <c r="B292" s="8" t="s">
        <v>951</v>
      </c>
      <c r="C292" s="8" t="s">
        <v>952</v>
      </c>
      <c r="D292" s="8" t="s">
        <v>949</v>
      </c>
      <c r="E292" s="9" t="s">
        <v>24</v>
      </c>
      <c r="F292" s="9" t="s">
        <v>25</v>
      </c>
      <c r="G292" s="9" t="s">
        <v>547</v>
      </c>
      <c r="H292" s="9" t="s">
        <v>553</v>
      </c>
      <c r="I292" s="8" t="s">
        <v>26</v>
      </c>
      <c r="J292" s="8" t="s">
        <v>26</v>
      </c>
      <c r="K292" s="8" t="s">
        <v>549</v>
      </c>
      <c r="L292" s="10" t="s">
        <v>28</v>
      </c>
      <c r="M292" s="10" t="s">
        <v>28</v>
      </c>
      <c r="N292" s="12">
        <v>2</v>
      </c>
      <c r="O292" s="8" t="s">
        <v>26</v>
      </c>
      <c r="P292" s="13">
        <v>18500</v>
      </c>
      <c r="Q292" s="13"/>
      <c r="R292" s="14">
        <f>IF(AND(P292&gt;0,Q292&gt;0),ROUND((1-Q292/P292)*100,0),0)</f>
        <v>0</v>
      </c>
    </row>
    <row r="293" ht="20" customHeight="1" spans="1:18" x14ac:dyDescent="0.25">
      <c r="A293" s="15" t="s">
        <v>953</v>
      </c>
      <c r="B293" s="16" t="s">
        <v>954</v>
      </c>
      <c r="C293" s="16" t="s">
        <v>955</v>
      </c>
      <c r="D293" s="16" t="s">
        <v>949</v>
      </c>
      <c r="E293" s="17" t="s">
        <v>24</v>
      </c>
      <c r="F293" s="17" t="s">
        <v>25</v>
      </c>
      <c r="G293" s="17" t="s">
        <v>578</v>
      </c>
      <c r="H293" s="17" t="s">
        <v>553</v>
      </c>
      <c r="I293" s="16" t="s">
        <v>26</v>
      </c>
      <c r="J293" s="16" t="s">
        <v>26</v>
      </c>
      <c r="K293" s="16" t="s">
        <v>549</v>
      </c>
      <c r="L293" s="18" t="s">
        <v>28</v>
      </c>
      <c r="M293" s="18" t="s">
        <v>28</v>
      </c>
      <c r="N293" s="20">
        <v>2</v>
      </c>
      <c r="O293" s="16" t="s">
        <v>26</v>
      </c>
      <c r="P293" s="13">
        <v>18500</v>
      </c>
      <c r="Q293" s="13"/>
      <c r="R293" s="14">
        <f>IF(AND(P293&gt;0,Q293&gt;0),ROUND((1-Q293/P293)*100,0),0)</f>
        <v>0</v>
      </c>
    </row>
    <row r="294" ht="20" customHeight="1" spans="1:18" x14ac:dyDescent="0.25">
      <c r="A294" s="7" t="s">
        <v>956</v>
      </c>
      <c r="B294" s="8" t="s">
        <v>957</v>
      </c>
      <c r="C294" s="8" t="s">
        <v>958</v>
      </c>
      <c r="D294" s="8" t="s">
        <v>949</v>
      </c>
      <c r="E294" s="9" t="s">
        <v>24</v>
      </c>
      <c r="F294" s="9" t="s">
        <v>25</v>
      </c>
      <c r="G294" s="9" t="s">
        <v>547</v>
      </c>
      <c r="H294" s="9" t="s">
        <v>553</v>
      </c>
      <c r="I294" s="8" t="s">
        <v>26</v>
      </c>
      <c r="J294" s="8" t="s">
        <v>26</v>
      </c>
      <c r="K294" s="8" t="s">
        <v>549</v>
      </c>
      <c r="L294" s="10" t="s">
        <v>28</v>
      </c>
      <c r="M294" s="10" t="s">
        <v>28</v>
      </c>
      <c r="N294" s="12">
        <v>2</v>
      </c>
      <c r="O294" s="8" t="s">
        <v>26</v>
      </c>
      <c r="P294" s="13">
        <v>18500</v>
      </c>
      <c r="Q294" s="13"/>
      <c r="R294" s="14">
        <f>IF(AND(P294&gt;0,Q294&gt;0),ROUND((1-Q294/P294)*100,0),0)</f>
        <v>0</v>
      </c>
    </row>
    <row r="295" ht="20" customHeight="1" spans="1:18" x14ac:dyDescent="0.25">
      <c r="A295" s="15" t="s">
        <v>959</v>
      </c>
      <c r="B295" s="16" t="s">
        <v>960</v>
      </c>
      <c r="C295" s="16" t="s">
        <v>961</v>
      </c>
      <c r="D295" s="16" t="s">
        <v>949</v>
      </c>
      <c r="E295" s="17" t="s">
        <v>24</v>
      </c>
      <c r="F295" s="17" t="s">
        <v>25</v>
      </c>
      <c r="G295" s="17" t="s">
        <v>578</v>
      </c>
      <c r="H295" s="17" t="s">
        <v>553</v>
      </c>
      <c r="I295" s="16" t="s">
        <v>26</v>
      </c>
      <c r="J295" s="16" t="s">
        <v>26</v>
      </c>
      <c r="K295" s="16" t="s">
        <v>549</v>
      </c>
      <c r="L295" s="18" t="s">
        <v>28</v>
      </c>
      <c r="M295" s="18" t="s">
        <v>28</v>
      </c>
      <c r="N295" s="20">
        <v>2</v>
      </c>
      <c r="O295" s="16" t="s">
        <v>26</v>
      </c>
      <c r="P295" s="13">
        <v>18500</v>
      </c>
      <c r="Q295" s="13"/>
      <c r="R295" s="14">
        <f>IF(AND(P295&gt;0,Q295&gt;0),ROUND((1-Q295/P295)*100,0),0)</f>
        <v>0</v>
      </c>
    </row>
    <row r="296" ht="20" customHeight="1" spans="1:18" x14ac:dyDescent="0.25">
      <c r="A296" s="7" t="s">
        <v>962</v>
      </c>
      <c r="B296" s="8" t="s">
        <v>963</v>
      </c>
      <c r="C296" s="8" t="s">
        <v>964</v>
      </c>
      <c r="D296" s="8" t="s">
        <v>949</v>
      </c>
      <c r="E296" s="9" t="s">
        <v>24</v>
      </c>
      <c r="F296" s="9" t="s">
        <v>25</v>
      </c>
      <c r="G296" s="9" t="s">
        <v>578</v>
      </c>
      <c r="H296" s="9" t="s">
        <v>553</v>
      </c>
      <c r="I296" s="8" t="s">
        <v>26</v>
      </c>
      <c r="J296" s="8" t="s">
        <v>26</v>
      </c>
      <c r="K296" s="8" t="s">
        <v>549</v>
      </c>
      <c r="L296" s="10" t="s">
        <v>28</v>
      </c>
      <c r="M296" s="10" t="s">
        <v>28</v>
      </c>
      <c r="N296" s="12">
        <v>2</v>
      </c>
      <c r="O296" s="8" t="s">
        <v>26</v>
      </c>
      <c r="P296" s="13">
        <v>18500</v>
      </c>
      <c r="Q296" s="13"/>
      <c r="R296" s="14">
        <f>IF(AND(P296&gt;0,Q296&gt;0),ROUND((1-Q296/P296)*100,0),0)</f>
        <v>0</v>
      </c>
    </row>
    <row r="297" ht="20" customHeight="1" spans="1:18" x14ac:dyDescent="0.25">
      <c r="A297" s="15" t="s">
        <v>965</v>
      </c>
      <c r="B297" s="16" t="s">
        <v>966</v>
      </c>
      <c r="C297" s="16" t="s">
        <v>967</v>
      </c>
      <c r="D297" s="16" t="s">
        <v>949</v>
      </c>
      <c r="E297" s="17" t="s">
        <v>24</v>
      </c>
      <c r="F297" s="17" t="s">
        <v>25</v>
      </c>
      <c r="G297" s="17" t="s">
        <v>547</v>
      </c>
      <c r="H297" s="17" t="s">
        <v>553</v>
      </c>
      <c r="I297" s="16" t="s">
        <v>26</v>
      </c>
      <c r="J297" s="16" t="s">
        <v>26</v>
      </c>
      <c r="K297" s="16" t="s">
        <v>549</v>
      </c>
      <c r="L297" s="18" t="s">
        <v>28</v>
      </c>
      <c r="M297" s="18" t="s">
        <v>28</v>
      </c>
      <c r="N297" s="20">
        <v>2</v>
      </c>
      <c r="O297" s="16" t="s">
        <v>26</v>
      </c>
      <c r="P297" s="13">
        <v>18500</v>
      </c>
      <c r="Q297" s="13"/>
      <c r="R297" s="14">
        <f>IF(AND(P297&gt;0,Q297&gt;0),ROUND((1-Q297/P297)*100,0),0)</f>
        <v>0</v>
      </c>
    </row>
    <row r="298" ht="20" customHeight="1" spans="1:18" x14ac:dyDescent="0.25">
      <c r="A298" s="7" t="s">
        <v>968</v>
      </c>
      <c r="B298" s="8" t="s">
        <v>969</v>
      </c>
      <c r="C298" s="8" t="s">
        <v>970</v>
      </c>
      <c r="D298" s="8" t="s">
        <v>712</v>
      </c>
      <c r="E298" s="9" t="s">
        <v>24</v>
      </c>
      <c r="F298" s="9" t="s">
        <v>25</v>
      </c>
      <c r="G298" s="9" t="s">
        <v>547</v>
      </c>
      <c r="H298" s="9" t="s">
        <v>553</v>
      </c>
      <c r="I298" s="8" t="s">
        <v>26</v>
      </c>
      <c r="J298" s="8" t="s">
        <v>26</v>
      </c>
      <c r="K298" s="8" t="s">
        <v>549</v>
      </c>
      <c r="L298" s="10" t="s">
        <v>28</v>
      </c>
      <c r="M298" s="10" t="s">
        <v>28</v>
      </c>
      <c r="N298" s="12">
        <v>2</v>
      </c>
      <c r="O298" s="8" t="s">
        <v>26</v>
      </c>
      <c r="P298" s="13">
        <v>46600</v>
      </c>
      <c r="Q298" s="13"/>
      <c r="R298" s="14">
        <f>IF(AND(P298&gt;0,Q298&gt;0),ROUND((1-Q298/P298)*100,0),0)</f>
        <v>0</v>
      </c>
    </row>
    <row r="299" ht="20" customHeight="1" spans="1:18" x14ac:dyDescent="0.25">
      <c r="A299" s="15" t="s">
        <v>971</v>
      </c>
      <c r="B299" s="16" t="s">
        <v>972</v>
      </c>
      <c r="C299" s="16" t="s">
        <v>973</v>
      </c>
      <c r="D299" s="16" t="s">
        <v>712</v>
      </c>
      <c r="E299" s="17" t="s">
        <v>24</v>
      </c>
      <c r="F299" s="17" t="s">
        <v>25</v>
      </c>
      <c r="G299" s="17" t="s">
        <v>547</v>
      </c>
      <c r="H299" s="17" t="s">
        <v>553</v>
      </c>
      <c r="I299" s="16" t="s">
        <v>26</v>
      </c>
      <c r="J299" s="16" t="s">
        <v>26</v>
      </c>
      <c r="K299" s="16" t="s">
        <v>549</v>
      </c>
      <c r="L299" s="18" t="s">
        <v>28</v>
      </c>
      <c r="M299" s="18" t="s">
        <v>28</v>
      </c>
      <c r="N299" s="20">
        <v>2</v>
      </c>
      <c r="O299" s="16" t="s">
        <v>26</v>
      </c>
      <c r="P299" s="13">
        <v>97000</v>
      </c>
      <c r="Q299" s="13">
        <v>58200</v>
      </c>
      <c r="R299" s="14">
        <f>IF(AND(P299&gt;0,Q299&gt;0),ROUND((1-Q299/P299)*100,0),0)</f>
        <v>40</v>
      </c>
    </row>
    <row r="300" ht="20" customHeight="1" spans="1:18" x14ac:dyDescent="0.25">
      <c r="A300" s="7" t="s">
        <v>974</v>
      </c>
      <c r="B300" s="8" t="s">
        <v>975</v>
      </c>
      <c r="C300" s="8" t="s">
        <v>976</v>
      </c>
      <c r="D300" s="8" t="s">
        <v>712</v>
      </c>
      <c r="E300" s="9" t="s">
        <v>24</v>
      </c>
      <c r="F300" s="9" t="s">
        <v>25</v>
      </c>
      <c r="G300" s="9" t="s">
        <v>547</v>
      </c>
      <c r="H300" s="9" t="s">
        <v>553</v>
      </c>
      <c r="I300" s="8" t="s">
        <v>26</v>
      </c>
      <c r="J300" s="8" t="s">
        <v>26</v>
      </c>
      <c r="K300" s="8" t="s">
        <v>549</v>
      </c>
      <c r="L300" s="10" t="s">
        <v>28</v>
      </c>
      <c r="M300" s="10" t="s">
        <v>28</v>
      </c>
      <c r="N300" s="12">
        <v>2</v>
      </c>
      <c r="O300" s="8" t="s">
        <v>26</v>
      </c>
      <c r="P300" s="13">
        <v>33300</v>
      </c>
      <c r="Q300" s="13"/>
      <c r="R300" s="14">
        <f>IF(AND(P300&gt;0,Q300&gt;0),ROUND((1-Q300/P300)*100,0),0)</f>
        <v>0</v>
      </c>
    </row>
    <row r="301" ht="20" customHeight="1" spans="1:18" x14ac:dyDescent="0.25">
      <c r="A301" s="15" t="s">
        <v>977</v>
      </c>
      <c r="B301" s="16" t="s">
        <v>978</v>
      </c>
      <c r="C301" s="16" t="s">
        <v>979</v>
      </c>
      <c r="D301" s="16" t="s">
        <v>980</v>
      </c>
      <c r="E301" s="17" t="s">
        <v>24</v>
      </c>
      <c r="F301" s="17" t="s">
        <v>25</v>
      </c>
      <c r="G301" s="17" t="s">
        <v>578</v>
      </c>
      <c r="H301" s="17" t="s">
        <v>553</v>
      </c>
      <c r="I301" s="16" t="s">
        <v>26</v>
      </c>
      <c r="J301" s="16" t="s">
        <v>26</v>
      </c>
      <c r="K301" s="16" t="s">
        <v>549</v>
      </c>
      <c r="L301" s="18" t="s">
        <v>28</v>
      </c>
      <c r="M301" s="18" t="s">
        <v>28</v>
      </c>
      <c r="N301" s="20">
        <v>2</v>
      </c>
      <c r="O301" s="16" t="s">
        <v>26</v>
      </c>
      <c r="P301" s="13">
        <v>63900</v>
      </c>
      <c r="Q301" s="13">
        <v>54315</v>
      </c>
      <c r="R301" s="14">
        <f>IF(AND(P301&gt;0,Q301&gt;0),ROUND((1-Q301/P301)*100,0),0)</f>
        <v>15</v>
      </c>
    </row>
    <row r="302" ht="20" customHeight="1" spans="1:18" x14ac:dyDescent="0.25">
      <c r="A302" s="7" t="s">
        <v>981</v>
      </c>
      <c r="B302" s="8" t="s">
        <v>982</v>
      </c>
      <c r="C302" s="8" t="s">
        <v>983</v>
      </c>
      <c r="D302" s="8" t="s">
        <v>980</v>
      </c>
      <c r="E302" s="9" t="s">
        <v>24</v>
      </c>
      <c r="F302" s="9" t="s">
        <v>25</v>
      </c>
      <c r="G302" s="9" t="s">
        <v>578</v>
      </c>
      <c r="H302" s="9" t="s">
        <v>553</v>
      </c>
      <c r="I302" s="8" t="s">
        <v>26</v>
      </c>
      <c r="J302" s="8" t="s">
        <v>26</v>
      </c>
      <c r="K302" s="8" t="s">
        <v>549</v>
      </c>
      <c r="L302" s="10" t="s">
        <v>28</v>
      </c>
      <c r="M302" s="10" t="s">
        <v>28</v>
      </c>
      <c r="N302" s="12">
        <v>2</v>
      </c>
      <c r="O302" s="8" t="s">
        <v>26</v>
      </c>
      <c r="P302" s="13">
        <v>63900</v>
      </c>
      <c r="Q302" s="13"/>
      <c r="R302" s="14">
        <f>IF(AND(P302&gt;0,Q302&gt;0),ROUND((1-Q302/P302)*100,0),0)</f>
        <v>0</v>
      </c>
    </row>
    <row r="303" ht="20" customHeight="1" spans="1:18" x14ac:dyDescent="0.25">
      <c r="A303" s="15" t="s">
        <v>984</v>
      </c>
      <c r="B303" s="16" t="s">
        <v>985</v>
      </c>
      <c r="C303" s="16" t="s">
        <v>986</v>
      </c>
      <c r="D303" s="16" t="s">
        <v>980</v>
      </c>
      <c r="E303" s="17" t="s">
        <v>24</v>
      </c>
      <c r="F303" s="17" t="s">
        <v>25</v>
      </c>
      <c r="G303" s="17" t="s">
        <v>578</v>
      </c>
      <c r="H303" s="17" t="s">
        <v>553</v>
      </c>
      <c r="I303" s="16" t="s">
        <v>26</v>
      </c>
      <c r="J303" s="16" t="s">
        <v>26</v>
      </c>
      <c r="K303" s="16" t="s">
        <v>549</v>
      </c>
      <c r="L303" s="18" t="s">
        <v>28</v>
      </c>
      <c r="M303" s="18" t="s">
        <v>28</v>
      </c>
      <c r="N303" s="20">
        <v>2</v>
      </c>
      <c r="O303" s="16" t="s">
        <v>26</v>
      </c>
      <c r="P303" s="13">
        <v>63900</v>
      </c>
      <c r="Q303" s="13"/>
      <c r="R303" s="14">
        <f>IF(AND(P303&gt;0,Q303&gt;0),ROUND((1-Q303/P303)*100,0),0)</f>
        <v>0</v>
      </c>
    </row>
    <row r="304" ht="20" customHeight="1" spans="1:18" x14ac:dyDescent="0.25">
      <c r="A304" s="7" t="s">
        <v>987</v>
      </c>
      <c r="B304" s="8" t="s">
        <v>988</v>
      </c>
      <c r="C304" s="8" t="s">
        <v>989</v>
      </c>
      <c r="D304" s="8" t="s">
        <v>980</v>
      </c>
      <c r="E304" s="9" t="s">
        <v>24</v>
      </c>
      <c r="F304" s="9" t="s">
        <v>25</v>
      </c>
      <c r="G304" s="9" t="s">
        <v>578</v>
      </c>
      <c r="H304" s="9" t="s">
        <v>553</v>
      </c>
      <c r="I304" s="8" t="s">
        <v>26</v>
      </c>
      <c r="J304" s="8" t="s">
        <v>26</v>
      </c>
      <c r="K304" s="8" t="s">
        <v>549</v>
      </c>
      <c r="L304" s="10" t="s">
        <v>28</v>
      </c>
      <c r="M304" s="10" t="s">
        <v>28</v>
      </c>
      <c r="N304" s="12">
        <v>2</v>
      </c>
      <c r="O304" s="8" t="s">
        <v>26</v>
      </c>
      <c r="P304" s="13">
        <v>63900</v>
      </c>
      <c r="Q304" s="13">
        <v>54315</v>
      </c>
      <c r="R304" s="14">
        <f>IF(AND(P304&gt;0,Q304&gt;0),ROUND((1-Q304/P304)*100,0),0)</f>
        <v>15</v>
      </c>
    </row>
    <row r="305" ht="20" customHeight="1" spans="1:18" x14ac:dyDescent="0.25">
      <c r="A305" s="15" t="s">
        <v>990</v>
      </c>
      <c r="B305" s="16" t="s">
        <v>991</v>
      </c>
      <c r="C305" s="16" t="s">
        <v>992</v>
      </c>
      <c r="D305" s="16" t="s">
        <v>993</v>
      </c>
      <c r="E305" s="17" t="s">
        <v>24</v>
      </c>
      <c r="F305" s="17" t="s">
        <v>25</v>
      </c>
      <c r="G305" s="17" t="s">
        <v>578</v>
      </c>
      <c r="H305" s="17" t="s">
        <v>553</v>
      </c>
      <c r="I305" s="16" t="s">
        <v>26</v>
      </c>
      <c r="J305" s="16" t="s">
        <v>26</v>
      </c>
      <c r="K305" s="16" t="s">
        <v>549</v>
      </c>
      <c r="L305" s="18" t="s">
        <v>28</v>
      </c>
      <c r="M305" s="18" t="s">
        <v>28</v>
      </c>
      <c r="N305" s="20">
        <v>2</v>
      </c>
      <c r="O305" s="16" t="s">
        <v>26</v>
      </c>
      <c r="P305" s="13">
        <v>37700</v>
      </c>
      <c r="Q305" s="13"/>
      <c r="R305" s="14">
        <f>IF(AND(P305&gt;0,Q305&gt;0),ROUND((1-Q305/P305)*100,0),0)</f>
        <v>0</v>
      </c>
    </row>
    <row r="306" ht="20" customHeight="1" spans="1:18" x14ac:dyDescent="0.25">
      <c r="A306" s="7" t="s">
        <v>994</v>
      </c>
      <c r="B306" s="8" t="s">
        <v>995</v>
      </c>
      <c r="C306" s="8" t="s">
        <v>996</v>
      </c>
      <c r="D306" s="8" t="s">
        <v>993</v>
      </c>
      <c r="E306" s="9" t="s">
        <v>24</v>
      </c>
      <c r="F306" s="9" t="s">
        <v>25</v>
      </c>
      <c r="G306" s="9" t="s">
        <v>578</v>
      </c>
      <c r="H306" s="9" t="s">
        <v>553</v>
      </c>
      <c r="I306" s="8" t="s">
        <v>26</v>
      </c>
      <c r="J306" s="8" t="s">
        <v>26</v>
      </c>
      <c r="K306" s="8" t="s">
        <v>549</v>
      </c>
      <c r="L306" s="10" t="s">
        <v>28</v>
      </c>
      <c r="M306" s="10" t="s">
        <v>28</v>
      </c>
      <c r="N306" s="12">
        <v>2</v>
      </c>
      <c r="O306" s="8" t="s">
        <v>26</v>
      </c>
      <c r="P306" s="13">
        <v>37400</v>
      </c>
      <c r="Q306" s="13"/>
      <c r="R306" s="14">
        <f>IF(AND(P306&gt;0,Q306&gt;0),ROUND((1-Q306/P306)*100,0),0)</f>
        <v>0</v>
      </c>
    </row>
    <row r="307" ht="20" customHeight="1" spans="1:18" x14ac:dyDescent="0.25">
      <c r="A307" s="15" t="s">
        <v>997</v>
      </c>
      <c r="B307" s="16" t="s">
        <v>998</v>
      </c>
      <c r="C307" s="16" t="s">
        <v>999</v>
      </c>
      <c r="D307" s="16" t="s">
        <v>993</v>
      </c>
      <c r="E307" s="17" t="s">
        <v>24</v>
      </c>
      <c r="F307" s="17" t="s">
        <v>25</v>
      </c>
      <c r="G307" s="17" t="s">
        <v>578</v>
      </c>
      <c r="H307" s="17" t="s">
        <v>553</v>
      </c>
      <c r="I307" s="16" t="s">
        <v>26</v>
      </c>
      <c r="J307" s="16" t="s">
        <v>26</v>
      </c>
      <c r="K307" s="16" t="s">
        <v>549</v>
      </c>
      <c r="L307" s="18" t="s">
        <v>28</v>
      </c>
      <c r="M307" s="18" t="s">
        <v>28</v>
      </c>
      <c r="N307" s="20">
        <v>2</v>
      </c>
      <c r="O307" s="16" t="s">
        <v>26</v>
      </c>
      <c r="P307" s="13">
        <v>48700</v>
      </c>
      <c r="Q307" s="13"/>
      <c r="R307" s="14">
        <f>IF(AND(P307&gt;0,Q307&gt;0),ROUND((1-Q307/P307)*100,0),0)</f>
        <v>0</v>
      </c>
    </row>
    <row r="308" ht="20" customHeight="1" spans="1:18" x14ac:dyDescent="0.25">
      <c r="A308" s="7" t="s">
        <v>1000</v>
      </c>
      <c r="B308" s="8" t="s">
        <v>1001</v>
      </c>
      <c r="C308" s="8" t="s">
        <v>1002</v>
      </c>
      <c r="D308" s="8" t="s">
        <v>993</v>
      </c>
      <c r="E308" s="9" t="s">
        <v>24</v>
      </c>
      <c r="F308" s="9" t="s">
        <v>25</v>
      </c>
      <c r="G308" s="9" t="s">
        <v>578</v>
      </c>
      <c r="H308" s="9" t="s">
        <v>553</v>
      </c>
      <c r="I308" s="8" t="s">
        <v>26</v>
      </c>
      <c r="J308" s="8" t="s">
        <v>26</v>
      </c>
      <c r="K308" s="8" t="s">
        <v>549</v>
      </c>
      <c r="L308" s="10" t="s">
        <v>28</v>
      </c>
      <c r="M308" s="10" t="s">
        <v>28</v>
      </c>
      <c r="N308" s="12">
        <v>2</v>
      </c>
      <c r="O308" s="8" t="s">
        <v>26</v>
      </c>
      <c r="P308" s="13">
        <v>37700</v>
      </c>
      <c r="Q308" s="13"/>
      <c r="R308" s="14">
        <f>IF(AND(P308&gt;0,Q308&gt;0),ROUND((1-Q308/P308)*100,0),0)</f>
        <v>0</v>
      </c>
    </row>
    <row r="309" ht="20" customHeight="1" spans="1:18" x14ac:dyDescent="0.25">
      <c r="A309" s="15" t="s">
        <v>1003</v>
      </c>
      <c r="B309" s="16" t="s">
        <v>1004</v>
      </c>
      <c r="C309" s="16" t="s">
        <v>1005</v>
      </c>
      <c r="D309" s="16" t="s">
        <v>993</v>
      </c>
      <c r="E309" s="17" t="s">
        <v>24</v>
      </c>
      <c r="F309" s="17" t="s">
        <v>25</v>
      </c>
      <c r="G309" s="17" t="s">
        <v>578</v>
      </c>
      <c r="H309" s="17" t="s">
        <v>553</v>
      </c>
      <c r="I309" s="16" t="s">
        <v>26</v>
      </c>
      <c r="J309" s="16" t="s">
        <v>26</v>
      </c>
      <c r="K309" s="16" t="s">
        <v>549</v>
      </c>
      <c r="L309" s="18" t="s">
        <v>28</v>
      </c>
      <c r="M309" s="18" t="s">
        <v>28</v>
      </c>
      <c r="N309" s="20">
        <v>2</v>
      </c>
      <c r="O309" s="16" t="s">
        <v>26</v>
      </c>
      <c r="P309" s="13">
        <v>42200</v>
      </c>
      <c r="Q309" s="13"/>
      <c r="R309" s="14">
        <f>IF(AND(P309&gt;0,Q309&gt;0),ROUND((1-Q309/P309)*100,0),0)</f>
        <v>0</v>
      </c>
    </row>
    <row r="310" ht="20" customHeight="1" spans="1:18" x14ac:dyDescent="0.25">
      <c r="A310" s="7" t="s">
        <v>1006</v>
      </c>
      <c r="B310" s="8" t="s">
        <v>1007</v>
      </c>
      <c r="C310" s="8" t="s">
        <v>1008</v>
      </c>
      <c r="D310" s="8" t="s">
        <v>993</v>
      </c>
      <c r="E310" s="9" t="s">
        <v>24</v>
      </c>
      <c r="F310" s="9" t="s">
        <v>25</v>
      </c>
      <c r="G310" s="9" t="s">
        <v>578</v>
      </c>
      <c r="H310" s="9" t="s">
        <v>548</v>
      </c>
      <c r="I310" s="8" t="s">
        <v>26</v>
      </c>
      <c r="J310" s="8" t="s">
        <v>26</v>
      </c>
      <c r="K310" s="8" t="s">
        <v>549</v>
      </c>
      <c r="L310" s="10" t="s">
        <v>28</v>
      </c>
      <c r="M310" s="10" t="s">
        <v>28</v>
      </c>
      <c r="N310" s="12">
        <v>2</v>
      </c>
      <c r="O310" s="8" t="s">
        <v>26</v>
      </c>
      <c r="P310" s="13">
        <v>45000</v>
      </c>
      <c r="Q310" s="13"/>
      <c r="R310" s="14">
        <f>IF(AND(P310&gt;0,Q310&gt;0),ROUND((1-Q310/P310)*100,0),0)</f>
        <v>0</v>
      </c>
    </row>
    <row r="311" ht="20" customHeight="1" spans="1:18" x14ac:dyDescent="0.25">
      <c r="A311" s="15" t="s">
        <v>1009</v>
      </c>
      <c r="B311" s="16" t="s">
        <v>1010</v>
      </c>
      <c r="C311" s="16" t="s">
        <v>1011</v>
      </c>
      <c r="D311" s="16" t="s">
        <v>993</v>
      </c>
      <c r="E311" s="17" t="s">
        <v>24</v>
      </c>
      <c r="F311" s="17" t="s">
        <v>25</v>
      </c>
      <c r="G311" s="17" t="s">
        <v>578</v>
      </c>
      <c r="H311" s="17" t="s">
        <v>553</v>
      </c>
      <c r="I311" s="16" t="s">
        <v>26</v>
      </c>
      <c r="J311" s="16" t="s">
        <v>26</v>
      </c>
      <c r="K311" s="16" t="s">
        <v>549</v>
      </c>
      <c r="L311" s="18" t="s">
        <v>28</v>
      </c>
      <c r="M311" s="18" t="s">
        <v>28</v>
      </c>
      <c r="N311" s="20">
        <v>2</v>
      </c>
      <c r="O311" s="16" t="s">
        <v>26</v>
      </c>
      <c r="P311" s="13">
        <v>32000</v>
      </c>
      <c r="Q311" s="13"/>
      <c r="R311" s="14">
        <f>IF(AND(P311&gt;0,Q311&gt;0),ROUND((1-Q311/P311)*100,0),0)</f>
        <v>0</v>
      </c>
    </row>
    <row r="312" ht="20" customHeight="1" spans="1:18" x14ac:dyDescent="0.25">
      <c r="A312" s="7" t="s">
        <v>1012</v>
      </c>
      <c r="B312" s="8" t="s">
        <v>1013</v>
      </c>
      <c r="C312" s="8" t="s">
        <v>1014</v>
      </c>
      <c r="D312" s="8" t="s">
        <v>993</v>
      </c>
      <c r="E312" s="9" t="s">
        <v>24</v>
      </c>
      <c r="F312" s="9" t="s">
        <v>25</v>
      </c>
      <c r="G312" s="9" t="s">
        <v>578</v>
      </c>
      <c r="H312" s="9" t="s">
        <v>553</v>
      </c>
      <c r="I312" s="8" t="s">
        <v>26</v>
      </c>
      <c r="J312" s="8" t="s">
        <v>26</v>
      </c>
      <c r="K312" s="8" t="s">
        <v>549</v>
      </c>
      <c r="L312" s="10" t="s">
        <v>28</v>
      </c>
      <c r="M312" s="10" t="s">
        <v>28</v>
      </c>
      <c r="N312" s="12">
        <v>2</v>
      </c>
      <c r="O312" s="8" t="s">
        <v>26</v>
      </c>
      <c r="P312" s="13">
        <v>42200</v>
      </c>
      <c r="Q312" s="13"/>
      <c r="R312" s="14">
        <f>IF(AND(P312&gt;0,Q312&gt;0),ROUND((1-Q312/P312)*100,0),0)</f>
        <v>0</v>
      </c>
    </row>
    <row r="313" ht="20" customHeight="1" spans="1:18" x14ac:dyDescent="0.25">
      <c r="A313" s="15" t="s">
        <v>1015</v>
      </c>
      <c r="B313" s="16" t="s">
        <v>1016</v>
      </c>
      <c r="C313" s="16" t="s">
        <v>1017</v>
      </c>
      <c r="D313" s="16" t="s">
        <v>993</v>
      </c>
      <c r="E313" s="17" t="s">
        <v>24</v>
      </c>
      <c r="F313" s="17" t="s">
        <v>25</v>
      </c>
      <c r="G313" s="17" t="s">
        <v>578</v>
      </c>
      <c r="H313" s="17" t="s">
        <v>548</v>
      </c>
      <c r="I313" s="16" t="s">
        <v>26</v>
      </c>
      <c r="J313" s="16" t="s">
        <v>26</v>
      </c>
      <c r="K313" s="16" t="s">
        <v>549</v>
      </c>
      <c r="L313" s="18" t="s">
        <v>28</v>
      </c>
      <c r="M313" s="18" t="s">
        <v>28</v>
      </c>
      <c r="N313" s="20">
        <v>2</v>
      </c>
      <c r="O313" s="16" t="s">
        <v>26</v>
      </c>
      <c r="P313" s="13">
        <v>51000</v>
      </c>
      <c r="Q313" s="13"/>
      <c r="R313" s="14">
        <f>IF(AND(P313&gt;0,Q313&gt;0),ROUND((1-Q313/P313)*100,0),0)</f>
        <v>0</v>
      </c>
    </row>
    <row r="314" ht="20" customHeight="1" spans="1:18" x14ac:dyDescent="0.25">
      <c r="A314" s="7" t="s">
        <v>1018</v>
      </c>
      <c r="B314" s="8" t="s">
        <v>1019</v>
      </c>
      <c r="C314" s="8" t="s">
        <v>1020</v>
      </c>
      <c r="D314" s="8" t="s">
        <v>993</v>
      </c>
      <c r="E314" s="9" t="s">
        <v>24</v>
      </c>
      <c r="F314" s="9" t="s">
        <v>25</v>
      </c>
      <c r="G314" s="9" t="s">
        <v>578</v>
      </c>
      <c r="H314" s="9" t="s">
        <v>553</v>
      </c>
      <c r="I314" s="8" t="s">
        <v>26</v>
      </c>
      <c r="J314" s="8" t="s">
        <v>26</v>
      </c>
      <c r="K314" s="8" t="s">
        <v>549</v>
      </c>
      <c r="L314" s="10" t="s">
        <v>28</v>
      </c>
      <c r="M314" s="10" t="s">
        <v>28</v>
      </c>
      <c r="N314" s="12">
        <v>2</v>
      </c>
      <c r="O314" s="8" t="s">
        <v>26</v>
      </c>
      <c r="P314" s="13">
        <v>39900</v>
      </c>
      <c r="Q314" s="13"/>
      <c r="R314" s="14">
        <f>IF(AND(P314&gt;0,Q314&gt;0),ROUND((1-Q314/P314)*100,0),0)</f>
        <v>0</v>
      </c>
    </row>
    <row r="315" ht="20" customHeight="1" spans="1:18" x14ac:dyDescent="0.25">
      <c r="A315" s="15" t="s">
        <v>1021</v>
      </c>
      <c r="B315" s="16" t="s">
        <v>1022</v>
      </c>
      <c r="C315" s="16" t="s">
        <v>1023</v>
      </c>
      <c r="D315" s="16" t="s">
        <v>993</v>
      </c>
      <c r="E315" s="17" t="s">
        <v>24</v>
      </c>
      <c r="F315" s="17" t="s">
        <v>25</v>
      </c>
      <c r="G315" s="17" t="s">
        <v>578</v>
      </c>
      <c r="H315" s="17" t="s">
        <v>553</v>
      </c>
      <c r="I315" s="16" t="s">
        <v>26</v>
      </c>
      <c r="J315" s="16" t="s">
        <v>26</v>
      </c>
      <c r="K315" s="16" t="s">
        <v>549</v>
      </c>
      <c r="L315" s="18" t="s">
        <v>28</v>
      </c>
      <c r="M315" s="18" t="s">
        <v>28</v>
      </c>
      <c r="N315" s="20">
        <v>2</v>
      </c>
      <c r="O315" s="16" t="s">
        <v>26</v>
      </c>
      <c r="P315" s="13">
        <v>47400</v>
      </c>
      <c r="Q315" s="13">
        <v>37920</v>
      </c>
      <c r="R315" s="14">
        <f>IF(AND(P315&gt;0,Q315&gt;0),ROUND((1-Q315/P315)*100,0),0)</f>
        <v>20</v>
      </c>
    </row>
    <row r="316" ht="20" customHeight="1" spans="1:18" x14ac:dyDescent="0.25">
      <c r="A316" s="7" t="s">
        <v>1024</v>
      </c>
      <c r="B316" s="8" t="s">
        <v>1025</v>
      </c>
      <c r="C316" s="8" t="s">
        <v>1026</v>
      </c>
      <c r="D316" s="8" t="s">
        <v>993</v>
      </c>
      <c r="E316" s="9" t="s">
        <v>24</v>
      </c>
      <c r="F316" s="9" t="s">
        <v>25</v>
      </c>
      <c r="G316" s="9" t="s">
        <v>578</v>
      </c>
      <c r="H316" s="9" t="s">
        <v>553</v>
      </c>
      <c r="I316" s="8" t="s">
        <v>26</v>
      </c>
      <c r="J316" s="8" t="s">
        <v>26</v>
      </c>
      <c r="K316" s="8" t="s">
        <v>549</v>
      </c>
      <c r="L316" s="10" t="s">
        <v>28</v>
      </c>
      <c r="M316" s="10" t="s">
        <v>28</v>
      </c>
      <c r="N316" s="12">
        <v>2</v>
      </c>
      <c r="O316" s="8" t="s">
        <v>26</v>
      </c>
      <c r="P316" s="13">
        <v>36300</v>
      </c>
      <c r="Q316" s="13"/>
      <c r="R316" s="14">
        <f>IF(AND(P316&gt;0,Q316&gt;0),ROUND((1-Q316/P316)*100,0),0)</f>
        <v>0</v>
      </c>
    </row>
    <row r="317" ht="20" customHeight="1" spans="1:18" x14ac:dyDescent="0.25">
      <c r="A317" s="15" t="s">
        <v>1027</v>
      </c>
      <c r="B317" s="16" t="s">
        <v>1028</v>
      </c>
      <c r="C317" s="16" t="s">
        <v>1029</v>
      </c>
      <c r="D317" s="16" t="s">
        <v>993</v>
      </c>
      <c r="E317" s="17" t="s">
        <v>24</v>
      </c>
      <c r="F317" s="17" t="s">
        <v>25</v>
      </c>
      <c r="G317" s="17" t="s">
        <v>578</v>
      </c>
      <c r="H317" s="17" t="s">
        <v>553</v>
      </c>
      <c r="I317" s="16" t="s">
        <v>26</v>
      </c>
      <c r="J317" s="16" t="s">
        <v>26</v>
      </c>
      <c r="K317" s="16" t="s">
        <v>549</v>
      </c>
      <c r="L317" s="18" t="s">
        <v>28</v>
      </c>
      <c r="M317" s="18" t="s">
        <v>28</v>
      </c>
      <c r="N317" s="20">
        <v>2</v>
      </c>
      <c r="O317" s="16" t="s">
        <v>26</v>
      </c>
      <c r="P317" s="13">
        <v>39100</v>
      </c>
      <c r="Q317" s="13"/>
      <c r="R317" s="14">
        <f>IF(AND(P317&gt;0,Q317&gt;0),ROUND((1-Q317/P317)*100,0),0)</f>
        <v>0</v>
      </c>
    </row>
    <row r="318" ht="20" customHeight="1" spans="1:18" x14ac:dyDescent="0.25">
      <c r="A318" s="7" t="s">
        <v>1030</v>
      </c>
      <c r="B318" s="8" t="s">
        <v>1031</v>
      </c>
      <c r="C318" s="8" t="s">
        <v>1032</v>
      </c>
      <c r="D318" s="8" t="s">
        <v>993</v>
      </c>
      <c r="E318" s="9" t="s">
        <v>24</v>
      </c>
      <c r="F318" s="9" t="s">
        <v>25</v>
      </c>
      <c r="G318" s="9" t="s">
        <v>578</v>
      </c>
      <c r="H318" s="9" t="s">
        <v>553</v>
      </c>
      <c r="I318" s="8" t="s">
        <v>26</v>
      </c>
      <c r="J318" s="8" t="s">
        <v>26</v>
      </c>
      <c r="K318" s="8" t="s">
        <v>549</v>
      </c>
      <c r="L318" s="10" t="s">
        <v>28</v>
      </c>
      <c r="M318" s="10" t="s">
        <v>28</v>
      </c>
      <c r="N318" s="12">
        <v>2</v>
      </c>
      <c r="O318" s="8" t="s">
        <v>26</v>
      </c>
      <c r="P318" s="13">
        <v>36300</v>
      </c>
      <c r="Q318" s="13"/>
      <c r="R318" s="14">
        <f>IF(AND(P318&gt;0,Q318&gt;0),ROUND((1-Q318/P318)*100,0),0)</f>
        <v>0</v>
      </c>
    </row>
    <row r="319" ht="20" customHeight="1" spans="1:18" x14ac:dyDescent="0.25">
      <c r="A319" s="15" t="s">
        <v>1033</v>
      </c>
      <c r="B319" s="16" t="s">
        <v>1034</v>
      </c>
      <c r="C319" s="16" t="s">
        <v>1035</v>
      </c>
      <c r="D319" s="16" t="s">
        <v>993</v>
      </c>
      <c r="E319" s="17" t="s">
        <v>24</v>
      </c>
      <c r="F319" s="17" t="s">
        <v>25</v>
      </c>
      <c r="G319" s="17" t="s">
        <v>578</v>
      </c>
      <c r="H319" s="17" t="s">
        <v>553</v>
      </c>
      <c r="I319" s="16" t="s">
        <v>26</v>
      </c>
      <c r="J319" s="16" t="s">
        <v>26</v>
      </c>
      <c r="K319" s="16" t="s">
        <v>549</v>
      </c>
      <c r="L319" s="18" t="s">
        <v>28</v>
      </c>
      <c r="M319" s="18" t="s">
        <v>28</v>
      </c>
      <c r="N319" s="20">
        <v>2</v>
      </c>
      <c r="O319" s="16" t="s">
        <v>26</v>
      </c>
      <c r="P319" s="13">
        <v>47400</v>
      </c>
      <c r="Q319" s="13"/>
      <c r="R319" s="14">
        <f>IF(AND(P319&gt;0,Q319&gt;0),ROUND((1-Q319/P319)*100,0),0)</f>
        <v>0</v>
      </c>
    </row>
    <row r="320" ht="20" customHeight="1" spans="1:18" x14ac:dyDescent="0.25">
      <c r="A320" s="7" t="s">
        <v>1036</v>
      </c>
      <c r="B320" s="8" t="s">
        <v>1037</v>
      </c>
      <c r="C320" s="8" t="s">
        <v>1038</v>
      </c>
      <c r="D320" s="8" t="s">
        <v>993</v>
      </c>
      <c r="E320" s="9" t="s">
        <v>24</v>
      </c>
      <c r="F320" s="9" t="s">
        <v>25</v>
      </c>
      <c r="G320" s="9" t="s">
        <v>578</v>
      </c>
      <c r="H320" s="9" t="s">
        <v>553</v>
      </c>
      <c r="I320" s="8" t="s">
        <v>26</v>
      </c>
      <c r="J320" s="8" t="s">
        <v>26</v>
      </c>
      <c r="K320" s="8" t="s">
        <v>549</v>
      </c>
      <c r="L320" s="10" t="s">
        <v>28</v>
      </c>
      <c r="M320" s="10" t="s">
        <v>28</v>
      </c>
      <c r="N320" s="12">
        <v>2</v>
      </c>
      <c r="O320" s="8" t="s">
        <v>26</v>
      </c>
      <c r="P320" s="13">
        <v>43900</v>
      </c>
      <c r="Q320" s="13"/>
      <c r="R320" s="14">
        <f>IF(AND(P320&gt;0,Q320&gt;0),ROUND((1-Q320/P320)*100,0),0)</f>
        <v>0</v>
      </c>
    </row>
    <row r="321" ht="20" customHeight="1" spans="1:18" x14ac:dyDescent="0.25">
      <c r="A321" s="15" t="s">
        <v>1039</v>
      </c>
      <c r="B321" s="16" t="s">
        <v>1040</v>
      </c>
      <c r="C321" s="16" t="s">
        <v>1041</v>
      </c>
      <c r="D321" s="16" t="s">
        <v>993</v>
      </c>
      <c r="E321" s="17" t="s">
        <v>24</v>
      </c>
      <c r="F321" s="17" t="s">
        <v>25</v>
      </c>
      <c r="G321" s="17" t="s">
        <v>578</v>
      </c>
      <c r="H321" s="17" t="s">
        <v>553</v>
      </c>
      <c r="I321" s="16" t="s">
        <v>26</v>
      </c>
      <c r="J321" s="16" t="s">
        <v>26</v>
      </c>
      <c r="K321" s="16" t="s">
        <v>549</v>
      </c>
      <c r="L321" s="18" t="s">
        <v>28</v>
      </c>
      <c r="M321" s="18" t="s">
        <v>28</v>
      </c>
      <c r="N321" s="20">
        <v>2</v>
      </c>
      <c r="O321" s="16" t="s">
        <v>26</v>
      </c>
      <c r="P321" s="13">
        <v>36300</v>
      </c>
      <c r="Q321" s="13"/>
      <c r="R321" s="14">
        <f>IF(AND(P321&gt;0,Q321&gt;0),ROUND((1-Q321/P321)*100,0),0)</f>
        <v>0</v>
      </c>
    </row>
    <row r="322" ht="20" customHeight="1" spans="1:18" x14ac:dyDescent="0.25">
      <c r="A322" s="7" t="s">
        <v>1042</v>
      </c>
      <c r="B322" s="8" t="s">
        <v>1043</v>
      </c>
      <c r="C322" s="8" t="s">
        <v>1044</v>
      </c>
      <c r="D322" s="8" t="s">
        <v>993</v>
      </c>
      <c r="E322" s="9" t="s">
        <v>24</v>
      </c>
      <c r="F322" s="9" t="s">
        <v>25</v>
      </c>
      <c r="G322" s="9" t="s">
        <v>578</v>
      </c>
      <c r="H322" s="9" t="s">
        <v>553</v>
      </c>
      <c r="I322" s="8" t="s">
        <v>26</v>
      </c>
      <c r="J322" s="8" t="s">
        <v>26</v>
      </c>
      <c r="K322" s="8" t="s">
        <v>549</v>
      </c>
      <c r="L322" s="10" t="s">
        <v>28</v>
      </c>
      <c r="M322" s="10" t="s">
        <v>28</v>
      </c>
      <c r="N322" s="12">
        <v>2</v>
      </c>
      <c r="O322" s="8" t="s">
        <v>26</v>
      </c>
      <c r="P322" s="13">
        <v>47400</v>
      </c>
      <c r="Q322" s="13"/>
      <c r="R322" s="14">
        <f>IF(AND(P322&gt;0,Q322&gt;0),ROUND((1-Q322/P322)*100,0),0)</f>
        <v>0</v>
      </c>
    </row>
    <row r="323" ht="20" customHeight="1" spans="1:18" x14ac:dyDescent="0.25">
      <c r="A323" s="15" t="s">
        <v>1045</v>
      </c>
      <c r="B323" s="16" t="s">
        <v>1046</v>
      </c>
      <c r="C323" s="16" t="s">
        <v>1047</v>
      </c>
      <c r="D323" s="16" t="s">
        <v>993</v>
      </c>
      <c r="E323" s="17" t="s">
        <v>24</v>
      </c>
      <c r="F323" s="17" t="s">
        <v>25</v>
      </c>
      <c r="G323" s="17" t="s">
        <v>578</v>
      </c>
      <c r="H323" s="17" t="s">
        <v>553</v>
      </c>
      <c r="I323" s="16" t="s">
        <v>26</v>
      </c>
      <c r="J323" s="16" t="s">
        <v>26</v>
      </c>
      <c r="K323" s="16" t="s">
        <v>549</v>
      </c>
      <c r="L323" s="18" t="s">
        <v>28</v>
      </c>
      <c r="M323" s="18" t="s">
        <v>28</v>
      </c>
      <c r="N323" s="20">
        <v>2</v>
      </c>
      <c r="O323" s="16" t="s">
        <v>26</v>
      </c>
      <c r="P323" s="13">
        <v>43900</v>
      </c>
      <c r="Q323" s="13"/>
      <c r="R323" s="14">
        <f>IF(AND(P323&gt;0,Q323&gt;0),ROUND((1-Q323/P323)*100,0),0)</f>
        <v>0</v>
      </c>
    </row>
    <row r="324" ht="20" customHeight="1" spans="1:18" x14ac:dyDescent="0.25">
      <c r="A324" s="7" t="s">
        <v>1048</v>
      </c>
      <c r="B324" s="8" t="s">
        <v>1049</v>
      </c>
      <c r="C324" s="8" t="s">
        <v>1050</v>
      </c>
      <c r="D324" s="8" t="s">
        <v>993</v>
      </c>
      <c r="E324" s="9" t="s">
        <v>24</v>
      </c>
      <c r="F324" s="9" t="s">
        <v>25</v>
      </c>
      <c r="G324" s="9" t="s">
        <v>578</v>
      </c>
      <c r="H324" s="9" t="s">
        <v>553</v>
      </c>
      <c r="I324" s="8" t="s">
        <v>26</v>
      </c>
      <c r="J324" s="8" t="s">
        <v>26</v>
      </c>
      <c r="K324" s="8" t="s">
        <v>549</v>
      </c>
      <c r="L324" s="10" t="s">
        <v>28</v>
      </c>
      <c r="M324" s="10" t="s">
        <v>28</v>
      </c>
      <c r="N324" s="12">
        <v>2</v>
      </c>
      <c r="O324" s="8" t="s">
        <v>26</v>
      </c>
      <c r="P324" s="13">
        <v>33200</v>
      </c>
      <c r="Q324" s="13"/>
      <c r="R324" s="14">
        <f>IF(AND(P324&gt;0,Q324&gt;0),ROUND((1-Q324/P324)*100,0),0)</f>
        <v>0</v>
      </c>
    </row>
    <row r="325" ht="20" customHeight="1" spans="1:18" x14ac:dyDescent="0.25">
      <c r="A325" s="15" t="s">
        <v>1051</v>
      </c>
      <c r="B325" s="16" t="s">
        <v>1052</v>
      </c>
      <c r="C325" s="16" t="s">
        <v>1053</v>
      </c>
      <c r="D325" s="16" t="s">
        <v>993</v>
      </c>
      <c r="E325" s="17" t="s">
        <v>24</v>
      </c>
      <c r="F325" s="17" t="s">
        <v>25</v>
      </c>
      <c r="G325" s="17" t="s">
        <v>578</v>
      </c>
      <c r="H325" s="17" t="s">
        <v>553</v>
      </c>
      <c r="I325" s="16" t="s">
        <v>26</v>
      </c>
      <c r="J325" s="16" t="s">
        <v>26</v>
      </c>
      <c r="K325" s="16" t="s">
        <v>549</v>
      </c>
      <c r="L325" s="18" t="s">
        <v>28</v>
      </c>
      <c r="M325" s="18" t="s">
        <v>28</v>
      </c>
      <c r="N325" s="20">
        <v>2</v>
      </c>
      <c r="O325" s="16" t="s">
        <v>26</v>
      </c>
      <c r="P325" s="13">
        <v>40800</v>
      </c>
      <c r="Q325" s="13"/>
      <c r="R325" s="14">
        <f>IF(AND(P325&gt;0,Q325&gt;0),ROUND((1-Q325/P325)*100,0),0)</f>
        <v>0</v>
      </c>
    </row>
    <row r="326" ht="20" customHeight="1" spans="1:18" x14ac:dyDescent="0.25">
      <c r="A326" s="7" t="s">
        <v>1054</v>
      </c>
      <c r="B326" s="8" t="s">
        <v>1055</v>
      </c>
      <c r="C326" s="8" t="s">
        <v>1056</v>
      </c>
      <c r="D326" s="8" t="s">
        <v>993</v>
      </c>
      <c r="E326" s="9" t="s">
        <v>24</v>
      </c>
      <c r="F326" s="9" t="s">
        <v>25</v>
      </c>
      <c r="G326" s="9" t="s">
        <v>578</v>
      </c>
      <c r="H326" s="9" t="s">
        <v>553</v>
      </c>
      <c r="I326" s="8" t="s">
        <v>26</v>
      </c>
      <c r="J326" s="8" t="s">
        <v>26</v>
      </c>
      <c r="K326" s="8" t="s">
        <v>549</v>
      </c>
      <c r="L326" s="10" t="s">
        <v>28</v>
      </c>
      <c r="M326" s="10" t="s">
        <v>28</v>
      </c>
      <c r="N326" s="12">
        <v>2</v>
      </c>
      <c r="O326" s="8" t="s">
        <v>26</v>
      </c>
      <c r="P326" s="13">
        <v>33200</v>
      </c>
      <c r="Q326" s="13"/>
      <c r="R326" s="14">
        <f>IF(AND(P326&gt;0,Q326&gt;0),ROUND((1-Q326/P326)*100,0),0)</f>
        <v>0</v>
      </c>
    </row>
    <row r="327" ht="20" customHeight="1" spans="1:18" x14ac:dyDescent="0.25">
      <c r="A327" s="15" t="s">
        <v>1057</v>
      </c>
      <c r="B327" s="16" t="s">
        <v>1058</v>
      </c>
      <c r="C327" s="16" t="s">
        <v>1059</v>
      </c>
      <c r="D327" s="16" t="s">
        <v>993</v>
      </c>
      <c r="E327" s="17" t="s">
        <v>24</v>
      </c>
      <c r="F327" s="17" t="s">
        <v>25</v>
      </c>
      <c r="G327" s="17" t="s">
        <v>578</v>
      </c>
      <c r="H327" s="17" t="s">
        <v>553</v>
      </c>
      <c r="I327" s="16" t="s">
        <v>26</v>
      </c>
      <c r="J327" s="16" t="s">
        <v>26</v>
      </c>
      <c r="K327" s="16" t="s">
        <v>549</v>
      </c>
      <c r="L327" s="18" t="s">
        <v>28</v>
      </c>
      <c r="M327" s="18" t="s">
        <v>28</v>
      </c>
      <c r="N327" s="20">
        <v>2</v>
      </c>
      <c r="O327" s="16" t="s">
        <v>26</v>
      </c>
      <c r="P327" s="13">
        <v>37400</v>
      </c>
      <c r="Q327" s="13"/>
      <c r="R327" s="14">
        <f>IF(AND(P327&gt;0,Q327&gt;0),ROUND((1-Q327/P327)*100,0),0)</f>
        <v>0</v>
      </c>
    </row>
    <row r="328" ht="20" customHeight="1" spans="1:18" x14ac:dyDescent="0.25">
      <c r="A328" s="7" t="s">
        <v>1060</v>
      </c>
      <c r="B328" s="8" t="s">
        <v>1061</v>
      </c>
      <c r="C328" s="8" t="s">
        <v>1062</v>
      </c>
      <c r="D328" s="8" t="s">
        <v>993</v>
      </c>
      <c r="E328" s="9" t="s">
        <v>24</v>
      </c>
      <c r="F328" s="9" t="s">
        <v>25</v>
      </c>
      <c r="G328" s="9" t="s">
        <v>578</v>
      </c>
      <c r="H328" s="9" t="s">
        <v>553</v>
      </c>
      <c r="I328" s="8" t="s">
        <v>26</v>
      </c>
      <c r="J328" s="8" t="s">
        <v>26</v>
      </c>
      <c r="K328" s="8" t="s">
        <v>549</v>
      </c>
      <c r="L328" s="10" t="s">
        <v>28</v>
      </c>
      <c r="M328" s="10" t="s">
        <v>28</v>
      </c>
      <c r="N328" s="12">
        <v>2</v>
      </c>
      <c r="O328" s="8" t="s">
        <v>26</v>
      </c>
      <c r="P328" s="13">
        <v>48700</v>
      </c>
      <c r="Q328" s="13"/>
      <c r="R328" s="14">
        <f>IF(AND(P328&gt;0,Q328&gt;0),ROUND((1-Q328/P328)*100,0),0)</f>
        <v>0</v>
      </c>
    </row>
    <row r="329" ht="20" customHeight="1" spans="1:18" x14ac:dyDescent="0.25">
      <c r="A329" s="15" t="s">
        <v>1063</v>
      </c>
      <c r="B329" s="16" t="s">
        <v>1064</v>
      </c>
      <c r="C329" s="16" t="s">
        <v>1065</v>
      </c>
      <c r="D329" s="16" t="s">
        <v>993</v>
      </c>
      <c r="E329" s="17" t="s">
        <v>24</v>
      </c>
      <c r="F329" s="17" t="s">
        <v>25</v>
      </c>
      <c r="G329" s="17" t="s">
        <v>578</v>
      </c>
      <c r="H329" s="17" t="s">
        <v>553</v>
      </c>
      <c r="I329" s="16" t="s">
        <v>26</v>
      </c>
      <c r="J329" s="16" t="s">
        <v>26</v>
      </c>
      <c r="K329" s="16" t="s">
        <v>549</v>
      </c>
      <c r="L329" s="18" t="s">
        <v>28</v>
      </c>
      <c r="M329" s="18" t="s">
        <v>28</v>
      </c>
      <c r="N329" s="20">
        <v>2</v>
      </c>
      <c r="O329" s="16" t="s">
        <v>26</v>
      </c>
      <c r="P329" s="13">
        <v>37900</v>
      </c>
      <c r="Q329" s="13"/>
      <c r="R329" s="14">
        <f>IF(AND(P329&gt;0,Q329&gt;0),ROUND((1-Q329/P329)*100,0),0)</f>
        <v>0</v>
      </c>
    </row>
    <row r="330" ht="20" customHeight="1" spans="1:18" x14ac:dyDescent="0.25">
      <c r="A330" s="7" t="s">
        <v>1066</v>
      </c>
      <c r="B330" s="8" t="s">
        <v>1067</v>
      </c>
      <c r="C330" s="8" t="s">
        <v>1068</v>
      </c>
      <c r="D330" s="8" t="s">
        <v>993</v>
      </c>
      <c r="E330" s="9" t="s">
        <v>24</v>
      </c>
      <c r="F330" s="9" t="s">
        <v>25</v>
      </c>
      <c r="G330" s="9" t="s">
        <v>578</v>
      </c>
      <c r="H330" s="9" t="s">
        <v>553</v>
      </c>
      <c r="I330" s="8" t="s">
        <v>26</v>
      </c>
      <c r="J330" s="8" t="s">
        <v>26</v>
      </c>
      <c r="K330" s="8" t="s">
        <v>549</v>
      </c>
      <c r="L330" s="10" t="s">
        <v>28</v>
      </c>
      <c r="M330" s="10" t="s">
        <v>28</v>
      </c>
      <c r="N330" s="12">
        <v>2</v>
      </c>
      <c r="O330" s="8" t="s">
        <v>26</v>
      </c>
      <c r="P330" s="13">
        <v>37400</v>
      </c>
      <c r="Q330" s="13"/>
      <c r="R330" s="14">
        <f>IF(AND(P330&gt;0,Q330&gt;0),ROUND((1-Q330/P330)*100,0),0)</f>
        <v>0</v>
      </c>
    </row>
    <row r="331" ht="20" customHeight="1" spans="1:18" x14ac:dyDescent="0.25">
      <c r="A331" s="15" t="s">
        <v>1069</v>
      </c>
      <c r="B331" s="16" t="s">
        <v>1070</v>
      </c>
      <c r="C331" s="16" t="s">
        <v>1071</v>
      </c>
      <c r="D331" s="16" t="s">
        <v>993</v>
      </c>
      <c r="E331" s="17" t="s">
        <v>24</v>
      </c>
      <c r="F331" s="17" t="s">
        <v>25</v>
      </c>
      <c r="G331" s="17" t="s">
        <v>578</v>
      </c>
      <c r="H331" s="17" t="s">
        <v>553</v>
      </c>
      <c r="I331" s="16" t="s">
        <v>26</v>
      </c>
      <c r="J331" s="16" t="s">
        <v>26</v>
      </c>
      <c r="K331" s="16" t="s">
        <v>549</v>
      </c>
      <c r="L331" s="18" t="s">
        <v>28</v>
      </c>
      <c r="M331" s="18" t="s">
        <v>28</v>
      </c>
      <c r="N331" s="20">
        <v>2</v>
      </c>
      <c r="O331" s="16" t="s">
        <v>26</v>
      </c>
      <c r="P331" s="13">
        <v>48700</v>
      </c>
      <c r="Q331" s="13"/>
      <c r="R331" s="14">
        <f>IF(AND(P331&gt;0,Q331&gt;0),ROUND((1-Q331/P331)*100,0),0)</f>
        <v>0</v>
      </c>
    </row>
    <row r="332" ht="20" customHeight="1" spans="1:18" x14ac:dyDescent="0.25">
      <c r="A332" s="7" t="s">
        <v>1072</v>
      </c>
      <c r="B332" s="8" t="s">
        <v>1073</v>
      </c>
      <c r="C332" s="8" t="s">
        <v>1074</v>
      </c>
      <c r="D332" s="8" t="s">
        <v>993</v>
      </c>
      <c r="E332" s="9" t="s">
        <v>24</v>
      </c>
      <c r="F332" s="9" t="s">
        <v>25</v>
      </c>
      <c r="G332" s="9" t="s">
        <v>578</v>
      </c>
      <c r="H332" s="9" t="s">
        <v>548</v>
      </c>
      <c r="I332" s="8" t="s">
        <v>26</v>
      </c>
      <c r="J332" s="8" t="s">
        <v>26</v>
      </c>
      <c r="K332" s="8" t="s">
        <v>549</v>
      </c>
      <c r="L332" s="10" t="s">
        <v>28</v>
      </c>
      <c r="M332" s="10" t="s">
        <v>28</v>
      </c>
      <c r="N332" s="12">
        <v>2</v>
      </c>
      <c r="O332" s="8" t="s">
        <v>26</v>
      </c>
      <c r="P332" s="13">
        <v>53000</v>
      </c>
      <c r="Q332" s="13"/>
      <c r="R332" s="14">
        <f>IF(AND(P332&gt;0,Q332&gt;0),ROUND((1-Q332/P332)*100,0),0)</f>
        <v>0</v>
      </c>
    </row>
    <row r="333" ht="20" customHeight="1" spans="1:18" x14ac:dyDescent="0.25">
      <c r="A333" s="15" t="s">
        <v>1075</v>
      </c>
      <c r="B333" s="16" t="s">
        <v>1076</v>
      </c>
      <c r="C333" s="16" t="s">
        <v>1077</v>
      </c>
      <c r="D333" s="16" t="s">
        <v>993</v>
      </c>
      <c r="E333" s="17" t="s">
        <v>24</v>
      </c>
      <c r="F333" s="17" t="s">
        <v>25</v>
      </c>
      <c r="G333" s="17" t="s">
        <v>578</v>
      </c>
      <c r="H333" s="17" t="s">
        <v>553</v>
      </c>
      <c r="I333" s="16" t="s">
        <v>26</v>
      </c>
      <c r="J333" s="16" t="s">
        <v>26</v>
      </c>
      <c r="K333" s="16" t="s">
        <v>549</v>
      </c>
      <c r="L333" s="18" t="s">
        <v>28</v>
      </c>
      <c r="M333" s="18" t="s">
        <v>28</v>
      </c>
      <c r="N333" s="20">
        <v>2</v>
      </c>
      <c r="O333" s="16" t="s">
        <v>26</v>
      </c>
      <c r="P333" s="13">
        <v>4879968</v>
      </c>
      <c r="Q333" s="13"/>
      <c r="R333" s="14">
        <f>IF(AND(P333&gt;0,Q333&gt;0),ROUND((1-Q333/P333)*100,0),0)</f>
        <v>0</v>
      </c>
    </row>
    <row r="334" ht="20" customHeight="1" spans="1:18" x14ac:dyDescent="0.25">
      <c r="A334" s="7" t="s">
        <v>1078</v>
      </c>
      <c r="B334" s="8" t="s">
        <v>1079</v>
      </c>
      <c r="C334" s="8" t="s">
        <v>1080</v>
      </c>
      <c r="D334" s="8" t="s">
        <v>712</v>
      </c>
      <c r="E334" s="9" t="s">
        <v>24</v>
      </c>
      <c r="F334" s="9" t="s">
        <v>25</v>
      </c>
      <c r="G334" s="9" t="s">
        <v>547</v>
      </c>
      <c r="H334" s="9" t="s">
        <v>553</v>
      </c>
      <c r="I334" s="8" t="s">
        <v>26</v>
      </c>
      <c r="J334" s="8" t="s">
        <v>26</v>
      </c>
      <c r="K334" s="8" t="s">
        <v>549</v>
      </c>
      <c r="L334" s="10" t="s">
        <v>28</v>
      </c>
      <c r="M334" s="10" t="s">
        <v>28</v>
      </c>
      <c r="N334" s="12">
        <v>2</v>
      </c>
      <c r="O334" s="8" t="s">
        <v>26</v>
      </c>
      <c r="P334" s="13">
        <v>46600</v>
      </c>
      <c r="Q334" s="13"/>
      <c r="R334" s="14">
        <f>IF(AND(P334&gt;0,Q334&gt;0),ROUND((1-Q334/P334)*100,0),0)</f>
        <v>0</v>
      </c>
    </row>
    <row r="335" ht="20" customHeight="1" spans="1:18" x14ac:dyDescent="0.25">
      <c r="A335" s="15" t="s">
        <v>1081</v>
      </c>
      <c r="B335" s="16" t="s">
        <v>1082</v>
      </c>
      <c r="C335" s="16" t="s">
        <v>1083</v>
      </c>
      <c r="D335" s="16" t="s">
        <v>712</v>
      </c>
      <c r="E335" s="17" t="s">
        <v>24</v>
      </c>
      <c r="F335" s="17" t="s">
        <v>25</v>
      </c>
      <c r="G335" s="17" t="s">
        <v>547</v>
      </c>
      <c r="H335" s="17" t="s">
        <v>548</v>
      </c>
      <c r="I335" s="16" t="s">
        <v>26</v>
      </c>
      <c r="J335" s="16" t="s">
        <v>26</v>
      </c>
      <c r="K335" s="16" t="s">
        <v>549</v>
      </c>
      <c r="L335" s="18" t="s">
        <v>28</v>
      </c>
      <c r="M335" s="18" t="s">
        <v>28</v>
      </c>
      <c r="N335" s="20">
        <v>2</v>
      </c>
      <c r="O335" s="16" t="s">
        <v>26</v>
      </c>
      <c r="P335" s="13">
        <v>51200</v>
      </c>
      <c r="Q335" s="13"/>
      <c r="R335" s="14">
        <f>IF(AND(P335&gt;0,Q335&gt;0),ROUND((1-Q335/P335)*100,0),0)</f>
        <v>0</v>
      </c>
    </row>
    <row r="336" ht="20" customHeight="1" spans="1:18" x14ac:dyDescent="0.25">
      <c r="A336" s="7" t="s">
        <v>1084</v>
      </c>
      <c r="B336" s="8" t="s">
        <v>1085</v>
      </c>
      <c r="C336" s="8" t="s">
        <v>1086</v>
      </c>
      <c r="D336" s="8" t="s">
        <v>712</v>
      </c>
      <c r="E336" s="9" t="s">
        <v>24</v>
      </c>
      <c r="F336" s="9" t="s">
        <v>25</v>
      </c>
      <c r="G336" s="9" t="s">
        <v>547</v>
      </c>
      <c r="H336" s="9" t="s">
        <v>553</v>
      </c>
      <c r="I336" s="8" t="s">
        <v>26</v>
      </c>
      <c r="J336" s="8" t="s">
        <v>26</v>
      </c>
      <c r="K336" s="8" t="s">
        <v>549</v>
      </c>
      <c r="L336" s="10" t="s">
        <v>28</v>
      </c>
      <c r="M336" s="10" t="s">
        <v>28</v>
      </c>
      <c r="N336" s="12">
        <v>2</v>
      </c>
      <c r="O336" s="8" t="s">
        <v>26</v>
      </c>
      <c r="P336" s="13">
        <v>97000</v>
      </c>
      <c r="Q336" s="13">
        <v>58200</v>
      </c>
      <c r="R336" s="14">
        <f>IF(AND(P336&gt;0,Q336&gt;0),ROUND((1-Q336/P336)*100,0),0)</f>
        <v>40</v>
      </c>
    </row>
    <row r="337" ht="20" customHeight="1" spans="1:18" x14ac:dyDescent="0.25">
      <c r="A337" s="15" t="s">
        <v>1087</v>
      </c>
      <c r="B337" s="16" t="s">
        <v>1088</v>
      </c>
      <c r="C337" s="16" t="s">
        <v>1089</v>
      </c>
      <c r="D337" s="16" t="s">
        <v>712</v>
      </c>
      <c r="E337" s="17" t="s">
        <v>24</v>
      </c>
      <c r="F337" s="17" t="s">
        <v>25</v>
      </c>
      <c r="G337" s="17" t="s">
        <v>547</v>
      </c>
      <c r="H337" s="17" t="s">
        <v>553</v>
      </c>
      <c r="I337" s="16" t="s">
        <v>26</v>
      </c>
      <c r="J337" s="16" t="s">
        <v>26</v>
      </c>
      <c r="K337" s="16" t="s">
        <v>549</v>
      </c>
      <c r="L337" s="18" t="s">
        <v>28</v>
      </c>
      <c r="M337" s="18" t="s">
        <v>28</v>
      </c>
      <c r="N337" s="20">
        <v>2</v>
      </c>
      <c r="O337" s="16" t="s">
        <v>26</v>
      </c>
      <c r="P337" s="13">
        <v>33900</v>
      </c>
      <c r="Q337" s="13"/>
      <c r="R337" s="14">
        <f>IF(AND(P337&gt;0,Q337&gt;0),ROUND((1-Q337/P337)*100,0),0)</f>
        <v>0</v>
      </c>
    </row>
    <row r="338" ht="20" customHeight="1" spans="1:18" x14ac:dyDescent="0.25">
      <c r="A338" s="7" t="s">
        <v>1090</v>
      </c>
      <c r="B338" s="8" t="s">
        <v>1091</v>
      </c>
      <c r="C338" s="8" t="s">
        <v>1092</v>
      </c>
      <c r="D338" s="8" t="s">
        <v>712</v>
      </c>
      <c r="E338" s="9" t="s">
        <v>24</v>
      </c>
      <c r="F338" s="9" t="s">
        <v>25</v>
      </c>
      <c r="G338" s="9" t="s">
        <v>547</v>
      </c>
      <c r="H338" s="9" t="s">
        <v>548</v>
      </c>
      <c r="I338" s="8" t="s">
        <v>26</v>
      </c>
      <c r="J338" s="8" t="s">
        <v>26</v>
      </c>
      <c r="K338" s="8" t="s">
        <v>549</v>
      </c>
      <c r="L338" s="10" t="s">
        <v>28</v>
      </c>
      <c r="M338" s="10" t="s">
        <v>28</v>
      </c>
      <c r="N338" s="12">
        <v>2</v>
      </c>
      <c r="O338" s="8" t="s">
        <v>26</v>
      </c>
      <c r="P338" s="13">
        <v>66700</v>
      </c>
      <c r="Q338" s="13"/>
      <c r="R338" s="14">
        <f>IF(AND(P338&gt;0,Q338&gt;0),ROUND((1-Q338/P338)*100,0),0)</f>
        <v>0</v>
      </c>
    </row>
    <row r="339" ht="20" customHeight="1" spans="1:18" x14ac:dyDescent="0.25">
      <c r="A339" s="15" t="s">
        <v>1093</v>
      </c>
      <c r="B339" s="16" t="s">
        <v>1094</v>
      </c>
      <c r="C339" s="16" t="s">
        <v>1095</v>
      </c>
      <c r="D339" s="16" t="s">
        <v>712</v>
      </c>
      <c r="E339" s="17" t="s">
        <v>24</v>
      </c>
      <c r="F339" s="17" t="s">
        <v>25</v>
      </c>
      <c r="G339" s="17" t="s">
        <v>547</v>
      </c>
      <c r="H339" s="17" t="s">
        <v>548</v>
      </c>
      <c r="I339" s="16" t="s">
        <v>26</v>
      </c>
      <c r="J339" s="16" t="s">
        <v>26</v>
      </c>
      <c r="K339" s="16" t="s">
        <v>549</v>
      </c>
      <c r="L339" s="18" t="s">
        <v>28</v>
      </c>
      <c r="M339" s="18" t="s">
        <v>28</v>
      </c>
      <c r="N339" s="20">
        <v>2</v>
      </c>
      <c r="O339" s="16" t="s">
        <v>26</v>
      </c>
      <c r="P339" s="13">
        <v>62100</v>
      </c>
      <c r="Q339" s="13"/>
      <c r="R339" s="14">
        <f>IF(AND(P339&gt;0,Q339&gt;0),ROUND((1-Q339/P339)*100,0),0)</f>
        <v>0</v>
      </c>
    </row>
    <row r="340" ht="20" customHeight="1" spans="1:18" x14ac:dyDescent="0.25">
      <c r="A340" s="7" t="s">
        <v>1096</v>
      </c>
      <c r="B340" s="8" t="s">
        <v>1097</v>
      </c>
      <c r="C340" s="8" t="s">
        <v>733</v>
      </c>
      <c r="D340" s="8" t="s">
        <v>712</v>
      </c>
      <c r="E340" s="9" t="s">
        <v>24</v>
      </c>
      <c r="F340" s="9" t="s">
        <v>25</v>
      </c>
      <c r="G340" s="9" t="s">
        <v>547</v>
      </c>
      <c r="H340" s="9" t="s">
        <v>553</v>
      </c>
      <c r="I340" s="8" t="s">
        <v>26</v>
      </c>
      <c r="J340" s="8" t="s">
        <v>26</v>
      </c>
      <c r="K340" s="8" t="s">
        <v>549</v>
      </c>
      <c r="L340" s="10" t="s">
        <v>28</v>
      </c>
      <c r="M340" s="10" t="s">
        <v>28</v>
      </c>
      <c r="N340" s="12">
        <v>2</v>
      </c>
      <c r="O340" s="8" t="s">
        <v>26</v>
      </c>
      <c r="P340" s="13">
        <v>41000</v>
      </c>
      <c r="Q340" s="13"/>
      <c r="R340" s="14">
        <f>IF(AND(P340&gt;0,Q340&gt;0),ROUND((1-Q340/P340)*100,0),0)</f>
        <v>0</v>
      </c>
    </row>
    <row r="341" ht="20" customHeight="1" spans="1:18" x14ac:dyDescent="0.25">
      <c r="A341" s="15" t="s">
        <v>1098</v>
      </c>
      <c r="B341" s="16" t="s">
        <v>1099</v>
      </c>
      <c r="C341" s="16" t="s">
        <v>1100</v>
      </c>
      <c r="D341" s="16" t="s">
        <v>712</v>
      </c>
      <c r="E341" s="17" t="s">
        <v>24</v>
      </c>
      <c r="F341" s="17" t="s">
        <v>25</v>
      </c>
      <c r="G341" s="17" t="s">
        <v>547</v>
      </c>
      <c r="H341" s="17" t="s">
        <v>553</v>
      </c>
      <c r="I341" s="16" t="s">
        <v>26</v>
      </c>
      <c r="J341" s="16" t="s">
        <v>26</v>
      </c>
      <c r="K341" s="16" t="s">
        <v>549</v>
      </c>
      <c r="L341" s="18" t="s">
        <v>28</v>
      </c>
      <c r="M341" s="18" t="s">
        <v>28</v>
      </c>
      <c r="N341" s="20">
        <v>2</v>
      </c>
      <c r="O341" s="16" t="s">
        <v>26</v>
      </c>
      <c r="P341" s="13">
        <v>61200</v>
      </c>
      <c r="Q341" s="13"/>
      <c r="R341" s="14">
        <f>IF(AND(P341&gt;0,Q341&gt;0),ROUND((1-Q341/P341)*100,0),0)</f>
        <v>0</v>
      </c>
    </row>
    <row r="342" ht="20" customHeight="1" spans="1:18" x14ac:dyDescent="0.25">
      <c r="A342" s="7" t="s">
        <v>1101</v>
      </c>
      <c r="B342" s="8" t="s">
        <v>1102</v>
      </c>
      <c r="C342" s="8" t="s">
        <v>1103</v>
      </c>
      <c r="D342" s="8" t="s">
        <v>712</v>
      </c>
      <c r="E342" s="9" t="s">
        <v>24</v>
      </c>
      <c r="F342" s="9" t="s">
        <v>25</v>
      </c>
      <c r="G342" s="9" t="s">
        <v>547</v>
      </c>
      <c r="H342" s="9" t="s">
        <v>548</v>
      </c>
      <c r="I342" s="8" t="s">
        <v>26</v>
      </c>
      <c r="J342" s="8" t="s">
        <v>26</v>
      </c>
      <c r="K342" s="8" t="s">
        <v>549</v>
      </c>
      <c r="L342" s="10" t="s">
        <v>28</v>
      </c>
      <c r="M342" s="10" t="s">
        <v>28</v>
      </c>
      <c r="N342" s="12">
        <v>2</v>
      </c>
      <c r="O342" s="8" t="s">
        <v>26</v>
      </c>
      <c r="P342" s="13">
        <v>67300</v>
      </c>
      <c r="Q342" s="13"/>
      <c r="R342" s="14">
        <f>IF(AND(P342&gt;0,Q342&gt;0),ROUND((1-Q342/P342)*100,0),0)</f>
        <v>0</v>
      </c>
    </row>
    <row r="343" ht="20" customHeight="1" spans="1:18" x14ac:dyDescent="0.25">
      <c r="A343" s="15" t="s">
        <v>1104</v>
      </c>
      <c r="B343" s="16" t="s">
        <v>1105</v>
      </c>
      <c r="C343" s="16" t="s">
        <v>1106</v>
      </c>
      <c r="D343" s="16" t="s">
        <v>712</v>
      </c>
      <c r="E343" s="17" t="s">
        <v>24</v>
      </c>
      <c r="F343" s="17" t="s">
        <v>25</v>
      </c>
      <c r="G343" s="17" t="s">
        <v>547</v>
      </c>
      <c r="H343" s="17" t="s">
        <v>553</v>
      </c>
      <c r="I343" s="16" t="s">
        <v>26</v>
      </c>
      <c r="J343" s="16" t="s">
        <v>26</v>
      </c>
      <c r="K343" s="16" t="s">
        <v>549</v>
      </c>
      <c r="L343" s="18" t="s">
        <v>28</v>
      </c>
      <c r="M343" s="18" t="s">
        <v>28</v>
      </c>
      <c r="N343" s="20">
        <v>2</v>
      </c>
      <c r="O343" s="16" t="s">
        <v>26</v>
      </c>
      <c r="P343" s="13">
        <v>44600</v>
      </c>
      <c r="Q343" s="13"/>
      <c r="R343" s="14">
        <f>IF(AND(P343&gt;0,Q343&gt;0),ROUND((1-Q343/P343)*100,0),0)</f>
        <v>0</v>
      </c>
    </row>
    <row r="344" ht="20" customHeight="1" spans="1:18" x14ac:dyDescent="0.25">
      <c r="A344" s="7" t="s">
        <v>1107</v>
      </c>
      <c r="B344" s="8" t="s">
        <v>1108</v>
      </c>
      <c r="C344" s="8" t="s">
        <v>1109</v>
      </c>
      <c r="D344" s="8" t="s">
        <v>712</v>
      </c>
      <c r="E344" s="9" t="s">
        <v>24</v>
      </c>
      <c r="F344" s="9" t="s">
        <v>25</v>
      </c>
      <c r="G344" s="9" t="s">
        <v>578</v>
      </c>
      <c r="H344" s="9" t="s">
        <v>553</v>
      </c>
      <c r="I344" s="8" t="s">
        <v>26</v>
      </c>
      <c r="J344" s="8" t="s">
        <v>26</v>
      </c>
      <c r="K344" s="8" t="s">
        <v>549</v>
      </c>
      <c r="L344" s="10" t="s">
        <v>28</v>
      </c>
      <c r="M344" s="10" t="s">
        <v>28</v>
      </c>
      <c r="N344" s="12">
        <v>2</v>
      </c>
      <c r="O344" s="8" t="s">
        <v>26</v>
      </c>
      <c r="P344" s="13">
        <v>56200</v>
      </c>
      <c r="Q344" s="13"/>
      <c r="R344" s="14">
        <f>IF(AND(P344&gt;0,Q344&gt;0),ROUND((1-Q344/P344)*100,0),0)</f>
        <v>0</v>
      </c>
    </row>
    <row r="345" ht="20" customHeight="1" spans="1:18" x14ac:dyDescent="0.25">
      <c r="A345" s="15" t="s">
        <v>1110</v>
      </c>
      <c r="B345" s="16" t="s">
        <v>1111</v>
      </c>
      <c r="C345" s="16" t="s">
        <v>1112</v>
      </c>
      <c r="D345" s="16" t="s">
        <v>712</v>
      </c>
      <c r="E345" s="17" t="s">
        <v>24</v>
      </c>
      <c r="F345" s="17" t="s">
        <v>25</v>
      </c>
      <c r="G345" s="17" t="s">
        <v>578</v>
      </c>
      <c r="H345" s="17" t="s">
        <v>553</v>
      </c>
      <c r="I345" s="16" t="s">
        <v>26</v>
      </c>
      <c r="J345" s="16" t="s">
        <v>26</v>
      </c>
      <c r="K345" s="16" t="s">
        <v>549</v>
      </c>
      <c r="L345" s="18" t="s">
        <v>28</v>
      </c>
      <c r="M345" s="18" t="s">
        <v>28</v>
      </c>
      <c r="N345" s="20">
        <v>2</v>
      </c>
      <c r="O345" s="16" t="s">
        <v>26</v>
      </c>
      <c r="P345" s="13">
        <v>40800</v>
      </c>
      <c r="Q345" s="13"/>
      <c r="R345" s="14">
        <f>IF(AND(P345&gt;0,Q345&gt;0),ROUND((1-Q345/P345)*100,0),0)</f>
        <v>0</v>
      </c>
    </row>
    <row r="346" ht="20" customHeight="1" spans="1:18" x14ac:dyDescent="0.25">
      <c r="A346" s="7" t="s">
        <v>1113</v>
      </c>
      <c r="B346" s="8" t="s">
        <v>1114</v>
      </c>
      <c r="C346" s="8" t="s">
        <v>1115</v>
      </c>
      <c r="D346" s="8" t="s">
        <v>712</v>
      </c>
      <c r="E346" s="9" t="s">
        <v>24</v>
      </c>
      <c r="F346" s="9" t="s">
        <v>25</v>
      </c>
      <c r="G346" s="9" t="s">
        <v>547</v>
      </c>
      <c r="H346" s="9" t="s">
        <v>553</v>
      </c>
      <c r="I346" s="8" t="s">
        <v>26</v>
      </c>
      <c r="J346" s="8" t="s">
        <v>26</v>
      </c>
      <c r="K346" s="8" t="s">
        <v>549</v>
      </c>
      <c r="L346" s="10" t="s">
        <v>28</v>
      </c>
      <c r="M346" s="10" t="s">
        <v>28</v>
      </c>
      <c r="N346" s="12">
        <v>2</v>
      </c>
      <c r="O346" s="8" t="s">
        <v>26</v>
      </c>
      <c r="P346" s="13">
        <v>56500</v>
      </c>
      <c r="Q346" s="13"/>
      <c r="R346" s="14">
        <f>IF(AND(P346&gt;0,Q346&gt;0),ROUND((1-Q346/P346)*100,0),0)</f>
        <v>0</v>
      </c>
    </row>
    <row r="347" ht="20" customHeight="1" spans="1:18" x14ac:dyDescent="0.25">
      <c r="A347" s="15" t="s">
        <v>1116</v>
      </c>
      <c r="B347" s="16" t="s">
        <v>1117</v>
      </c>
      <c r="C347" s="16" t="s">
        <v>1118</v>
      </c>
      <c r="D347" s="16" t="s">
        <v>712</v>
      </c>
      <c r="E347" s="17" t="s">
        <v>24</v>
      </c>
      <c r="F347" s="17" t="s">
        <v>25</v>
      </c>
      <c r="G347" s="17" t="s">
        <v>547</v>
      </c>
      <c r="H347" s="17" t="s">
        <v>553</v>
      </c>
      <c r="I347" s="16" t="s">
        <v>26</v>
      </c>
      <c r="J347" s="16" t="s">
        <v>26</v>
      </c>
      <c r="K347" s="16" t="s">
        <v>549</v>
      </c>
      <c r="L347" s="18" t="s">
        <v>28</v>
      </c>
      <c r="M347" s="18" t="s">
        <v>28</v>
      </c>
      <c r="N347" s="20">
        <v>2</v>
      </c>
      <c r="O347" s="16" t="s">
        <v>26</v>
      </c>
      <c r="P347" s="13">
        <v>117600</v>
      </c>
      <c r="Q347" s="13"/>
      <c r="R347" s="14">
        <f>IF(AND(P347&gt;0,Q347&gt;0),ROUND((1-Q347/P347)*100,0),0)</f>
        <v>0</v>
      </c>
    </row>
    <row r="348" ht="20" customHeight="1" spans="1:18" x14ac:dyDescent="0.25">
      <c r="A348" s="7" t="s">
        <v>1119</v>
      </c>
      <c r="B348" s="8" t="s">
        <v>1120</v>
      </c>
      <c r="C348" s="8" t="s">
        <v>1121</v>
      </c>
      <c r="D348" s="8" t="s">
        <v>712</v>
      </c>
      <c r="E348" s="9" t="s">
        <v>24</v>
      </c>
      <c r="F348" s="9" t="s">
        <v>25</v>
      </c>
      <c r="G348" s="9" t="s">
        <v>578</v>
      </c>
      <c r="H348" s="9" t="s">
        <v>553</v>
      </c>
      <c r="I348" s="8" t="s">
        <v>26</v>
      </c>
      <c r="J348" s="8" t="s">
        <v>26</v>
      </c>
      <c r="K348" s="8" t="s">
        <v>549</v>
      </c>
      <c r="L348" s="10" t="s">
        <v>28</v>
      </c>
      <c r="M348" s="10" t="s">
        <v>28</v>
      </c>
      <c r="N348" s="12">
        <v>2</v>
      </c>
      <c r="O348" s="8" t="s">
        <v>26</v>
      </c>
      <c r="P348" s="13">
        <v>56200</v>
      </c>
      <c r="Q348" s="13"/>
      <c r="R348" s="14">
        <f>IF(AND(P348&gt;0,Q348&gt;0),ROUND((1-Q348/P348)*100,0),0)</f>
        <v>0</v>
      </c>
    </row>
    <row r="349" ht="20" customHeight="1" spans="1:18" x14ac:dyDescent="0.25">
      <c r="A349" s="15" t="s">
        <v>1122</v>
      </c>
      <c r="B349" s="16" t="s">
        <v>1123</v>
      </c>
      <c r="C349" s="16" t="s">
        <v>1124</v>
      </c>
      <c r="D349" s="16" t="s">
        <v>712</v>
      </c>
      <c r="E349" s="17" t="s">
        <v>24</v>
      </c>
      <c r="F349" s="17" t="s">
        <v>25</v>
      </c>
      <c r="G349" s="17" t="s">
        <v>578</v>
      </c>
      <c r="H349" s="17" t="s">
        <v>548</v>
      </c>
      <c r="I349" s="16" t="s">
        <v>26</v>
      </c>
      <c r="J349" s="16" t="s">
        <v>26</v>
      </c>
      <c r="K349" s="16" t="s">
        <v>549</v>
      </c>
      <c r="L349" s="18" t="s">
        <v>28</v>
      </c>
      <c r="M349" s="18" t="s">
        <v>28</v>
      </c>
      <c r="N349" s="20">
        <v>2</v>
      </c>
      <c r="O349" s="16" t="s">
        <v>26</v>
      </c>
      <c r="P349" s="13">
        <v>60000</v>
      </c>
      <c r="Q349" s="13"/>
      <c r="R349" s="14">
        <f>IF(AND(P349&gt;0,Q349&gt;0),ROUND((1-Q349/P349)*100,0),0)</f>
        <v>0</v>
      </c>
    </row>
    <row r="350" ht="20" customHeight="1" spans="1:18" x14ac:dyDescent="0.25">
      <c r="A350" s="7" t="s">
        <v>1125</v>
      </c>
      <c r="B350" s="8" t="s">
        <v>1126</v>
      </c>
      <c r="C350" s="8" t="s">
        <v>1127</v>
      </c>
      <c r="D350" s="8" t="s">
        <v>712</v>
      </c>
      <c r="E350" s="9" t="s">
        <v>24</v>
      </c>
      <c r="F350" s="9" t="s">
        <v>25</v>
      </c>
      <c r="G350" s="9" t="s">
        <v>578</v>
      </c>
      <c r="H350" s="9" t="s">
        <v>553</v>
      </c>
      <c r="I350" s="8" t="s">
        <v>26</v>
      </c>
      <c r="J350" s="8" t="s">
        <v>26</v>
      </c>
      <c r="K350" s="8" t="s">
        <v>549</v>
      </c>
      <c r="L350" s="10" t="s">
        <v>28</v>
      </c>
      <c r="M350" s="10" t="s">
        <v>28</v>
      </c>
      <c r="N350" s="12">
        <v>2</v>
      </c>
      <c r="O350" s="8" t="s">
        <v>26</v>
      </c>
      <c r="P350" s="13">
        <v>40500</v>
      </c>
      <c r="Q350" s="13"/>
      <c r="R350" s="14">
        <f>IF(AND(P350&gt;0,Q350&gt;0),ROUND((1-Q350/P350)*100,0),0)</f>
        <v>0</v>
      </c>
    </row>
    <row r="351" ht="20" customHeight="1" spans="1:18" x14ac:dyDescent="0.25">
      <c r="A351" s="15" t="s">
        <v>1128</v>
      </c>
      <c r="B351" s="16" t="s">
        <v>1129</v>
      </c>
      <c r="C351" s="16" t="s">
        <v>1130</v>
      </c>
      <c r="D351" s="16" t="s">
        <v>712</v>
      </c>
      <c r="E351" s="17" t="s">
        <v>24</v>
      </c>
      <c r="F351" s="17" t="s">
        <v>25</v>
      </c>
      <c r="G351" s="17" t="s">
        <v>547</v>
      </c>
      <c r="H351" s="17" t="s">
        <v>553</v>
      </c>
      <c r="I351" s="16" t="s">
        <v>26</v>
      </c>
      <c r="J351" s="16" t="s">
        <v>26</v>
      </c>
      <c r="K351" s="16" t="s">
        <v>549</v>
      </c>
      <c r="L351" s="18" t="s">
        <v>28</v>
      </c>
      <c r="M351" s="18" t="s">
        <v>28</v>
      </c>
      <c r="N351" s="20">
        <v>2</v>
      </c>
      <c r="O351" s="16" t="s">
        <v>26</v>
      </c>
      <c r="P351" s="13">
        <v>62400</v>
      </c>
      <c r="Q351" s="13"/>
      <c r="R351" s="14">
        <f>IF(AND(P351&gt;0,Q351&gt;0),ROUND((1-Q351/P351)*100,0),0)</f>
        <v>0</v>
      </c>
    </row>
    <row r="352" ht="20" customHeight="1" spans="1:18" x14ac:dyDescent="0.25">
      <c r="A352" s="7" t="s">
        <v>1131</v>
      </c>
      <c r="B352" s="8" t="s">
        <v>1132</v>
      </c>
      <c r="C352" s="8" t="s">
        <v>1133</v>
      </c>
      <c r="D352" s="8" t="s">
        <v>712</v>
      </c>
      <c r="E352" s="9" t="s">
        <v>24</v>
      </c>
      <c r="F352" s="9" t="s">
        <v>25</v>
      </c>
      <c r="G352" s="9" t="s">
        <v>547</v>
      </c>
      <c r="H352" s="9" t="s">
        <v>553</v>
      </c>
      <c r="I352" s="8" t="s">
        <v>26</v>
      </c>
      <c r="J352" s="8" t="s">
        <v>26</v>
      </c>
      <c r="K352" s="8" t="s">
        <v>549</v>
      </c>
      <c r="L352" s="10" t="s">
        <v>28</v>
      </c>
      <c r="M352" s="10" t="s">
        <v>28</v>
      </c>
      <c r="N352" s="12">
        <v>2</v>
      </c>
      <c r="O352" s="8" t="s">
        <v>26</v>
      </c>
      <c r="P352" s="13">
        <v>45800</v>
      </c>
      <c r="Q352" s="13"/>
      <c r="R352" s="14">
        <f>IF(AND(P352&gt;0,Q352&gt;0),ROUND((1-Q352/P352)*100,0),0)</f>
        <v>0</v>
      </c>
    </row>
    <row r="353" ht="20" customHeight="1" spans="1:18" x14ac:dyDescent="0.25">
      <c r="A353" s="15" t="s">
        <v>1134</v>
      </c>
      <c r="B353" s="16" t="s">
        <v>1135</v>
      </c>
      <c r="C353" s="16" t="s">
        <v>1136</v>
      </c>
      <c r="D353" s="16" t="s">
        <v>712</v>
      </c>
      <c r="E353" s="17" t="s">
        <v>24</v>
      </c>
      <c r="F353" s="17" t="s">
        <v>25</v>
      </c>
      <c r="G353" s="17" t="s">
        <v>578</v>
      </c>
      <c r="H353" s="17" t="s">
        <v>553</v>
      </c>
      <c r="I353" s="16" t="s">
        <v>26</v>
      </c>
      <c r="J353" s="16" t="s">
        <v>26</v>
      </c>
      <c r="K353" s="16" t="s">
        <v>549</v>
      </c>
      <c r="L353" s="18" t="s">
        <v>28</v>
      </c>
      <c r="M353" s="18" t="s">
        <v>28</v>
      </c>
      <c r="N353" s="20">
        <v>2</v>
      </c>
      <c r="O353" s="16" t="s">
        <v>26</v>
      </c>
      <c r="P353" s="13">
        <v>58900</v>
      </c>
      <c r="Q353" s="13"/>
      <c r="R353" s="14">
        <f>IF(AND(P353&gt;0,Q353&gt;0),ROUND((1-Q353/P353)*100,0),0)</f>
        <v>0</v>
      </c>
    </row>
    <row r="354" ht="20" customHeight="1" spans="1:18" x14ac:dyDescent="0.25">
      <c r="A354" s="7" t="s">
        <v>1137</v>
      </c>
      <c r="B354" s="8" t="s">
        <v>1138</v>
      </c>
      <c r="C354" s="8" t="s">
        <v>1139</v>
      </c>
      <c r="D354" s="8" t="s">
        <v>712</v>
      </c>
      <c r="E354" s="9" t="s">
        <v>24</v>
      </c>
      <c r="F354" s="9" t="s">
        <v>25</v>
      </c>
      <c r="G354" s="9" t="s">
        <v>578</v>
      </c>
      <c r="H354" s="9" t="s">
        <v>553</v>
      </c>
      <c r="I354" s="8" t="s">
        <v>26</v>
      </c>
      <c r="J354" s="8" t="s">
        <v>26</v>
      </c>
      <c r="K354" s="8" t="s">
        <v>549</v>
      </c>
      <c r="L354" s="10" t="s">
        <v>28</v>
      </c>
      <c r="M354" s="10" t="s">
        <v>28</v>
      </c>
      <c r="N354" s="12">
        <v>2</v>
      </c>
      <c r="O354" s="8" t="s">
        <v>26</v>
      </c>
      <c r="P354" s="13">
        <v>44600</v>
      </c>
      <c r="Q354" s="13"/>
      <c r="R354" s="14">
        <f>IF(AND(P354&gt;0,Q354&gt;0),ROUND((1-Q354/P354)*100,0),0)</f>
        <v>0</v>
      </c>
    </row>
    <row r="355" ht="20" customHeight="1" spans="1:18" x14ac:dyDescent="0.25">
      <c r="A355" s="15" t="s">
        <v>1140</v>
      </c>
      <c r="B355" s="16" t="s">
        <v>1141</v>
      </c>
      <c r="C355" s="16" t="s">
        <v>1142</v>
      </c>
      <c r="D355" s="16" t="s">
        <v>712</v>
      </c>
      <c r="E355" s="17" t="s">
        <v>24</v>
      </c>
      <c r="F355" s="17" t="s">
        <v>25</v>
      </c>
      <c r="G355" s="17" t="s">
        <v>547</v>
      </c>
      <c r="H355" s="17" t="s">
        <v>553</v>
      </c>
      <c r="I355" s="16" t="s">
        <v>26</v>
      </c>
      <c r="J355" s="16" t="s">
        <v>26</v>
      </c>
      <c r="K355" s="16" t="s">
        <v>549</v>
      </c>
      <c r="L355" s="18" t="s">
        <v>28</v>
      </c>
      <c r="M355" s="18" t="s">
        <v>28</v>
      </c>
      <c r="N355" s="20">
        <v>2</v>
      </c>
      <c r="O355" s="16" t="s">
        <v>26</v>
      </c>
      <c r="P355" s="13">
        <v>60600</v>
      </c>
      <c r="Q355" s="13"/>
      <c r="R355" s="14">
        <f>IF(AND(P355&gt;0,Q355&gt;0),ROUND((1-Q355/P355)*100,0),0)</f>
        <v>0</v>
      </c>
    </row>
    <row r="356" ht="20" customHeight="1" spans="1:18" x14ac:dyDescent="0.25">
      <c r="A356" s="7" t="s">
        <v>1143</v>
      </c>
      <c r="B356" s="8" t="s">
        <v>1144</v>
      </c>
      <c r="C356" s="8" t="s">
        <v>1145</v>
      </c>
      <c r="D356" s="8" t="s">
        <v>712</v>
      </c>
      <c r="E356" s="9" t="s">
        <v>24</v>
      </c>
      <c r="F356" s="9" t="s">
        <v>25</v>
      </c>
      <c r="G356" s="9" t="s">
        <v>547</v>
      </c>
      <c r="H356" s="9" t="s">
        <v>553</v>
      </c>
      <c r="I356" s="8" t="s">
        <v>26</v>
      </c>
      <c r="J356" s="8" t="s">
        <v>26</v>
      </c>
      <c r="K356" s="8" t="s">
        <v>549</v>
      </c>
      <c r="L356" s="10" t="s">
        <v>28</v>
      </c>
      <c r="M356" s="10" t="s">
        <v>28</v>
      </c>
      <c r="N356" s="12">
        <v>2</v>
      </c>
      <c r="O356" s="8" t="s">
        <v>26</v>
      </c>
      <c r="P356" s="13">
        <v>45200</v>
      </c>
      <c r="Q356" s="13"/>
      <c r="R356" s="14">
        <f>IF(AND(P356&gt;0,Q356&gt;0),ROUND((1-Q356/P356)*100,0),0)</f>
        <v>0</v>
      </c>
    </row>
    <row r="357" ht="20" customHeight="1" spans="1:18" x14ac:dyDescent="0.25">
      <c r="A357" s="15" t="s">
        <v>1146</v>
      </c>
      <c r="B357" s="16" t="s">
        <v>1147</v>
      </c>
      <c r="C357" s="16" t="s">
        <v>1148</v>
      </c>
      <c r="D357" s="16" t="s">
        <v>712</v>
      </c>
      <c r="E357" s="17" t="s">
        <v>24</v>
      </c>
      <c r="F357" s="17" t="s">
        <v>25</v>
      </c>
      <c r="G357" s="17" t="s">
        <v>547</v>
      </c>
      <c r="H357" s="17" t="s">
        <v>553</v>
      </c>
      <c r="I357" s="16" t="s">
        <v>26</v>
      </c>
      <c r="J357" s="16" t="s">
        <v>26</v>
      </c>
      <c r="K357" s="16" t="s">
        <v>549</v>
      </c>
      <c r="L357" s="18" t="s">
        <v>28</v>
      </c>
      <c r="M357" s="18" t="s">
        <v>28</v>
      </c>
      <c r="N357" s="20">
        <v>2</v>
      </c>
      <c r="O357" s="16" t="s">
        <v>26</v>
      </c>
      <c r="P357" s="13">
        <v>126200</v>
      </c>
      <c r="Q357" s="13">
        <v>75720</v>
      </c>
      <c r="R357" s="14">
        <f>IF(AND(P357&gt;0,Q357&gt;0),ROUND((1-Q357/P357)*100,0),0)</f>
        <v>40</v>
      </c>
    </row>
    <row r="358" ht="20" customHeight="1" spans="1:18" x14ac:dyDescent="0.25">
      <c r="A358" s="7" t="s">
        <v>1149</v>
      </c>
      <c r="B358" s="8" t="s">
        <v>1150</v>
      </c>
      <c r="C358" s="8" t="s">
        <v>1151</v>
      </c>
      <c r="D358" s="8" t="s">
        <v>712</v>
      </c>
      <c r="E358" s="9" t="s">
        <v>24</v>
      </c>
      <c r="F358" s="9" t="s">
        <v>25</v>
      </c>
      <c r="G358" s="9" t="s">
        <v>547</v>
      </c>
      <c r="H358" s="9" t="s">
        <v>553</v>
      </c>
      <c r="I358" s="8" t="s">
        <v>26</v>
      </c>
      <c r="J358" s="8" t="s">
        <v>26</v>
      </c>
      <c r="K358" s="8" t="s">
        <v>549</v>
      </c>
      <c r="L358" s="10" t="s">
        <v>28</v>
      </c>
      <c r="M358" s="10" t="s">
        <v>28</v>
      </c>
      <c r="N358" s="12">
        <v>2</v>
      </c>
      <c r="O358" s="8" t="s">
        <v>26</v>
      </c>
      <c r="P358" s="13">
        <v>56500</v>
      </c>
      <c r="Q358" s="13"/>
      <c r="R358" s="14">
        <f>IF(AND(P358&gt;0,Q358&gt;0),ROUND((1-Q358/P358)*100,0),0)</f>
        <v>0</v>
      </c>
    </row>
    <row r="359" ht="20" customHeight="1" spans="1:18" x14ac:dyDescent="0.25">
      <c r="A359" s="15" t="s">
        <v>1152</v>
      </c>
      <c r="B359" s="16" t="s">
        <v>1153</v>
      </c>
      <c r="C359" s="16" t="s">
        <v>1154</v>
      </c>
      <c r="D359" s="16" t="s">
        <v>712</v>
      </c>
      <c r="E359" s="17" t="s">
        <v>24</v>
      </c>
      <c r="F359" s="17" t="s">
        <v>25</v>
      </c>
      <c r="G359" s="17" t="s">
        <v>547</v>
      </c>
      <c r="H359" s="17" t="s">
        <v>548</v>
      </c>
      <c r="I359" s="16" t="s">
        <v>26</v>
      </c>
      <c r="J359" s="16" t="s">
        <v>26</v>
      </c>
      <c r="K359" s="16" t="s">
        <v>549</v>
      </c>
      <c r="L359" s="18" t="s">
        <v>28</v>
      </c>
      <c r="M359" s="18" t="s">
        <v>28</v>
      </c>
      <c r="N359" s="20">
        <v>2</v>
      </c>
      <c r="O359" s="16" t="s">
        <v>26</v>
      </c>
      <c r="P359" s="13">
        <v>62100</v>
      </c>
      <c r="Q359" s="13"/>
      <c r="R359" s="14">
        <f>IF(AND(P359&gt;0,Q359&gt;0),ROUND((1-Q359/P359)*100,0),0)</f>
        <v>0</v>
      </c>
    </row>
    <row r="360" ht="20" customHeight="1" spans="1:18" x14ac:dyDescent="0.25">
      <c r="A360" s="7" t="s">
        <v>1155</v>
      </c>
      <c r="B360" s="8" t="s">
        <v>1156</v>
      </c>
      <c r="C360" s="8" t="s">
        <v>1157</v>
      </c>
      <c r="D360" s="8" t="s">
        <v>712</v>
      </c>
      <c r="E360" s="9" t="s">
        <v>24</v>
      </c>
      <c r="F360" s="9" t="s">
        <v>25</v>
      </c>
      <c r="G360" s="9" t="s">
        <v>547</v>
      </c>
      <c r="H360" s="9" t="s">
        <v>553</v>
      </c>
      <c r="I360" s="8" t="s">
        <v>26</v>
      </c>
      <c r="J360" s="8" t="s">
        <v>26</v>
      </c>
      <c r="K360" s="8" t="s">
        <v>549</v>
      </c>
      <c r="L360" s="10" t="s">
        <v>28</v>
      </c>
      <c r="M360" s="10" t="s">
        <v>28</v>
      </c>
      <c r="N360" s="12">
        <v>2</v>
      </c>
      <c r="O360" s="8" t="s">
        <v>26</v>
      </c>
      <c r="P360" s="13">
        <v>33300</v>
      </c>
      <c r="Q360" s="13"/>
      <c r="R360" s="14">
        <f>IF(AND(P360&gt;0,Q360&gt;0),ROUND((1-Q360/P360)*100,0),0)</f>
        <v>0</v>
      </c>
    </row>
    <row r="361" ht="20" customHeight="1" spans="1:18" x14ac:dyDescent="0.25">
      <c r="A361" s="15" t="s">
        <v>1158</v>
      </c>
      <c r="B361" s="16" t="s">
        <v>1159</v>
      </c>
      <c r="C361" s="16" t="s">
        <v>748</v>
      </c>
      <c r="D361" s="16" t="s">
        <v>712</v>
      </c>
      <c r="E361" s="17" t="s">
        <v>24</v>
      </c>
      <c r="F361" s="17" t="s">
        <v>25</v>
      </c>
      <c r="G361" s="17" t="s">
        <v>547</v>
      </c>
      <c r="H361" s="17" t="s">
        <v>553</v>
      </c>
      <c r="I361" s="16" t="s">
        <v>26</v>
      </c>
      <c r="J361" s="16" t="s">
        <v>26</v>
      </c>
      <c r="K361" s="16" t="s">
        <v>549</v>
      </c>
      <c r="L361" s="18" t="s">
        <v>28</v>
      </c>
      <c r="M361" s="18" t="s">
        <v>28</v>
      </c>
      <c r="N361" s="20">
        <v>2</v>
      </c>
      <c r="O361" s="16" t="s">
        <v>26</v>
      </c>
      <c r="P361" s="13">
        <v>46600</v>
      </c>
      <c r="Q361" s="13"/>
      <c r="R361" s="14">
        <f>IF(AND(P361&gt;0,Q361&gt;0),ROUND((1-Q361/P361)*100,0),0)</f>
        <v>0</v>
      </c>
    </row>
    <row r="362" ht="20" customHeight="1" spans="1:18" x14ac:dyDescent="0.25">
      <c r="A362" s="7" t="s">
        <v>1160</v>
      </c>
      <c r="B362" s="8" t="s">
        <v>1161</v>
      </c>
      <c r="C362" s="8" t="s">
        <v>1162</v>
      </c>
      <c r="D362" s="8" t="s">
        <v>712</v>
      </c>
      <c r="E362" s="9" t="s">
        <v>24</v>
      </c>
      <c r="F362" s="9" t="s">
        <v>25</v>
      </c>
      <c r="G362" s="9" t="s">
        <v>547</v>
      </c>
      <c r="H362" s="9" t="s">
        <v>548</v>
      </c>
      <c r="I362" s="8" t="s">
        <v>26</v>
      </c>
      <c r="J362" s="8" t="s">
        <v>26</v>
      </c>
      <c r="K362" s="8" t="s">
        <v>549</v>
      </c>
      <c r="L362" s="10" t="s">
        <v>28</v>
      </c>
      <c r="M362" s="10" t="s">
        <v>28</v>
      </c>
      <c r="N362" s="12">
        <v>2</v>
      </c>
      <c r="O362" s="8" t="s">
        <v>26</v>
      </c>
      <c r="P362" s="13">
        <v>51200</v>
      </c>
      <c r="Q362" s="13"/>
      <c r="R362" s="14">
        <f>IF(AND(P362&gt;0,Q362&gt;0),ROUND((1-Q362/P362)*100,0),0)</f>
        <v>0</v>
      </c>
    </row>
    <row r="363" ht="20" customHeight="1" spans="1:18" x14ac:dyDescent="0.25">
      <c r="A363" s="15" t="s">
        <v>1163</v>
      </c>
      <c r="B363" s="16" t="s">
        <v>1164</v>
      </c>
      <c r="C363" s="16" t="s">
        <v>1165</v>
      </c>
      <c r="D363" s="16" t="s">
        <v>1166</v>
      </c>
      <c r="E363" s="17" t="s">
        <v>24</v>
      </c>
      <c r="F363" s="17" t="s">
        <v>25</v>
      </c>
      <c r="G363" s="17" t="s">
        <v>578</v>
      </c>
      <c r="H363" s="17" t="s">
        <v>553</v>
      </c>
      <c r="I363" s="16" t="s">
        <v>26</v>
      </c>
      <c r="J363" s="16" t="s">
        <v>26</v>
      </c>
      <c r="K363" s="16" t="s">
        <v>549</v>
      </c>
      <c r="L363" s="18" t="s">
        <v>28</v>
      </c>
      <c r="M363" s="18" t="s">
        <v>28</v>
      </c>
      <c r="N363" s="20">
        <v>2</v>
      </c>
      <c r="O363" s="16" t="s">
        <v>26</v>
      </c>
      <c r="P363" s="13">
        <v>42700</v>
      </c>
      <c r="Q363" s="13"/>
      <c r="R363" s="14">
        <f>IF(AND(P363&gt;0,Q363&gt;0),ROUND((1-Q363/P363)*100,0),0)</f>
        <v>0</v>
      </c>
    </row>
    <row r="364" ht="20" customHeight="1" spans="1:18" x14ac:dyDescent="0.25">
      <c r="A364" s="7" t="s">
        <v>1167</v>
      </c>
      <c r="B364" s="8" t="s">
        <v>1168</v>
      </c>
      <c r="C364" s="8" t="s">
        <v>1169</v>
      </c>
      <c r="D364" s="8" t="s">
        <v>1170</v>
      </c>
      <c r="E364" s="9" t="s">
        <v>24</v>
      </c>
      <c r="F364" s="9" t="s">
        <v>25</v>
      </c>
      <c r="G364" s="9" t="s">
        <v>547</v>
      </c>
      <c r="H364" s="9" t="s">
        <v>1171</v>
      </c>
      <c r="I364" s="8" t="s">
        <v>26</v>
      </c>
      <c r="J364" s="8" t="s">
        <v>26</v>
      </c>
      <c r="K364" s="8" t="s">
        <v>26</v>
      </c>
      <c r="L364" s="10" t="s">
        <v>28</v>
      </c>
      <c r="M364" s="10" t="s">
        <v>28</v>
      </c>
      <c r="N364" s="12">
        <v>0</v>
      </c>
      <c r="O364" s="8" t="s">
        <v>26</v>
      </c>
      <c r="P364" s="13"/>
      <c r="Q364" s="13"/>
      <c r="R364" s="14">
        <f>IF(AND(P364&gt;0,Q364&gt;0),ROUND((1-Q364/P364)*100,0),0)</f>
        <v>0</v>
      </c>
    </row>
    <row r="365" ht="20" customHeight="1" spans="1:18" x14ac:dyDescent="0.25">
      <c r="A365" s="15" t="s">
        <v>1172</v>
      </c>
      <c r="B365" s="16" t="s">
        <v>1173</v>
      </c>
      <c r="C365" s="16" t="s">
        <v>1174</v>
      </c>
      <c r="D365" s="16" t="s">
        <v>1170</v>
      </c>
      <c r="E365" s="17" t="s">
        <v>26</v>
      </c>
      <c r="F365" s="17" t="s">
        <v>26</v>
      </c>
      <c r="G365" s="17" t="s">
        <v>26</v>
      </c>
      <c r="H365" s="17" t="s">
        <v>26</v>
      </c>
      <c r="I365" s="16" t="s">
        <v>26</v>
      </c>
      <c r="J365" s="16" t="s">
        <v>26</v>
      </c>
      <c r="K365" s="16" t="s">
        <v>26</v>
      </c>
      <c r="L365" s="18" t="s">
        <v>28</v>
      </c>
      <c r="M365" s="18" t="s">
        <v>28</v>
      </c>
      <c r="N365" s="20">
        <v>0</v>
      </c>
      <c r="O365" s="16" t="s">
        <v>26</v>
      </c>
      <c r="P365" s="13"/>
      <c r="Q365" s="13"/>
      <c r="R365" s="14">
        <f>IF(AND(P365&gt;0,Q365&gt;0),ROUND((1-Q365/P365)*100,0),0)</f>
        <v>0</v>
      </c>
    </row>
    <row r="366" ht="20" customHeight="1" spans="1:18" x14ac:dyDescent="0.25">
      <c r="A366" s="7" t="s">
        <v>1175</v>
      </c>
      <c r="B366" s="8" t="s">
        <v>1176</v>
      </c>
      <c r="C366" s="8" t="s">
        <v>1177</v>
      </c>
      <c r="D366" s="8" t="s">
        <v>1170</v>
      </c>
      <c r="E366" s="9" t="s">
        <v>26</v>
      </c>
      <c r="F366" s="9" t="s">
        <v>26</v>
      </c>
      <c r="G366" s="9" t="s">
        <v>26</v>
      </c>
      <c r="H366" s="9" t="s">
        <v>26</v>
      </c>
      <c r="I366" s="8" t="s">
        <v>26</v>
      </c>
      <c r="J366" s="8" t="s">
        <v>26</v>
      </c>
      <c r="K366" s="8" t="s">
        <v>26</v>
      </c>
      <c r="L366" s="10" t="s">
        <v>28</v>
      </c>
      <c r="M366" s="10" t="s">
        <v>28</v>
      </c>
      <c r="N366" s="12">
        <v>0</v>
      </c>
      <c r="O366" s="8" t="s">
        <v>26</v>
      </c>
      <c r="P366" s="13"/>
      <c r="Q366" s="13"/>
      <c r="R366" s="14">
        <f>IF(AND(P366&gt;0,Q366&gt;0),ROUND((1-Q366/P366)*100,0),0)</f>
        <v>0</v>
      </c>
    </row>
    <row r="367" ht="20" customHeight="1" spans="1:18" x14ac:dyDescent="0.25">
      <c r="A367" s="15" t="s">
        <v>1178</v>
      </c>
      <c r="B367" s="16" t="s">
        <v>1179</v>
      </c>
      <c r="C367" s="16" t="s">
        <v>1180</v>
      </c>
      <c r="D367" s="16" t="s">
        <v>1170</v>
      </c>
      <c r="E367" s="17" t="s">
        <v>26</v>
      </c>
      <c r="F367" s="17" t="s">
        <v>26</v>
      </c>
      <c r="G367" s="17" t="s">
        <v>26</v>
      </c>
      <c r="H367" s="17" t="s">
        <v>26</v>
      </c>
      <c r="I367" s="16" t="s">
        <v>26</v>
      </c>
      <c r="J367" s="16" t="s">
        <v>26</v>
      </c>
      <c r="K367" s="16" t="s">
        <v>26</v>
      </c>
      <c r="L367" s="18" t="s">
        <v>28</v>
      </c>
      <c r="M367" s="18" t="s">
        <v>28</v>
      </c>
      <c r="N367" s="20">
        <v>0</v>
      </c>
      <c r="O367" s="16" t="s">
        <v>26</v>
      </c>
      <c r="P367" s="13"/>
      <c r="Q367" s="13"/>
      <c r="R367" s="14">
        <f>IF(AND(P367&gt;0,Q367&gt;0),ROUND((1-Q367/P367)*100,0),0)</f>
        <v>0</v>
      </c>
    </row>
    <row r="368" ht="20" customHeight="1" spans="1:18" x14ac:dyDescent="0.25">
      <c r="A368" s="7" t="s">
        <v>1181</v>
      </c>
      <c r="B368" s="8" t="s">
        <v>1182</v>
      </c>
      <c r="C368" s="8" t="s">
        <v>1183</v>
      </c>
      <c r="D368" s="8" t="s">
        <v>1170</v>
      </c>
      <c r="E368" s="9" t="s">
        <v>26</v>
      </c>
      <c r="F368" s="9" t="s">
        <v>26</v>
      </c>
      <c r="G368" s="9" t="s">
        <v>26</v>
      </c>
      <c r="H368" s="9" t="s">
        <v>26</v>
      </c>
      <c r="I368" s="8" t="s">
        <v>26</v>
      </c>
      <c r="J368" s="8" t="s">
        <v>26</v>
      </c>
      <c r="K368" s="8" t="s">
        <v>26</v>
      </c>
      <c r="L368" s="10" t="s">
        <v>28</v>
      </c>
      <c r="M368" s="10" t="s">
        <v>28</v>
      </c>
      <c r="N368" s="12">
        <v>0</v>
      </c>
      <c r="O368" s="8" t="s">
        <v>26</v>
      </c>
      <c r="P368" s="13"/>
      <c r="Q368" s="13"/>
      <c r="R368" s="14">
        <f>IF(AND(P368&gt;0,Q368&gt;0),ROUND((1-Q368/P368)*100,0),0)</f>
        <v>0</v>
      </c>
    </row>
    <row r="369" ht="20" customHeight="1" spans="1:18" x14ac:dyDescent="0.25">
      <c r="A369" s="15" t="s">
        <v>1184</v>
      </c>
      <c r="B369" s="16" t="s">
        <v>1185</v>
      </c>
      <c r="C369" s="16" t="s">
        <v>1186</v>
      </c>
      <c r="D369" s="16" t="s">
        <v>1170</v>
      </c>
      <c r="E369" s="17" t="s">
        <v>26</v>
      </c>
      <c r="F369" s="17" t="s">
        <v>26</v>
      </c>
      <c r="G369" s="17" t="s">
        <v>26</v>
      </c>
      <c r="H369" s="17" t="s">
        <v>26</v>
      </c>
      <c r="I369" s="16" t="s">
        <v>26</v>
      </c>
      <c r="J369" s="16" t="s">
        <v>26</v>
      </c>
      <c r="K369" s="16" t="s">
        <v>26</v>
      </c>
      <c r="L369" s="18" t="s">
        <v>28</v>
      </c>
      <c r="M369" s="18" t="s">
        <v>28</v>
      </c>
      <c r="N369" s="20">
        <v>0</v>
      </c>
      <c r="O369" s="16" t="s">
        <v>26</v>
      </c>
      <c r="P369" s="13"/>
      <c r="Q369" s="13"/>
      <c r="R369" s="14">
        <f>IF(AND(P369&gt;0,Q369&gt;0),ROUND((1-Q369/P369)*100,0),0)</f>
        <v>0</v>
      </c>
    </row>
    <row r="370" ht="20" customHeight="1" spans="1:18" x14ac:dyDescent="0.25">
      <c r="A370" s="7" t="s">
        <v>1187</v>
      </c>
      <c r="B370" s="8" t="s">
        <v>1188</v>
      </c>
      <c r="C370" s="8" t="s">
        <v>1189</v>
      </c>
      <c r="D370" s="8" t="s">
        <v>1170</v>
      </c>
      <c r="E370" s="9" t="s">
        <v>26</v>
      </c>
      <c r="F370" s="9" t="s">
        <v>26</v>
      </c>
      <c r="G370" s="9" t="s">
        <v>26</v>
      </c>
      <c r="H370" s="9" t="s">
        <v>26</v>
      </c>
      <c r="I370" s="8" t="s">
        <v>26</v>
      </c>
      <c r="J370" s="8" t="s">
        <v>26</v>
      </c>
      <c r="K370" s="8" t="s">
        <v>26</v>
      </c>
      <c r="L370" s="10" t="s">
        <v>28</v>
      </c>
      <c r="M370" s="10" t="s">
        <v>28</v>
      </c>
      <c r="N370" s="12">
        <v>0</v>
      </c>
      <c r="O370" s="8" t="s">
        <v>26</v>
      </c>
      <c r="P370" s="13"/>
      <c r="Q370" s="13"/>
      <c r="R370" s="14">
        <f>IF(AND(P370&gt;0,Q370&gt;0),ROUND((1-Q370/P370)*100,0),0)</f>
        <v>0</v>
      </c>
    </row>
    <row r="371" ht="20" customHeight="1" spans="1:18" x14ac:dyDescent="0.25">
      <c r="A371" s="15" t="s">
        <v>1190</v>
      </c>
      <c r="B371" s="16" t="s">
        <v>1191</v>
      </c>
      <c r="C371" s="16" t="s">
        <v>1192</v>
      </c>
      <c r="D371" s="16" t="s">
        <v>1170</v>
      </c>
      <c r="E371" s="17" t="s">
        <v>26</v>
      </c>
      <c r="F371" s="17" t="s">
        <v>26</v>
      </c>
      <c r="G371" s="17" t="s">
        <v>26</v>
      </c>
      <c r="H371" s="17" t="s">
        <v>26</v>
      </c>
      <c r="I371" s="16" t="s">
        <v>26</v>
      </c>
      <c r="J371" s="16" t="s">
        <v>26</v>
      </c>
      <c r="K371" s="16" t="s">
        <v>26</v>
      </c>
      <c r="L371" s="18" t="s">
        <v>28</v>
      </c>
      <c r="M371" s="18" t="s">
        <v>28</v>
      </c>
      <c r="N371" s="20">
        <v>0</v>
      </c>
      <c r="O371" s="16" t="s">
        <v>26</v>
      </c>
      <c r="P371" s="13"/>
      <c r="Q371" s="13"/>
      <c r="R371" s="14">
        <f>IF(AND(P371&gt;0,Q371&gt;0),ROUND((1-Q371/P371)*100,0),0)</f>
        <v>0</v>
      </c>
    </row>
    <row r="372" ht="20" customHeight="1" spans="1:18" x14ac:dyDescent="0.25">
      <c r="A372" s="7" t="s">
        <v>1193</v>
      </c>
      <c r="B372" s="8" t="s">
        <v>1194</v>
      </c>
      <c r="C372" s="8" t="s">
        <v>1195</v>
      </c>
      <c r="D372" s="8" t="s">
        <v>1170</v>
      </c>
      <c r="E372" s="9" t="s">
        <v>26</v>
      </c>
      <c r="F372" s="9" t="s">
        <v>26</v>
      </c>
      <c r="G372" s="9" t="s">
        <v>26</v>
      </c>
      <c r="H372" s="9" t="s">
        <v>26</v>
      </c>
      <c r="I372" s="8" t="s">
        <v>26</v>
      </c>
      <c r="J372" s="8" t="s">
        <v>26</v>
      </c>
      <c r="K372" s="8" t="s">
        <v>26</v>
      </c>
      <c r="L372" s="10" t="s">
        <v>28</v>
      </c>
      <c r="M372" s="10" t="s">
        <v>28</v>
      </c>
      <c r="N372" s="12">
        <v>0</v>
      </c>
      <c r="O372" s="8" t="s">
        <v>26</v>
      </c>
      <c r="P372" s="13"/>
      <c r="Q372" s="13"/>
      <c r="R372" s="14">
        <f>IF(AND(P372&gt;0,Q372&gt;0),ROUND((1-Q372/P372)*100,0),0)</f>
        <v>0</v>
      </c>
    </row>
    <row r="373" ht="20" customHeight="1" spans="1:18" x14ac:dyDescent="0.25">
      <c r="A373" s="15" t="s">
        <v>1196</v>
      </c>
      <c r="B373" s="16" t="s">
        <v>1197</v>
      </c>
      <c r="C373" s="16" t="s">
        <v>1198</v>
      </c>
      <c r="D373" s="16" t="s">
        <v>1170</v>
      </c>
      <c r="E373" s="17" t="s">
        <v>26</v>
      </c>
      <c r="F373" s="17" t="s">
        <v>26</v>
      </c>
      <c r="G373" s="17" t="s">
        <v>26</v>
      </c>
      <c r="H373" s="17" t="s">
        <v>26</v>
      </c>
      <c r="I373" s="16" t="s">
        <v>26</v>
      </c>
      <c r="J373" s="16" t="s">
        <v>26</v>
      </c>
      <c r="K373" s="16" t="s">
        <v>26</v>
      </c>
      <c r="L373" s="18" t="s">
        <v>28</v>
      </c>
      <c r="M373" s="18" t="s">
        <v>28</v>
      </c>
      <c r="N373" s="20">
        <v>0</v>
      </c>
      <c r="O373" s="16" t="s">
        <v>26</v>
      </c>
      <c r="P373" s="13"/>
      <c r="Q373" s="13"/>
      <c r="R373" s="14">
        <f>IF(AND(P373&gt;0,Q373&gt;0),ROUND((1-Q373/P373)*100,0),0)</f>
        <v>0</v>
      </c>
    </row>
    <row r="374" ht="20" customHeight="1" spans="1:18" x14ac:dyDescent="0.25">
      <c r="A374" s="7" t="s">
        <v>1199</v>
      </c>
      <c r="B374" s="8" t="s">
        <v>1200</v>
      </c>
      <c r="C374" s="8" t="s">
        <v>1201</v>
      </c>
      <c r="D374" s="8" t="s">
        <v>26</v>
      </c>
      <c r="E374" s="9" t="s">
        <v>26</v>
      </c>
      <c r="F374" s="9" t="s">
        <v>26</v>
      </c>
      <c r="G374" s="9" t="s">
        <v>26</v>
      </c>
      <c r="H374" s="9" t="s">
        <v>26</v>
      </c>
      <c r="I374" s="8" t="s">
        <v>26</v>
      </c>
      <c r="J374" s="8" t="s">
        <v>26</v>
      </c>
      <c r="K374" s="8" t="s">
        <v>26</v>
      </c>
      <c r="L374" s="10" t="s">
        <v>28</v>
      </c>
      <c r="M374" s="10" t="s">
        <v>28</v>
      </c>
      <c r="N374" s="12">
        <v>0</v>
      </c>
      <c r="O374" s="8" t="s">
        <v>26</v>
      </c>
      <c r="P374" s="13"/>
      <c r="Q374" s="13"/>
      <c r="R374" s="14">
        <f>IF(AND(P374&gt;0,Q374&gt;0),ROUND((1-Q374/P374)*100,0),0)</f>
        <v>0</v>
      </c>
    </row>
    <row r="375" ht="20" customHeight="1" spans="1:18" x14ac:dyDescent="0.25">
      <c r="A375" s="15" t="s">
        <v>1202</v>
      </c>
      <c r="B375" s="16" t="s">
        <v>1203</v>
      </c>
      <c r="C375" s="16" t="s">
        <v>1204</v>
      </c>
      <c r="D375" s="16" t="s">
        <v>26</v>
      </c>
      <c r="E375" s="17" t="s">
        <v>26</v>
      </c>
      <c r="F375" s="17" t="s">
        <v>26</v>
      </c>
      <c r="G375" s="17" t="s">
        <v>26</v>
      </c>
      <c r="H375" s="17" t="s">
        <v>26</v>
      </c>
      <c r="I375" s="16" t="s">
        <v>26</v>
      </c>
      <c r="J375" s="16" t="s">
        <v>26</v>
      </c>
      <c r="K375" s="16" t="s">
        <v>26</v>
      </c>
      <c r="L375" s="18" t="s">
        <v>28</v>
      </c>
      <c r="M375" s="18" t="s">
        <v>28</v>
      </c>
      <c r="N375" s="20">
        <v>0</v>
      </c>
      <c r="O375" s="16" t="s">
        <v>26</v>
      </c>
      <c r="P375" s="13"/>
      <c r="Q375" s="13"/>
      <c r="R375" s="14">
        <f>IF(AND(P375&gt;0,Q375&gt;0),ROUND((1-Q375/P375)*100,0),0)</f>
        <v>0</v>
      </c>
    </row>
    <row r="376" ht="20" customHeight="1" spans="1:18" x14ac:dyDescent="0.25">
      <c r="A376" s="7" t="s">
        <v>1205</v>
      </c>
      <c r="B376" s="8" t="s">
        <v>1206</v>
      </c>
      <c r="C376" s="8" t="s">
        <v>1207</v>
      </c>
      <c r="D376" s="8" t="s">
        <v>26</v>
      </c>
      <c r="E376" s="9" t="s">
        <v>26</v>
      </c>
      <c r="F376" s="9" t="s">
        <v>26</v>
      </c>
      <c r="G376" s="9" t="s">
        <v>26</v>
      </c>
      <c r="H376" s="9" t="s">
        <v>26</v>
      </c>
      <c r="I376" s="8" t="s">
        <v>26</v>
      </c>
      <c r="J376" s="8" t="s">
        <v>26</v>
      </c>
      <c r="K376" s="8" t="s">
        <v>26</v>
      </c>
      <c r="L376" s="10" t="s">
        <v>28</v>
      </c>
      <c r="M376" s="10" t="s">
        <v>28</v>
      </c>
      <c r="N376" s="12">
        <v>0</v>
      </c>
      <c r="O376" s="8" t="s">
        <v>26</v>
      </c>
      <c r="P376" s="13"/>
      <c r="Q376" s="13"/>
      <c r="R376" s="14">
        <f>IF(AND(P376&gt;0,Q376&gt;0),ROUND((1-Q376/P376)*100,0),0)</f>
        <v>0</v>
      </c>
    </row>
    <row r="377" ht="20" customHeight="1" spans="1:18" x14ac:dyDescent="0.25">
      <c r="A377" s="15" t="s">
        <v>1208</v>
      </c>
      <c r="B377" s="16" t="s">
        <v>1209</v>
      </c>
      <c r="C377" s="16" t="s">
        <v>1210</v>
      </c>
      <c r="D377" s="16" t="s">
        <v>26</v>
      </c>
      <c r="E377" s="17" t="s">
        <v>26</v>
      </c>
      <c r="F377" s="17" t="s">
        <v>26</v>
      </c>
      <c r="G377" s="17" t="s">
        <v>26</v>
      </c>
      <c r="H377" s="17" t="s">
        <v>26</v>
      </c>
      <c r="I377" s="16" t="s">
        <v>26</v>
      </c>
      <c r="J377" s="16" t="s">
        <v>26</v>
      </c>
      <c r="K377" s="16" t="s">
        <v>26</v>
      </c>
      <c r="L377" s="18" t="s">
        <v>28</v>
      </c>
      <c r="M377" s="18" t="s">
        <v>28</v>
      </c>
      <c r="N377" s="20">
        <v>0</v>
      </c>
      <c r="O377" s="16" t="s">
        <v>26</v>
      </c>
      <c r="P377" s="13"/>
      <c r="Q377" s="13"/>
      <c r="R377" s="14">
        <f>IF(AND(P377&gt;0,Q377&gt;0),ROUND((1-Q377/P377)*100,0),0)</f>
        <v>0</v>
      </c>
    </row>
    <row r="378" ht="20" customHeight="1" spans="1:18" x14ac:dyDescent="0.25">
      <c r="A378" s="7" t="s">
        <v>1211</v>
      </c>
      <c r="B378" s="8" t="s">
        <v>1212</v>
      </c>
      <c r="C378" s="8" t="s">
        <v>1213</v>
      </c>
      <c r="D378" s="8" t="s">
        <v>26</v>
      </c>
      <c r="E378" s="9" t="s">
        <v>26</v>
      </c>
      <c r="F378" s="9" t="s">
        <v>26</v>
      </c>
      <c r="G378" s="9" t="s">
        <v>26</v>
      </c>
      <c r="H378" s="9" t="s">
        <v>26</v>
      </c>
      <c r="I378" s="8" t="s">
        <v>26</v>
      </c>
      <c r="J378" s="8" t="s">
        <v>26</v>
      </c>
      <c r="K378" s="8" t="s">
        <v>26</v>
      </c>
      <c r="L378" s="10" t="s">
        <v>28</v>
      </c>
      <c r="M378" s="10" t="s">
        <v>28</v>
      </c>
      <c r="N378" s="12">
        <v>0</v>
      </c>
      <c r="O378" s="8" t="s">
        <v>26</v>
      </c>
      <c r="P378" s="13"/>
      <c r="Q378" s="13"/>
      <c r="R378" s="14">
        <f>IF(AND(P378&gt;0,Q378&gt;0),ROUND((1-Q378/P378)*100,0),0)</f>
        <v>0</v>
      </c>
    </row>
    <row r="379" ht="20" customHeight="1" spans="1:18" x14ac:dyDescent="0.25">
      <c r="A379" s="15" t="s">
        <v>1214</v>
      </c>
      <c r="B379" s="16" t="s">
        <v>1215</v>
      </c>
      <c r="C379" s="16" t="s">
        <v>1216</v>
      </c>
      <c r="D379" s="16" t="s">
        <v>26</v>
      </c>
      <c r="E379" s="17" t="s">
        <v>26</v>
      </c>
      <c r="F379" s="17" t="s">
        <v>26</v>
      </c>
      <c r="G379" s="17" t="s">
        <v>26</v>
      </c>
      <c r="H379" s="17" t="s">
        <v>26</v>
      </c>
      <c r="I379" s="16" t="s">
        <v>26</v>
      </c>
      <c r="J379" s="16" t="s">
        <v>26</v>
      </c>
      <c r="K379" s="16" t="s">
        <v>26</v>
      </c>
      <c r="L379" s="18" t="s">
        <v>28</v>
      </c>
      <c r="M379" s="18" t="s">
        <v>28</v>
      </c>
      <c r="N379" s="20">
        <v>0</v>
      </c>
      <c r="O379" s="16" t="s">
        <v>26</v>
      </c>
      <c r="P379" s="13"/>
      <c r="Q379" s="13"/>
      <c r="R379" s="14">
        <f>IF(AND(P379&gt;0,Q379&gt;0),ROUND((1-Q379/P379)*100,0),0)</f>
        <v>0</v>
      </c>
    </row>
    <row r="380" ht="20" customHeight="1" spans="1:18" x14ac:dyDescent="0.25">
      <c r="A380" s="7" t="s">
        <v>1217</v>
      </c>
      <c r="B380" s="8" t="s">
        <v>1218</v>
      </c>
      <c r="C380" s="8" t="s">
        <v>1219</v>
      </c>
      <c r="D380" s="8" t="s">
        <v>26</v>
      </c>
      <c r="E380" s="9" t="s">
        <v>26</v>
      </c>
      <c r="F380" s="9" t="s">
        <v>26</v>
      </c>
      <c r="G380" s="9" t="s">
        <v>26</v>
      </c>
      <c r="H380" s="9" t="s">
        <v>26</v>
      </c>
      <c r="I380" s="8" t="s">
        <v>26</v>
      </c>
      <c r="J380" s="8" t="s">
        <v>26</v>
      </c>
      <c r="K380" s="8" t="s">
        <v>26</v>
      </c>
      <c r="L380" s="10" t="s">
        <v>28</v>
      </c>
      <c r="M380" s="10" t="s">
        <v>28</v>
      </c>
      <c r="N380" s="12">
        <v>0</v>
      </c>
      <c r="O380" s="8" t="s">
        <v>26</v>
      </c>
      <c r="P380" s="13"/>
      <c r="Q380" s="13"/>
      <c r="R380" s="14">
        <f>IF(AND(P380&gt;0,Q380&gt;0),ROUND((1-Q380/P380)*100,0),0)</f>
        <v>0</v>
      </c>
    </row>
    <row r="381" ht="20" customHeight="1" spans="1:18" x14ac:dyDescent="0.25">
      <c r="A381" s="15" t="s">
        <v>1220</v>
      </c>
      <c r="B381" s="16" t="s">
        <v>1221</v>
      </c>
      <c r="C381" s="16" t="s">
        <v>1222</v>
      </c>
      <c r="D381" s="16" t="s">
        <v>26</v>
      </c>
      <c r="E381" s="17" t="s">
        <v>26</v>
      </c>
      <c r="F381" s="17" t="s">
        <v>26</v>
      </c>
      <c r="G381" s="17" t="s">
        <v>26</v>
      </c>
      <c r="H381" s="17" t="s">
        <v>26</v>
      </c>
      <c r="I381" s="16" t="s">
        <v>26</v>
      </c>
      <c r="J381" s="16" t="s">
        <v>26</v>
      </c>
      <c r="K381" s="16" t="s">
        <v>26</v>
      </c>
      <c r="L381" s="18" t="s">
        <v>28</v>
      </c>
      <c r="M381" s="18" t="s">
        <v>28</v>
      </c>
      <c r="N381" s="20">
        <v>0</v>
      </c>
      <c r="O381" s="16" t="s">
        <v>26</v>
      </c>
      <c r="P381" s="13"/>
      <c r="Q381" s="13"/>
      <c r="R381" s="14">
        <f>IF(AND(P381&gt;0,Q381&gt;0),ROUND((1-Q381/P381)*100,0),0)</f>
        <v>0</v>
      </c>
    </row>
    <row r="382" ht="20" customHeight="1" spans="1:18" x14ac:dyDescent="0.25">
      <c r="A382" s="7" t="s">
        <v>1223</v>
      </c>
      <c r="B382" s="8" t="s">
        <v>1224</v>
      </c>
      <c r="C382" s="8" t="s">
        <v>1225</v>
      </c>
      <c r="D382" s="8" t="s">
        <v>26</v>
      </c>
      <c r="E382" s="9" t="s">
        <v>26</v>
      </c>
      <c r="F382" s="9" t="s">
        <v>26</v>
      </c>
      <c r="G382" s="9" t="s">
        <v>26</v>
      </c>
      <c r="H382" s="9" t="s">
        <v>26</v>
      </c>
      <c r="I382" s="8" t="s">
        <v>26</v>
      </c>
      <c r="J382" s="8" t="s">
        <v>26</v>
      </c>
      <c r="K382" s="8" t="s">
        <v>26</v>
      </c>
      <c r="L382" s="10" t="s">
        <v>28</v>
      </c>
      <c r="M382" s="10" t="s">
        <v>28</v>
      </c>
      <c r="N382" s="12">
        <v>0</v>
      </c>
      <c r="O382" s="8" t="s">
        <v>26</v>
      </c>
      <c r="P382" s="13"/>
      <c r="Q382" s="13"/>
      <c r="R382" s="14">
        <f>IF(AND(P382&gt;0,Q382&gt;0),ROUND((1-Q382/P382)*100,0),0)</f>
        <v>0</v>
      </c>
    </row>
    <row r="383" ht="20" customHeight="1" spans="1:18" x14ac:dyDescent="0.25">
      <c r="A383" s="15" t="s">
        <v>1226</v>
      </c>
      <c r="B383" s="16" t="s">
        <v>1227</v>
      </c>
      <c r="C383" s="16" t="s">
        <v>1228</v>
      </c>
      <c r="D383" s="16" t="s">
        <v>26</v>
      </c>
      <c r="E383" s="17" t="s">
        <v>26</v>
      </c>
      <c r="F383" s="17" t="s">
        <v>26</v>
      </c>
      <c r="G383" s="17" t="s">
        <v>26</v>
      </c>
      <c r="H383" s="17" t="s">
        <v>26</v>
      </c>
      <c r="I383" s="16" t="s">
        <v>26</v>
      </c>
      <c r="J383" s="16" t="s">
        <v>26</v>
      </c>
      <c r="K383" s="16" t="s">
        <v>26</v>
      </c>
      <c r="L383" s="18" t="s">
        <v>28</v>
      </c>
      <c r="M383" s="18" t="s">
        <v>28</v>
      </c>
      <c r="N383" s="20">
        <v>0</v>
      </c>
      <c r="O383" s="16" t="s">
        <v>26</v>
      </c>
      <c r="P383" s="13"/>
      <c r="Q383" s="13"/>
      <c r="R383" s="14">
        <f>IF(AND(P383&gt;0,Q383&gt;0),ROUND((1-Q383/P383)*100,0),0)</f>
        <v>0</v>
      </c>
    </row>
    <row r="384" ht="20" customHeight="1" spans="1:18" x14ac:dyDescent="0.25">
      <c r="A384" s="7" t="s">
        <v>1229</v>
      </c>
      <c r="B384" s="8" t="s">
        <v>1230</v>
      </c>
      <c r="C384" s="8" t="s">
        <v>1231</v>
      </c>
      <c r="D384" s="8" t="s">
        <v>26</v>
      </c>
      <c r="E384" s="9" t="s">
        <v>26</v>
      </c>
      <c r="F384" s="9" t="s">
        <v>26</v>
      </c>
      <c r="G384" s="9" t="s">
        <v>26</v>
      </c>
      <c r="H384" s="9" t="s">
        <v>26</v>
      </c>
      <c r="I384" s="8" t="s">
        <v>26</v>
      </c>
      <c r="J384" s="8" t="s">
        <v>26</v>
      </c>
      <c r="K384" s="8" t="s">
        <v>26</v>
      </c>
      <c r="L384" s="10" t="s">
        <v>28</v>
      </c>
      <c r="M384" s="10" t="s">
        <v>28</v>
      </c>
      <c r="N384" s="12">
        <v>0</v>
      </c>
      <c r="O384" s="8" t="s">
        <v>26</v>
      </c>
      <c r="P384" s="13"/>
      <c r="Q384" s="13"/>
      <c r="R384" s="14">
        <f>IF(AND(P384&gt;0,Q384&gt;0),ROUND((1-Q384/P384)*100,0),0)</f>
        <v>0</v>
      </c>
    </row>
    <row r="385" ht="20" customHeight="1" spans="1:18" x14ac:dyDescent="0.25">
      <c r="A385" s="15" t="s">
        <v>1232</v>
      </c>
      <c r="B385" s="16" t="s">
        <v>1233</v>
      </c>
      <c r="C385" s="16" t="s">
        <v>1234</v>
      </c>
      <c r="D385" s="16" t="s">
        <v>26</v>
      </c>
      <c r="E385" s="17" t="s">
        <v>26</v>
      </c>
      <c r="F385" s="17" t="s">
        <v>26</v>
      </c>
      <c r="G385" s="17" t="s">
        <v>26</v>
      </c>
      <c r="H385" s="17" t="s">
        <v>26</v>
      </c>
      <c r="I385" s="16" t="s">
        <v>26</v>
      </c>
      <c r="J385" s="16" t="s">
        <v>26</v>
      </c>
      <c r="K385" s="16" t="s">
        <v>26</v>
      </c>
      <c r="L385" s="18" t="s">
        <v>28</v>
      </c>
      <c r="M385" s="18" t="s">
        <v>28</v>
      </c>
      <c r="N385" s="20">
        <v>0</v>
      </c>
      <c r="O385" s="16" t="s">
        <v>26</v>
      </c>
      <c r="P385" s="13"/>
      <c r="Q385" s="13"/>
      <c r="R385" s="14">
        <f>IF(AND(P385&gt;0,Q385&gt;0),ROUND((1-Q385/P385)*100,0),0)</f>
        <v>0</v>
      </c>
    </row>
    <row r="386" ht="20" customHeight="1" spans="1:18" x14ac:dyDescent="0.25">
      <c r="A386" s="7" t="s">
        <v>1235</v>
      </c>
      <c r="B386" s="8" t="s">
        <v>1236</v>
      </c>
      <c r="C386" s="8" t="s">
        <v>1222</v>
      </c>
      <c r="D386" s="8" t="s">
        <v>26</v>
      </c>
      <c r="E386" s="9" t="s">
        <v>26</v>
      </c>
      <c r="F386" s="9" t="s">
        <v>26</v>
      </c>
      <c r="G386" s="9" t="s">
        <v>26</v>
      </c>
      <c r="H386" s="9" t="s">
        <v>26</v>
      </c>
      <c r="I386" s="8" t="s">
        <v>26</v>
      </c>
      <c r="J386" s="8" t="s">
        <v>26</v>
      </c>
      <c r="K386" s="8" t="s">
        <v>26</v>
      </c>
      <c r="L386" s="10" t="s">
        <v>28</v>
      </c>
      <c r="M386" s="10" t="s">
        <v>28</v>
      </c>
      <c r="N386" s="12">
        <v>0</v>
      </c>
      <c r="O386" s="8" t="s">
        <v>26</v>
      </c>
      <c r="P386" s="13"/>
      <c r="Q386" s="13"/>
      <c r="R386" s="14">
        <f>IF(AND(P386&gt;0,Q386&gt;0),ROUND((1-Q386/P386)*100,0),0)</f>
        <v>0</v>
      </c>
    </row>
    <row r="387" ht="20" customHeight="1" spans="1:18" x14ac:dyDescent="0.25">
      <c r="A387" s="15" t="s">
        <v>1237</v>
      </c>
      <c r="B387" s="16" t="s">
        <v>1238</v>
      </c>
      <c r="C387" s="16" t="s">
        <v>1239</v>
      </c>
      <c r="D387" s="16" t="s">
        <v>26</v>
      </c>
      <c r="E387" s="17" t="s">
        <v>26</v>
      </c>
      <c r="F387" s="17" t="s">
        <v>26</v>
      </c>
      <c r="G387" s="17" t="s">
        <v>26</v>
      </c>
      <c r="H387" s="17" t="s">
        <v>26</v>
      </c>
      <c r="I387" s="16" t="s">
        <v>26</v>
      </c>
      <c r="J387" s="16" t="s">
        <v>26</v>
      </c>
      <c r="K387" s="16" t="s">
        <v>26</v>
      </c>
      <c r="L387" s="18" t="s">
        <v>28</v>
      </c>
      <c r="M387" s="18" t="s">
        <v>28</v>
      </c>
      <c r="N387" s="20">
        <v>0</v>
      </c>
      <c r="O387" s="16" t="s">
        <v>26</v>
      </c>
      <c r="P387" s="13"/>
      <c r="Q387" s="13"/>
      <c r="R387" s="14">
        <f>IF(AND(P387&gt;0,Q387&gt;0),ROUND((1-Q387/P387)*100,0),0)</f>
        <v>0</v>
      </c>
    </row>
    <row r="388" ht="20" customHeight="1" spans="1:18" x14ac:dyDescent="0.25">
      <c r="A388" s="7" t="s">
        <v>1240</v>
      </c>
      <c r="B388" s="8" t="s">
        <v>1241</v>
      </c>
      <c r="C388" s="8" t="s">
        <v>1242</v>
      </c>
      <c r="D388" s="8" t="s">
        <v>26</v>
      </c>
      <c r="E388" s="9" t="s">
        <v>26</v>
      </c>
      <c r="F388" s="9" t="s">
        <v>26</v>
      </c>
      <c r="G388" s="9" t="s">
        <v>26</v>
      </c>
      <c r="H388" s="9" t="s">
        <v>26</v>
      </c>
      <c r="I388" s="8" t="s">
        <v>26</v>
      </c>
      <c r="J388" s="8" t="s">
        <v>26</v>
      </c>
      <c r="K388" s="8" t="s">
        <v>26</v>
      </c>
      <c r="L388" s="10" t="s">
        <v>28</v>
      </c>
      <c r="M388" s="10" t="s">
        <v>28</v>
      </c>
      <c r="N388" s="12">
        <v>0</v>
      </c>
      <c r="O388" s="8" t="s">
        <v>26</v>
      </c>
      <c r="P388" s="13"/>
      <c r="Q388" s="13"/>
      <c r="R388" s="14">
        <f>IF(AND(P388&gt;0,Q388&gt;0),ROUND((1-Q388/P388)*100,0),0)</f>
        <v>0</v>
      </c>
    </row>
    <row r="389" ht="20" customHeight="1" spans="1:18" x14ac:dyDescent="0.25">
      <c r="A389" s="15" t="s">
        <v>1243</v>
      </c>
      <c r="B389" s="16" t="s">
        <v>1244</v>
      </c>
      <c r="C389" s="16" t="s">
        <v>1245</v>
      </c>
      <c r="D389" s="16" t="s">
        <v>26</v>
      </c>
      <c r="E389" s="17" t="s">
        <v>26</v>
      </c>
      <c r="F389" s="17" t="s">
        <v>26</v>
      </c>
      <c r="G389" s="17" t="s">
        <v>26</v>
      </c>
      <c r="H389" s="17" t="s">
        <v>26</v>
      </c>
      <c r="I389" s="16" t="s">
        <v>26</v>
      </c>
      <c r="J389" s="16" t="s">
        <v>26</v>
      </c>
      <c r="K389" s="16" t="s">
        <v>26</v>
      </c>
      <c r="L389" s="18" t="s">
        <v>28</v>
      </c>
      <c r="M389" s="18" t="s">
        <v>28</v>
      </c>
      <c r="N389" s="20">
        <v>0</v>
      </c>
      <c r="O389" s="16" t="s">
        <v>26</v>
      </c>
      <c r="P389" s="13"/>
      <c r="Q389" s="13"/>
      <c r="R389" s="14">
        <f>IF(AND(P389&gt;0,Q389&gt;0),ROUND((1-Q389/P389)*100,0),0)</f>
        <v>0</v>
      </c>
    </row>
    <row r="390" ht="20" customHeight="1" spans="1:18" x14ac:dyDescent="0.25">
      <c r="A390" s="7" t="s">
        <v>1246</v>
      </c>
      <c r="B390" s="8" t="s">
        <v>1247</v>
      </c>
      <c r="C390" s="8" t="s">
        <v>1248</v>
      </c>
      <c r="D390" s="8" t="s">
        <v>26</v>
      </c>
      <c r="E390" s="9" t="s">
        <v>26</v>
      </c>
      <c r="F390" s="9" t="s">
        <v>26</v>
      </c>
      <c r="G390" s="9" t="s">
        <v>26</v>
      </c>
      <c r="H390" s="9" t="s">
        <v>26</v>
      </c>
      <c r="I390" s="8" t="s">
        <v>26</v>
      </c>
      <c r="J390" s="8" t="s">
        <v>26</v>
      </c>
      <c r="K390" s="8" t="s">
        <v>26</v>
      </c>
      <c r="L390" s="10" t="s">
        <v>28</v>
      </c>
      <c r="M390" s="10" t="s">
        <v>28</v>
      </c>
      <c r="N390" s="12">
        <v>0</v>
      </c>
      <c r="O390" s="8" t="s">
        <v>26</v>
      </c>
      <c r="P390" s="13"/>
      <c r="Q390" s="13"/>
      <c r="R390" s="14">
        <f>IF(AND(P390&gt;0,Q390&gt;0),ROUND((1-Q390/P390)*100,0),0)</f>
        <v>0</v>
      </c>
    </row>
    <row r="391" ht="20" customHeight="1" spans="1:18" x14ac:dyDescent="0.25">
      <c r="A391" s="15" t="s">
        <v>1249</v>
      </c>
      <c r="B391" s="16" t="s">
        <v>1250</v>
      </c>
      <c r="C391" s="16" t="s">
        <v>1251</v>
      </c>
      <c r="D391" s="16" t="s">
        <v>26</v>
      </c>
      <c r="E391" s="17" t="s">
        <v>26</v>
      </c>
      <c r="F391" s="17" t="s">
        <v>26</v>
      </c>
      <c r="G391" s="17" t="s">
        <v>26</v>
      </c>
      <c r="H391" s="17" t="s">
        <v>26</v>
      </c>
      <c r="I391" s="16" t="s">
        <v>26</v>
      </c>
      <c r="J391" s="16" t="s">
        <v>26</v>
      </c>
      <c r="K391" s="16" t="s">
        <v>26</v>
      </c>
      <c r="L391" s="18" t="s">
        <v>28</v>
      </c>
      <c r="M391" s="18" t="s">
        <v>28</v>
      </c>
      <c r="N391" s="20">
        <v>0</v>
      </c>
      <c r="O391" s="16" t="s">
        <v>26</v>
      </c>
      <c r="P391" s="13"/>
      <c r="Q391" s="13"/>
      <c r="R391" s="14">
        <f>IF(AND(P391&gt;0,Q391&gt;0),ROUND((1-Q391/P391)*100,0),0)</f>
        <v>0</v>
      </c>
    </row>
    <row r="392" ht="20" customHeight="1" spans="1:18" x14ac:dyDescent="0.25">
      <c r="A392" s="7" t="s">
        <v>1252</v>
      </c>
      <c r="B392" s="8" t="s">
        <v>1253</v>
      </c>
      <c r="C392" s="8" t="s">
        <v>1254</v>
      </c>
      <c r="D392" s="8" t="s">
        <v>26</v>
      </c>
      <c r="E392" s="9" t="s">
        <v>26</v>
      </c>
      <c r="F392" s="9" t="s">
        <v>26</v>
      </c>
      <c r="G392" s="9" t="s">
        <v>26</v>
      </c>
      <c r="H392" s="9" t="s">
        <v>26</v>
      </c>
      <c r="I392" s="8" t="s">
        <v>26</v>
      </c>
      <c r="J392" s="8" t="s">
        <v>26</v>
      </c>
      <c r="K392" s="8" t="s">
        <v>26</v>
      </c>
      <c r="L392" s="10" t="s">
        <v>28</v>
      </c>
      <c r="M392" s="10" t="s">
        <v>28</v>
      </c>
      <c r="N392" s="12">
        <v>0</v>
      </c>
      <c r="O392" s="8" t="s">
        <v>26</v>
      </c>
      <c r="P392" s="13"/>
      <c r="Q392" s="13"/>
      <c r="R392" s="14">
        <f>IF(AND(P392&gt;0,Q392&gt;0),ROUND((1-Q392/P392)*100,0),0)</f>
        <v>0</v>
      </c>
    </row>
    <row r="393" ht="20" customHeight="1" spans="1:18" x14ac:dyDescent="0.25">
      <c r="A393" s="15" t="s">
        <v>1255</v>
      </c>
      <c r="B393" s="16" t="s">
        <v>1256</v>
      </c>
      <c r="C393" s="16" t="s">
        <v>1257</v>
      </c>
      <c r="D393" s="16" t="s">
        <v>26</v>
      </c>
      <c r="E393" s="17" t="s">
        <v>26</v>
      </c>
      <c r="F393" s="17" t="s">
        <v>26</v>
      </c>
      <c r="G393" s="17" t="s">
        <v>26</v>
      </c>
      <c r="H393" s="17" t="s">
        <v>26</v>
      </c>
      <c r="I393" s="16" t="s">
        <v>26</v>
      </c>
      <c r="J393" s="16" t="s">
        <v>26</v>
      </c>
      <c r="K393" s="16" t="s">
        <v>26</v>
      </c>
      <c r="L393" s="18" t="s">
        <v>28</v>
      </c>
      <c r="M393" s="18" t="s">
        <v>28</v>
      </c>
      <c r="N393" s="20">
        <v>0</v>
      </c>
      <c r="O393" s="16" t="s">
        <v>26</v>
      </c>
      <c r="P393" s="13"/>
      <c r="Q393" s="13"/>
      <c r="R393" s="14">
        <f>IF(AND(P393&gt;0,Q393&gt;0),ROUND((1-Q393/P393)*100,0),0)</f>
        <v>0</v>
      </c>
    </row>
    <row r="394" ht="20" customHeight="1" spans="1:18" x14ac:dyDescent="0.25">
      <c r="A394" s="7" t="s">
        <v>1258</v>
      </c>
      <c r="B394" s="8" t="s">
        <v>1259</v>
      </c>
      <c r="C394" s="8" t="s">
        <v>1260</v>
      </c>
      <c r="D394" s="8" t="s">
        <v>26</v>
      </c>
      <c r="E394" s="9" t="s">
        <v>26</v>
      </c>
      <c r="F394" s="9" t="s">
        <v>26</v>
      </c>
      <c r="G394" s="9" t="s">
        <v>26</v>
      </c>
      <c r="H394" s="9" t="s">
        <v>26</v>
      </c>
      <c r="I394" s="8" t="s">
        <v>26</v>
      </c>
      <c r="J394" s="8" t="s">
        <v>26</v>
      </c>
      <c r="K394" s="8" t="s">
        <v>26</v>
      </c>
      <c r="L394" s="10" t="s">
        <v>28</v>
      </c>
      <c r="M394" s="10" t="s">
        <v>28</v>
      </c>
      <c r="N394" s="12">
        <v>0</v>
      </c>
      <c r="O394" s="8" t="s">
        <v>26</v>
      </c>
      <c r="P394" s="13"/>
      <c r="Q394" s="13"/>
      <c r="R394" s="14">
        <f>IF(AND(P394&gt;0,Q394&gt;0),ROUND((1-Q394/P394)*100,0),0)</f>
        <v>0</v>
      </c>
    </row>
    <row r="395" ht="20" customHeight="1" spans="1:18" x14ac:dyDescent="0.25">
      <c r="A395" s="15" t="s">
        <v>1261</v>
      </c>
      <c r="B395" s="16" t="s">
        <v>1262</v>
      </c>
      <c r="C395" s="16" t="s">
        <v>1263</v>
      </c>
      <c r="D395" s="16" t="s">
        <v>26</v>
      </c>
      <c r="E395" s="17" t="s">
        <v>26</v>
      </c>
      <c r="F395" s="17" t="s">
        <v>26</v>
      </c>
      <c r="G395" s="17" t="s">
        <v>26</v>
      </c>
      <c r="H395" s="17" t="s">
        <v>26</v>
      </c>
      <c r="I395" s="16" t="s">
        <v>26</v>
      </c>
      <c r="J395" s="16" t="s">
        <v>26</v>
      </c>
      <c r="K395" s="16" t="s">
        <v>26</v>
      </c>
      <c r="L395" s="18" t="s">
        <v>28</v>
      </c>
      <c r="M395" s="18" t="s">
        <v>28</v>
      </c>
      <c r="N395" s="20">
        <v>0</v>
      </c>
      <c r="O395" s="16" t="s">
        <v>26</v>
      </c>
      <c r="P395" s="13"/>
      <c r="Q395" s="13"/>
      <c r="R395" s="14">
        <f>IF(AND(P395&gt;0,Q395&gt;0),ROUND((1-Q395/P395)*100,0),0)</f>
        <v>0</v>
      </c>
    </row>
    <row r="396" ht="20" customHeight="1" spans="1:18" x14ac:dyDescent="0.25">
      <c r="A396" s="7" t="s">
        <v>1264</v>
      </c>
      <c r="B396" s="8" t="s">
        <v>1265</v>
      </c>
      <c r="C396" s="8" t="s">
        <v>1266</v>
      </c>
      <c r="D396" s="8" t="s">
        <v>26</v>
      </c>
      <c r="E396" s="9" t="s">
        <v>26</v>
      </c>
      <c r="F396" s="9" t="s">
        <v>26</v>
      </c>
      <c r="G396" s="9" t="s">
        <v>26</v>
      </c>
      <c r="H396" s="9" t="s">
        <v>26</v>
      </c>
      <c r="I396" s="8" t="s">
        <v>26</v>
      </c>
      <c r="J396" s="8" t="s">
        <v>26</v>
      </c>
      <c r="K396" s="8" t="s">
        <v>26</v>
      </c>
      <c r="L396" s="10" t="s">
        <v>28</v>
      </c>
      <c r="M396" s="10" t="s">
        <v>28</v>
      </c>
      <c r="N396" s="12">
        <v>0</v>
      </c>
      <c r="O396" s="8" t="s">
        <v>26</v>
      </c>
      <c r="P396" s="13"/>
      <c r="Q396" s="13"/>
      <c r="R396" s="14">
        <f>IF(AND(P396&gt;0,Q396&gt;0),ROUND((1-Q396/P396)*100,0),0)</f>
        <v>0</v>
      </c>
    </row>
    <row r="397" ht="20" customHeight="1" spans="1:18" x14ac:dyDescent="0.25">
      <c r="A397" s="15" t="s">
        <v>1267</v>
      </c>
      <c r="B397" s="16" t="s">
        <v>1268</v>
      </c>
      <c r="C397" s="16" t="s">
        <v>1269</v>
      </c>
      <c r="D397" s="16" t="s">
        <v>26</v>
      </c>
      <c r="E397" s="17" t="s">
        <v>26</v>
      </c>
      <c r="F397" s="17" t="s">
        <v>26</v>
      </c>
      <c r="G397" s="17" t="s">
        <v>26</v>
      </c>
      <c r="H397" s="17" t="s">
        <v>26</v>
      </c>
      <c r="I397" s="16" t="s">
        <v>26</v>
      </c>
      <c r="J397" s="16" t="s">
        <v>26</v>
      </c>
      <c r="K397" s="16" t="s">
        <v>26</v>
      </c>
      <c r="L397" s="18" t="s">
        <v>28</v>
      </c>
      <c r="M397" s="18" t="s">
        <v>28</v>
      </c>
      <c r="N397" s="20">
        <v>0</v>
      </c>
      <c r="O397" s="16" t="s">
        <v>26</v>
      </c>
      <c r="P397" s="13"/>
      <c r="Q397" s="13"/>
      <c r="R397" s="14">
        <f>IF(AND(P397&gt;0,Q397&gt;0),ROUND((1-Q397/P397)*100,0),0)</f>
        <v>0</v>
      </c>
    </row>
    <row r="398" ht="20" customHeight="1" spans="1:18" x14ac:dyDescent="0.25">
      <c r="A398" s="7" t="s">
        <v>1270</v>
      </c>
      <c r="B398" s="8" t="s">
        <v>1271</v>
      </c>
      <c r="C398" s="8" t="s">
        <v>1272</v>
      </c>
      <c r="D398" s="8" t="s">
        <v>26</v>
      </c>
      <c r="E398" s="9" t="s">
        <v>26</v>
      </c>
      <c r="F398" s="9" t="s">
        <v>26</v>
      </c>
      <c r="G398" s="9" t="s">
        <v>26</v>
      </c>
      <c r="H398" s="9" t="s">
        <v>26</v>
      </c>
      <c r="I398" s="8" t="s">
        <v>26</v>
      </c>
      <c r="J398" s="8" t="s">
        <v>26</v>
      </c>
      <c r="K398" s="8" t="s">
        <v>26</v>
      </c>
      <c r="L398" s="10" t="s">
        <v>28</v>
      </c>
      <c r="M398" s="10" t="s">
        <v>28</v>
      </c>
      <c r="N398" s="12">
        <v>0</v>
      </c>
      <c r="O398" s="8" t="s">
        <v>26</v>
      </c>
      <c r="P398" s="13"/>
      <c r="Q398" s="13"/>
      <c r="R398" s="14">
        <f>IF(AND(P398&gt;0,Q398&gt;0),ROUND((1-Q398/P398)*100,0),0)</f>
        <v>0</v>
      </c>
    </row>
    <row r="399" ht="20" customHeight="1" spans="1:18" x14ac:dyDescent="0.25">
      <c r="A399" s="15" t="s">
        <v>1273</v>
      </c>
      <c r="B399" s="16" t="s">
        <v>1274</v>
      </c>
      <c r="C399" s="16" t="s">
        <v>1275</v>
      </c>
      <c r="D399" s="16" t="s">
        <v>26</v>
      </c>
      <c r="E399" s="17" t="s">
        <v>26</v>
      </c>
      <c r="F399" s="17" t="s">
        <v>26</v>
      </c>
      <c r="G399" s="17" t="s">
        <v>26</v>
      </c>
      <c r="H399" s="17" t="s">
        <v>26</v>
      </c>
      <c r="I399" s="16" t="s">
        <v>26</v>
      </c>
      <c r="J399" s="16" t="s">
        <v>26</v>
      </c>
      <c r="K399" s="16" t="s">
        <v>26</v>
      </c>
      <c r="L399" s="18" t="s">
        <v>28</v>
      </c>
      <c r="M399" s="18" t="s">
        <v>28</v>
      </c>
      <c r="N399" s="20">
        <v>0</v>
      </c>
      <c r="O399" s="16" t="s">
        <v>26</v>
      </c>
      <c r="P399" s="13"/>
      <c r="Q399" s="13"/>
      <c r="R399" s="14">
        <f>IF(AND(P399&gt;0,Q399&gt;0),ROUND((1-Q399/P399)*100,0),0)</f>
        <v>0</v>
      </c>
    </row>
    <row r="400" ht="20" customHeight="1" spans="1:18" x14ac:dyDescent="0.25">
      <c r="A400" s="7" t="s">
        <v>1276</v>
      </c>
      <c r="B400" s="8" t="s">
        <v>1277</v>
      </c>
      <c r="C400" s="8" t="s">
        <v>1278</v>
      </c>
      <c r="D400" s="8" t="s">
        <v>26</v>
      </c>
      <c r="E400" s="9" t="s">
        <v>26</v>
      </c>
      <c r="F400" s="9" t="s">
        <v>26</v>
      </c>
      <c r="G400" s="9" t="s">
        <v>26</v>
      </c>
      <c r="H400" s="9" t="s">
        <v>26</v>
      </c>
      <c r="I400" s="8" t="s">
        <v>26</v>
      </c>
      <c r="J400" s="8" t="s">
        <v>26</v>
      </c>
      <c r="K400" s="8" t="s">
        <v>26</v>
      </c>
      <c r="L400" s="10" t="s">
        <v>28</v>
      </c>
      <c r="M400" s="10" t="s">
        <v>28</v>
      </c>
      <c r="N400" s="12">
        <v>0</v>
      </c>
      <c r="O400" s="8" t="s">
        <v>26</v>
      </c>
      <c r="P400" s="13"/>
      <c r="Q400" s="13"/>
      <c r="R400" s="14">
        <f>IF(AND(P400&gt;0,Q400&gt;0),ROUND((1-Q400/P400)*100,0),0)</f>
        <v>0</v>
      </c>
    </row>
    <row r="401" ht="20" customHeight="1" spans="1:18" x14ac:dyDescent="0.25">
      <c r="A401" s="15" t="s">
        <v>1279</v>
      </c>
      <c r="B401" s="16" t="s">
        <v>1280</v>
      </c>
      <c r="C401" s="16" t="s">
        <v>1281</v>
      </c>
      <c r="D401" s="16" t="s">
        <v>26</v>
      </c>
      <c r="E401" s="17" t="s">
        <v>26</v>
      </c>
      <c r="F401" s="17" t="s">
        <v>26</v>
      </c>
      <c r="G401" s="17" t="s">
        <v>26</v>
      </c>
      <c r="H401" s="17" t="s">
        <v>26</v>
      </c>
      <c r="I401" s="16" t="s">
        <v>26</v>
      </c>
      <c r="J401" s="16" t="s">
        <v>26</v>
      </c>
      <c r="K401" s="16" t="s">
        <v>26</v>
      </c>
      <c r="L401" s="18" t="s">
        <v>28</v>
      </c>
      <c r="M401" s="18" t="s">
        <v>28</v>
      </c>
      <c r="N401" s="20">
        <v>0</v>
      </c>
      <c r="O401" s="16" t="s">
        <v>26</v>
      </c>
      <c r="P401" s="13"/>
      <c r="Q401" s="13"/>
      <c r="R401" s="14">
        <f>IF(AND(P401&gt;0,Q401&gt;0),ROUND((1-Q401/P401)*100,0),0)</f>
        <v>0</v>
      </c>
    </row>
    <row r="402" ht="20" customHeight="1" spans="1:18" x14ac:dyDescent="0.25">
      <c r="A402" s="7" t="s">
        <v>1282</v>
      </c>
      <c r="B402" s="8" t="s">
        <v>1283</v>
      </c>
      <c r="C402" s="8" t="s">
        <v>1284</v>
      </c>
      <c r="D402" s="8" t="s">
        <v>26</v>
      </c>
      <c r="E402" s="9" t="s">
        <v>26</v>
      </c>
      <c r="F402" s="9" t="s">
        <v>26</v>
      </c>
      <c r="G402" s="9" t="s">
        <v>26</v>
      </c>
      <c r="H402" s="9" t="s">
        <v>26</v>
      </c>
      <c r="I402" s="8" t="s">
        <v>26</v>
      </c>
      <c r="J402" s="8" t="s">
        <v>26</v>
      </c>
      <c r="K402" s="8" t="s">
        <v>26</v>
      </c>
      <c r="L402" s="10" t="s">
        <v>28</v>
      </c>
      <c r="M402" s="10" t="s">
        <v>28</v>
      </c>
      <c r="N402" s="12">
        <v>0</v>
      </c>
      <c r="O402" s="8" t="s">
        <v>26</v>
      </c>
      <c r="P402" s="13"/>
      <c r="Q402" s="13"/>
      <c r="R402" s="14">
        <f>IF(AND(P402&gt;0,Q402&gt;0),ROUND((1-Q402/P402)*100,0),0)</f>
        <v>0</v>
      </c>
    </row>
    <row r="403" ht="20" customHeight="1" spans="1:18" x14ac:dyDescent="0.25">
      <c r="A403" s="15" t="s">
        <v>1285</v>
      </c>
      <c r="B403" s="16" t="s">
        <v>1286</v>
      </c>
      <c r="C403" s="16" t="s">
        <v>1287</v>
      </c>
      <c r="D403" s="16" t="s">
        <v>26</v>
      </c>
      <c r="E403" s="17" t="s">
        <v>26</v>
      </c>
      <c r="F403" s="17" t="s">
        <v>26</v>
      </c>
      <c r="G403" s="17" t="s">
        <v>26</v>
      </c>
      <c r="H403" s="17" t="s">
        <v>26</v>
      </c>
      <c r="I403" s="16" t="s">
        <v>26</v>
      </c>
      <c r="J403" s="16" t="s">
        <v>26</v>
      </c>
      <c r="K403" s="16" t="s">
        <v>26</v>
      </c>
      <c r="L403" s="18" t="s">
        <v>28</v>
      </c>
      <c r="M403" s="18" t="s">
        <v>28</v>
      </c>
      <c r="N403" s="20">
        <v>0</v>
      </c>
      <c r="O403" s="16" t="s">
        <v>26</v>
      </c>
      <c r="P403" s="13"/>
      <c r="Q403" s="13"/>
      <c r="R403" s="14">
        <f>IF(AND(P403&gt;0,Q403&gt;0),ROUND((1-Q403/P403)*100,0),0)</f>
        <v>0</v>
      </c>
    </row>
    <row r="404" ht="20" customHeight="1" spans="1:18" x14ac:dyDescent="0.25">
      <c r="A404" s="7" t="s">
        <v>1288</v>
      </c>
      <c r="B404" s="8" t="s">
        <v>1289</v>
      </c>
      <c r="C404" s="8" t="s">
        <v>1290</v>
      </c>
      <c r="D404" s="8" t="s">
        <v>26</v>
      </c>
      <c r="E404" s="9" t="s">
        <v>26</v>
      </c>
      <c r="F404" s="9" t="s">
        <v>26</v>
      </c>
      <c r="G404" s="9" t="s">
        <v>26</v>
      </c>
      <c r="H404" s="9" t="s">
        <v>26</v>
      </c>
      <c r="I404" s="8" t="s">
        <v>26</v>
      </c>
      <c r="J404" s="8" t="s">
        <v>26</v>
      </c>
      <c r="K404" s="8" t="s">
        <v>26</v>
      </c>
      <c r="L404" s="10" t="s">
        <v>28</v>
      </c>
      <c r="M404" s="10" t="s">
        <v>28</v>
      </c>
      <c r="N404" s="12">
        <v>0</v>
      </c>
      <c r="O404" s="8" t="s">
        <v>26</v>
      </c>
      <c r="P404" s="13"/>
      <c r="Q404" s="13"/>
      <c r="R404" s="14">
        <f>IF(AND(P404&gt;0,Q404&gt;0),ROUND((1-Q404/P404)*100,0),0)</f>
        <v>0</v>
      </c>
    </row>
    <row r="405" ht="20" customHeight="1" spans="1:18" x14ac:dyDescent="0.25">
      <c r="A405" s="15" t="s">
        <v>1291</v>
      </c>
      <c r="B405" s="16" t="s">
        <v>1292</v>
      </c>
      <c r="C405" s="16" t="s">
        <v>1293</v>
      </c>
      <c r="D405" s="16" t="s">
        <v>26</v>
      </c>
      <c r="E405" s="17" t="s">
        <v>26</v>
      </c>
      <c r="F405" s="17" t="s">
        <v>26</v>
      </c>
      <c r="G405" s="17" t="s">
        <v>26</v>
      </c>
      <c r="H405" s="17" t="s">
        <v>26</v>
      </c>
      <c r="I405" s="16" t="s">
        <v>26</v>
      </c>
      <c r="J405" s="16" t="s">
        <v>26</v>
      </c>
      <c r="K405" s="16" t="s">
        <v>26</v>
      </c>
      <c r="L405" s="18" t="s">
        <v>28</v>
      </c>
      <c r="M405" s="18" t="s">
        <v>28</v>
      </c>
      <c r="N405" s="20">
        <v>0</v>
      </c>
      <c r="O405" s="16" t="s">
        <v>26</v>
      </c>
      <c r="P405" s="13"/>
      <c r="Q405" s="13"/>
      <c r="R405" s="14">
        <f>IF(AND(P405&gt;0,Q405&gt;0),ROUND((1-Q405/P405)*100,0),0)</f>
        <v>0</v>
      </c>
    </row>
    <row r="406" ht="20" customHeight="1" spans="1:18" x14ac:dyDescent="0.25">
      <c r="A406" s="7" t="s">
        <v>1294</v>
      </c>
      <c r="B406" s="8" t="s">
        <v>1295</v>
      </c>
      <c r="C406" s="8" t="s">
        <v>1296</v>
      </c>
      <c r="D406" s="8" t="s">
        <v>26</v>
      </c>
      <c r="E406" s="9" t="s">
        <v>26</v>
      </c>
      <c r="F406" s="9" t="s">
        <v>26</v>
      </c>
      <c r="G406" s="9" t="s">
        <v>26</v>
      </c>
      <c r="H406" s="9" t="s">
        <v>26</v>
      </c>
      <c r="I406" s="8" t="s">
        <v>26</v>
      </c>
      <c r="J406" s="8" t="s">
        <v>26</v>
      </c>
      <c r="K406" s="8" t="s">
        <v>26</v>
      </c>
      <c r="L406" s="10" t="s">
        <v>28</v>
      </c>
      <c r="M406" s="10" t="s">
        <v>28</v>
      </c>
      <c r="N406" s="12">
        <v>0</v>
      </c>
      <c r="O406" s="8" t="s">
        <v>26</v>
      </c>
      <c r="P406" s="13"/>
      <c r="Q406" s="13"/>
      <c r="R406" s="14">
        <f>IF(AND(P406&gt;0,Q406&gt;0),ROUND((1-Q406/P406)*100,0),0)</f>
        <v>0</v>
      </c>
    </row>
    <row r="407" ht="20" customHeight="1" spans="1:18" x14ac:dyDescent="0.25">
      <c r="A407" s="15" t="s">
        <v>1297</v>
      </c>
      <c r="B407" s="16" t="s">
        <v>1298</v>
      </c>
      <c r="C407" s="16" t="s">
        <v>1299</v>
      </c>
      <c r="D407" s="16" t="s">
        <v>26</v>
      </c>
      <c r="E407" s="17" t="s">
        <v>26</v>
      </c>
      <c r="F407" s="17" t="s">
        <v>26</v>
      </c>
      <c r="G407" s="17" t="s">
        <v>26</v>
      </c>
      <c r="H407" s="17" t="s">
        <v>26</v>
      </c>
      <c r="I407" s="16" t="s">
        <v>26</v>
      </c>
      <c r="J407" s="16" t="s">
        <v>26</v>
      </c>
      <c r="K407" s="16" t="s">
        <v>26</v>
      </c>
      <c r="L407" s="18" t="s">
        <v>28</v>
      </c>
      <c r="M407" s="18" t="s">
        <v>28</v>
      </c>
      <c r="N407" s="20">
        <v>0</v>
      </c>
      <c r="O407" s="16" t="s">
        <v>26</v>
      </c>
      <c r="P407" s="13"/>
      <c r="Q407" s="13"/>
      <c r="R407" s="14">
        <f>IF(AND(P407&gt;0,Q407&gt;0),ROUND((1-Q407/P407)*100,0),0)</f>
        <v>0</v>
      </c>
    </row>
    <row r="408" ht="20" customHeight="1" spans="1:18" x14ac:dyDescent="0.25">
      <c r="A408" s="7" t="s">
        <v>1300</v>
      </c>
      <c r="B408" s="8" t="s">
        <v>1301</v>
      </c>
      <c r="C408" s="8" t="s">
        <v>1302</v>
      </c>
      <c r="D408" s="8" t="s">
        <v>26</v>
      </c>
      <c r="E408" s="9" t="s">
        <v>26</v>
      </c>
      <c r="F408" s="9" t="s">
        <v>26</v>
      </c>
      <c r="G408" s="9" t="s">
        <v>26</v>
      </c>
      <c r="H408" s="9" t="s">
        <v>26</v>
      </c>
      <c r="I408" s="8" t="s">
        <v>26</v>
      </c>
      <c r="J408" s="8" t="s">
        <v>26</v>
      </c>
      <c r="K408" s="8" t="s">
        <v>26</v>
      </c>
      <c r="L408" s="10" t="s">
        <v>28</v>
      </c>
      <c r="M408" s="10" t="s">
        <v>28</v>
      </c>
      <c r="N408" s="12">
        <v>0</v>
      </c>
      <c r="O408" s="8" t="s">
        <v>26</v>
      </c>
      <c r="P408" s="13"/>
      <c r="Q408" s="13"/>
      <c r="R408" s="14">
        <f>IF(AND(P408&gt;0,Q408&gt;0),ROUND((1-Q408/P408)*100,0),0)</f>
        <v>0</v>
      </c>
    </row>
    <row r="409" ht="20" customHeight="1" spans="1:18" x14ac:dyDescent="0.25">
      <c r="A409" s="15" t="s">
        <v>1303</v>
      </c>
      <c r="B409" s="16" t="s">
        <v>1304</v>
      </c>
      <c r="C409" s="16" t="s">
        <v>1305</v>
      </c>
      <c r="D409" s="16" t="s">
        <v>26</v>
      </c>
      <c r="E409" s="17" t="s">
        <v>26</v>
      </c>
      <c r="F409" s="17" t="s">
        <v>26</v>
      </c>
      <c r="G409" s="17" t="s">
        <v>26</v>
      </c>
      <c r="H409" s="17" t="s">
        <v>26</v>
      </c>
      <c r="I409" s="16" t="s">
        <v>26</v>
      </c>
      <c r="J409" s="16" t="s">
        <v>26</v>
      </c>
      <c r="K409" s="16" t="s">
        <v>26</v>
      </c>
      <c r="L409" s="18" t="s">
        <v>28</v>
      </c>
      <c r="M409" s="18" t="s">
        <v>28</v>
      </c>
      <c r="N409" s="20">
        <v>0</v>
      </c>
      <c r="O409" s="16" t="s">
        <v>26</v>
      </c>
      <c r="P409" s="13"/>
      <c r="Q409" s="13"/>
      <c r="R409" s="14">
        <f>IF(AND(P409&gt;0,Q409&gt;0),ROUND((1-Q409/P409)*100,0),0)</f>
        <v>0</v>
      </c>
    </row>
    <row r="410" ht="20" customHeight="1" spans="1:18" x14ac:dyDescent="0.25">
      <c r="A410" s="7" t="s">
        <v>1306</v>
      </c>
      <c r="B410" s="8" t="s">
        <v>1307</v>
      </c>
      <c r="C410" s="8" t="s">
        <v>1308</v>
      </c>
      <c r="D410" s="8" t="s">
        <v>26</v>
      </c>
      <c r="E410" s="9" t="s">
        <v>26</v>
      </c>
      <c r="F410" s="9" t="s">
        <v>26</v>
      </c>
      <c r="G410" s="9" t="s">
        <v>26</v>
      </c>
      <c r="H410" s="9" t="s">
        <v>26</v>
      </c>
      <c r="I410" s="8" t="s">
        <v>26</v>
      </c>
      <c r="J410" s="8" t="s">
        <v>26</v>
      </c>
      <c r="K410" s="8" t="s">
        <v>26</v>
      </c>
      <c r="L410" s="10" t="s">
        <v>28</v>
      </c>
      <c r="M410" s="10" t="s">
        <v>28</v>
      </c>
      <c r="N410" s="12">
        <v>0</v>
      </c>
      <c r="O410" s="8" t="s">
        <v>26</v>
      </c>
      <c r="P410" s="13"/>
      <c r="Q410" s="13"/>
      <c r="R410" s="14">
        <f>IF(AND(P410&gt;0,Q410&gt;0),ROUND((1-Q410/P410)*100,0),0)</f>
        <v>0</v>
      </c>
    </row>
    <row r="411" ht="20" customHeight="1" spans="1:18" x14ac:dyDescent="0.25">
      <c r="A411" s="15" t="s">
        <v>1309</v>
      </c>
      <c r="B411" s="16" t="s">
        <v>1310</v>
      </c>
      <c r="C411" s="16" t="s">
        <v>1311</v>
      </c>
      <c r="D411" s="16" t="s">
        <v>26</v>
      </c>
      <c r="E411" s="17" t="s">
        <v>26</v>
      </c>
      <c r="F411" s="17" t="s">
        <v>26</v>
      </c>
      <c r="G411" s="17" t="s">
        <v>26</v>
      </c>
      <c r="H411" s="17" t="s">
        <v>26</v>
      </c>
      <c r="I411" s="16" t="s">
        <v>26</v>
      </c>
      <c r="J411" s="16" t="s">
        <v>26</v>
      </c>
      <c r="K411" s="16" t="s">
        <v>26</v>
      </c>
      <c r="L411" s="18" t="s">
        <v>28</v>
      </c>
      <c r="M411" s="18" t="s">
        <v>28</v>
      </c>
      <c r="N411" s="20">
        <v>0</v>
      </c>
      <c r="O411" s="16" t="s">
        <v>26</v>
      </c>
      <c r="P411" s="13"/>
      <c r="Q411" s="13"/>
      <c r="R411" s="14">
        <f>IF(AND(P411&gt;0,Q411&gt;0),ROUND((1-Q411/P411)*100,0),0)</f>
        <v>0</v>
      </c>
    </row>
    <row r="412" ht="20" customHeight="1" spans="1:18" x14ac:dyDescent="0.25">
      <c r="A412" s="7" t="s">
        <v>1312</v>
      </c>
      <c r="B412" s="8" t="s">
        <v>1313</v>
      </c>
      <c r="C412" s="8" t="s">
        <v>1314</v>
      </c>
      <c r="D412" s="8" t="s">
        <v>26</v>
      </c>
      <c r="E412" s="9" t="s">
        <v>26</v>
      </c>
      <c r="F412" s="9" t="s">
        <v>26</v>
      </c>
      <c r="G412" s="9" t="s">
        <v>26</v>
      </c>
      <c r="H412" s="9" t="s">
        <v>26</v>
      </c>
      <c r="I412" s="8" t="s">
        <v>26</v>
      </c>
      <c r="J412" s="8" t="s">
        <v>26</v>
      </c>
      <c r="K412" s="8" t="s">
        <v>26</v>
      </c>
      <c r="L412" s="10" t="s">
        <v>28</v>
      </c>
      <c r="M412" s="10" t="s">
        <v>28</v>
      </c>
      <c r="N412" s="12">
        <v>0</v>
      </c>
      <c r="O412" s="8" t="s">
        <v>26</v>
      </c>
      <c r="P412" s="13"/>
      <c r="Q412" s="13"/>
      <c r="R412" s="14">
        <f>IF(AND(P412&gt;0,Q412&gt;0),ROUND((1-Q412/P412)*100,0),0)</f>
        <v>0</v>
      </c>
    </row>
    <row r="413" ht="20" customHeight="1" spans="1:18" x14ac:dyDescent="0.25">
      <c r="A413" s="15" t="s">
        <v>1315</v>
      </c>
      <c r="B413" s="16" t="s">
        <v>1316</v>
      </c>
      <c r="C413" s="16" t="s">
        <v>1317</v>
      </c>
      <c r="D413" s="16" t="s">
        <v>26</v>
      </c>
      <c r="E413" s="17" t="s">
        <v>26</v>
      </c>
      <c r="F413" s="17" t="s">
        <v>26</v>
      </c>
      <c r="G413" s="17" t="s">
        <v>26</v>
      </c>
      <c r="H413" s="17" t="s">
        <v>26</v>
      </c>
      <c r="I413" s="16" t="s">
        <v>26</v>
      </c>
      <c r="J413" s="16" t="s">
        <v>26</v>
      </c>
      <c r="K413" s="16" t="s">
        <v>26</v>
      </c>
      <c r="L413" s="18" t="s">
        <v>28</v>
      </c>
      <c r="M413" s="18" t="s">
        <v>28</v>
      </c>
      <c r="N413" s="20">
        <v>0</v>
      </c>
      <c r="O413" s="16" t="s">
        <v>26</v>
      </c>
      <c r="P413" s="13"/>
      <c r="Q413" s="13"/>
      <c r="R413" s="14">
        <f>IF(AND(P413&gt;0,Q413&gt;0),ROUND((1-Q413/P413)*100,0),0)</f>
        <v>0</v>
      </c>
    </row>
    <row r="414" ht="20" customHeight="1" spans="1:18" x14ac:dyDescent="0.25">
      <c r="A414" s="7" t="s">
        <v>1318</v>
      </c>
      <c r="B414" s="8" t="s">
        <v>1319</v>
      </c>
      <c r="C414" s="8" t="s">
        <v>1320</v>
      </c>
      <c r="D414" s="8" t="s">
        <v>26</v>
      </c>
      <c r="E414" s="9" t="s">
        <v>26</v>
      </c>
      <c r="F414" s="9" t="s">
        <v>26</v>
      </c>
      <c r="G414" s="9" t="s">
        <v>26</v>
      </c>
      <c r="H414" s="9" t="s">
        <v>26</v>
      </c>
      <c r="I414" s="8" t="s">
        <v>26</v>
      </c>
      <c r="J414" s="8" t="s">
        <v>26</v>
      </c>
      <c r="K414" s="8" t="s">
        <v>26</v>
      </c>
      <c r="L414" s="10" t="s">
        <v>28</v>
      </c>
      <c r="M414" s="10" t="s">
        <v>28</v>
      </c>
      <c r="N414" s="12">
        <v>0</v>
      </c>
      <c r="O414" s="8" t="s">
        <v>26</v>
      </c>
      <c r="P414" s="13"/>
      <c r="Q414" s="13"/>
      <c r="R414" s="14">
        <f>IF(AND(P414&gt;0,Q414&gt;0),ROUND((1-Q414/P414)*100,0),0)</f>
        <v>0</v>
      </c>
    </row>
    <row r="415" ht="20" customHeight="1" spans="1:18" x14ac:dyDescent="0.25">
      <c r="A415" s="15" t="s">
        <v>1321</v>
      </c>
      <c r="B415" s="16" t="s">
        <v>1322</v>
      </c>
      <c r="C415" s="16" t="s">
        <v>1323</v>
      </c>
      <c r="D415" s="16" t="s">
        <v>26</v>
      </c>
      <c r="E415" s="17" t="s">
        <v>26</v>
      </c>
      <c r="F415" s="17" t="s">
        <v>26</v>
      </c>
      <c r="G415" s="17" t="s">
        <v>26</v>
      </c>
      <c r="H415" s="17" t="s">
        <v>26</v>
      </c>
      <c r="I415" s="16" t="s">
        <v>26</v>
      </c>
      <c r="J415" s="16" t="s">
        <v>26</v>
      </c>
      <c r="K415" s="16" t="s">
        <v>26</v>
      </c>
      <c r="L415" s="18" t="s">
        <v>28</v>
      </c>
      <c r="M415" s="18" t="s">
        <v>28</v>
      </c>
      <c r="N415" s="20">
        <v>0</v>
      </c>
      <c r="O415" s="16" t="s">
        <v>26</v>
      </c>
      <c r="P415" s="13"/>
      <c r="Q415" s="13"/>
      <c r="R415" s="14">
        <f>IF(AND(P415&gt;0,Q415&gt;0),ROUND((1-Q415/P415)*100,0),0)</f>
        <v>0</v>
      </c>
    </row>
    <row r="416" ht="20" customHeight="1" spans="1:18" x14ac:dyDescent="0.25">
      <c r="A416" s="7" t="s">
        <v>1324</v>
      </c>
      <c r="B416" s="8" t="s">
        <v>1325</v>
      </c>
      <c r="C416" s="8" t="s">
        <v>1326</v>
      </c>
      <c r="D416" s="8" t="s">
        <v>26</v>
      </c>
      <c r="E416" s="9" t="s">
        <v>26</v>
      </c>
      <c r="F416" s="9" t="s">
        <v>26</v>
      </c>
      <c r="G416" s="9" t="s">
        <v>26</v>
      </c>
      <c r="H416" s="9" t="s">
        <v>26</v>
      </c>
      <c r="I416" s="8" t="s">
        <v>26</v>
      </c>
      <c r="J416" s="8" t="s">
        <v>26</v>
      </c>
      <c r="K416" s="8" t="s">
        <v>26</v>
      </c>
      <c r="L416" s="10" t="s">
        <v>28</v>
      </c>
      <c r="M416" s="10" t="s">
        <v>28</v>
      </c>
      <c r="N416" s="12">
        <v>0</v>
      </c>
      <c r="O416" s="8" t="s">
        <v>26</v>
      </c>
      <c r="P416" s="13"/>
      <c r="Q416" s="13"/>
      <c r="R416" s="14">
        <f>IF(AND(P416&gt;0,Q416&gt;0),ROUND((1-Q416/P416)*100,0),0)</f>
        <v>0</v>
      </c>
    </row>
    <row r="417" ht="20" customHeight="1" spans="1:18" x14ac:dyDescent="0.25">
      <c r="A417" s="15" t="s">
        <v>1327</v>
      </c>
      <c r="B417" s="16" t="s">
        <v>1328</v>
      </c>
      <c r="C417" s="16" t="s">
        <v>1329</v>
      </c>
      <c r="D417" s="16" t="s">
        <v>26</v>
      </c>
      <c r="E417" s="17" t="s">
        <v>26</v>
      </c>
      <c r="F417" s="17" t="s">
        <v>26</v>
      </c>
      <c r="G417" s="17" t="s">
        <v>26</v>
      </c>
      <c r="H417" s="17" t="s">
        <v>26</v>
      </c>
      <c r="I417" s="16" t="s">
        <v>26</v>
      </c>
      <c r="J417" s="16" t="s">
        <v>26</v>
      </c>
      <c r="K417" s="16" t="s">
        <v>26</v>
      </c>
      <c r="L417" s="18" t="s">
        <v>28</v>
      </c>
      <c r="M417" s="18" t="s">
        <v>28</v>
      </c>
      <c r="N417" s="20">
        <v>0</v>
      </c>
      <c r="O417" s="16" t="s">
        <v>26</v>
      </c>
      <c r="P417" s="13"/>
      <c r="Q417" s="13"/>
      <c r="R417" s="14">
        <f>IF(AND(P417&gt;0,Q417&gt;0),ROUND((1-Q417/P417)*100,0),0)</f>
        <v>0</v>
      </c>
    </row>
    <row r="418" ht="20" customHeight="1" spans="1:18" x14ac:dyDescent="0.25">
      <c r="A418" s="7" t="s">
        <v>1330</v>
      </c>
      <c r="B418" s="8" t="s">
        <v>1331</v>
      </c>
      <c r="C418" s="8" t="s">
        <v>1332</v>
      </c>
      <c r="D418" s="8" t="s">
        <v>26</v>
      </c>
      <c r="E418" s="9" t="s">
        <v>26</v>
      </c>
      <c r="F418" s="9" t="s">
        <v>26</v>
      </c>
      <c r="G418" s="9" t="s">
        <v>26</v>
      </c>
      <c r="H418" s="9" t="s">
        <v>26</v>
      </c>
      <c r="I418" s="8" t="s">
        <v>26</v>
      </c>
      <c r="J418" s="8" t="s">
        <v>26</v>
      </c>
      <c r="K418" s="8" t="s">
        <v>26</v>
      </c>
      <c r="L418" s="10" t="s">
        <v>28</v>
      </c>
      <c r="M418" s="10" t="s">
        <v>28</v>
      </c>
      <c r="N418" s="12">
        <v>0</v>
      </c>
      <c r="O418" s="8" t="s">
        <v>26</v>
      </c>
      <c r="P418" s="13"/>
      <c r="Q418" s="13"/>
      <c r="R418" s="14">
        <f>IF(AND(P418&gt;0,Q418&gt;0),ROUND((1-Q418/P418)*100,0),0)</f>
        <v>0</v>
      </c>
    </row>
    <row r="419" ht="20" customHeight="1" spans="1:18" x14ac:dyDescent="0.25">
      <c r="A419" s="15" t="s">
        <v>1333</v>
      </c>
      <c r="B419" s="16" t="s">
        <v>1334</v>
      </c>
      <c r="C419" s="16" t="s">
        <v>1335</v>
      </c>
      <c r="D419" s="16" t="s">
        <v>26</v>
      </c>
      <c r="E419" s="17" t="s">
        <v>26</v>
      </c>
      <c r="F419" s="17" t="s">
        <v>26</v>
      </c>
      <c r="G419" s="17" t="s">
        <v>26</v>
      </c>
      <c r="H419" s="17" t="s">
        <v>26</v>
      </c>
      <c r="I419" s="16" t="s">
        <v>26</v>
      </c>
      <c r="J419" s="16" t="s">
        <v>26</v>
      </c>
      <c r="K419" s="16" t="s">
        <v>26</v>
      </c>
      <c r="L419" s="18" t="s">
        <v>28</v>
      </c>
      <c r="M419" s="18" t="s">
        <v>28</v>
      </c>
      <c r="N419" s="20">
        <v>0</v>
      </c>
      <c r="O419" s="16" t="s">
        <v>26</v>
      </c>
      <c r="P419" s="13"/>
      <c r="Q419" s="13"/>
      <c r="R419" s="14">
        <f>IF(AND(P419&gt;0,Q419&gt;0),ROUND((1-Q419/P419)*100,0),0)</f>
        <v>0</v>
      </c>
    </row>
    <row r="420" ht="20" customHeight="1" spans="1:18" x14ac:dyDescent="0.25">
      <c r="A420" s="7" t="s">
        <v>1336</v>
      </c>
      <c r="B420" s="8" t="s">
        <v>1337</v>
      </c>
      <c r="C420" s="8" t="s">
        <v>1338</v>
      </c>
      <c r="D420" s="8" t="s">
        <v>26</v>
      </c>
      <c r="E420" s="9" t="s">
        <v>26</v>
      </c>
      <c r="F420" s="9" t="s">
        <v>26</v>
      </c>
      <c r="G420" s="9" t="s">
        <v>26</v>
      </c>
      <c r="H420" s="9" t="s">
        <v>26</v>
      </c>
      <c r="I420" s="8" t="s">
        <v>26</v>
      </c>
      <c r="J420" s="8" t="s">
        <v>26</v>
      </c>
      <c r="K420" s="8" t="s">
        <v>26</v>
      </c>
      <c r="L420" s="10" t="s">
        <v>28</v>
      </c>
      <c r="M420" s="10" t="s">
        <v>28</v>
      </c>
      <c r="N420" s="12">
        <v>0</v>
      </c>
      <c r="O420" s="8" t="s">
        <v>26</v>
      </c>
      <c r="P420" s="13"/>
      <c r="Q420" s="13"/>
      <c r="R420" s="14">
        <f>IF(AND(P420&gt;0,Q420&gt;0),ROUND((1-Q420/P420)*100,0),0)</f>
        <v>0</v>
      </c>
    </row>
    <row r="421" ht="20" customHeight="1" spans="1:18" x14ac:dyDescent="0.25">
      <c r="A421" s="15" t="s">
        <v>1339</v>
      </c>
      <c r="B421" s="16" t="s">
        <v>1340</v>
      </c>
      <c r="C421" s="16" t="s">
        <v>1341</v>
      </c>
      <c r="D421" s="16" t="s">
        <v>26</v>
      </c>
      <c r="E421" s="17" t="s">
        <v>26</v>
      </c>
      <c r="F421" s="17" t="s">
        <v>26</v>
      </c>
      <c r="G421" s="17" t="s">
        <v>26</v>
      </c>
      <c r="H421" s="17" t="s">
        <v>26</v>
      </c>
      <c r="I421" s="16" t="s">
        <v>26</v>
      </c>
      <c r="J421" s="16" t="s">
        <v>26</v>
      </c>
      <c r="K421" s="16" t="s">
        <v>26</v>
      </c>
      <c r="L421" s="18" t="s">
        <v>28</v>
      </c>
      <c r="M421" s="18" t="s">
        <v>28</v>
      </c>
      <c r="N421" s="20">
        <v>0</v>
      </c>
      <c r="O421" s="16" t="s">
        <v>26</v>
      </c>
      <c r="P421" s="13"/>
      <c r="Q421" s="13"/>
      <c r="R421" s="14">
        <f>IF(AND(P421&gt;0,Q421&gt;0),ROUND((1-Q421/P421)*100,0),0)</f>
        <v>0</v>
      </c>
    </row>
    <row r="422" ht="20" customHeight="1" spans="1:18" x14ac:dyDescent="0.25">
      <c r="A422" s="7" t="s">
        <v>1342</v>
      </c>
      <c r="B422" s="8" t="s">
        <v>1343</v>
      </c>
      <c r="C422" s="8" t="s">
        <v>1344</v>
      </c>
      <c r="D422" s="8" t="s">
        <v>26</v>
      </c>
      <c r="E422" s="9" t="s">
        <v>26</v>
      </c>
      <c r="F422" s="9" t="s">
        <v>26</v>
      </c>
      <c r="G422" s="9" t="s">
        <v>26</v>
      </c>
      <c r="H422" s="9" t="s">
        <v>26</v>
      </c>
      <c r="I422" s="8" t="s">
        <v>26</v>
      </c>
      <c r="J422" s="8" t="s">
        <v>26</v>
      </c>
      <c r="K422" s="8" t="s">
        <v>26</v>
      </c>
      <c r="L422" s="10" t="s">
        <v>28</v>
      </c>
      <c r="M422" s="10" t="s">
        <v>28</v>
      </c>
      <c r="N422" s="12">
        <v>0</v>
      </c>
      <c r="O422" s="8" t="s">
        <v>26</v>
      </c>
      <c r="P422" s="13"/>
      <c r="Q422" s="13"/>
      <c r="R422" s="14">
        <f>IF(AND(P422&gt;0,Q422&gt;0),ROUND((1-Q422/P422)*100,0),0)</f>
        <v>0</v>
      </c>
    </row>
    <row r="423" ht="20" customHeight="1" spans="1:18" x14ac:dyDescent="0.25">
      <c r="A423" s="15" t="s">
        <v>1345</v>
      </c>
      <c r="B423" s="16" t="s">
        <v>1346</v>
      </c>
      <c r="C423" s="16" t="s">
        <v>1347</v>
      </c>
      <c r="D423" s="16" t="s">
        <v>26</v>
      </c>
      <c r="E423" s="17" t="s">
        <v>26</v>
      </c>
      <c r="F423" s="17" t="s">
        <v>26</v>
      </c>
      <c r="G423" s="17" t="s">
        <v>26</v>
      </c>
      <c r="H423" s="17" t="s">
        <v>26</v>
      </c>
      <c r="I423" s="16" t="s">
        <v>26</v>
      </c>
      <c r="J423" s="16" t="s">
        <v>26</v>
      </c>
      <c r="K423" s="16" t="s">
        <v>26</v>
      </c>
      <c r="L423" s="18" t="s">
        <v>28</v>
      </c>
      <c r="M423" s="18" t="s">
        <v>28</v>
      </c>
      <c r="N423" s="20">
        <v>0</v>
      </c>
      <c r="O423" s="16" t="s">
        <v>26</v>
      </c>
      <c r="P423" s="13"/>
      <c r="Q423" s="13"/>
      <c r="R423" s="14">
        <f>IF(AND(P423&gt;0,Q423&gt;0),ROUND((1-Q423/P423)*100,0),0)</f>
        <v>0</v>
      </c>
    </row>
    <row r="424" ht="20" customHeight="1" spans="1:18" x14ac:dyDescent="0.25">
      <c r="A424" s="7" t="s">
        <v>1348</v>
      </c>
      <c r="B424" s="8" t="s">
        <v>1349</v>
      </c>
      <c r="C424" s="8" t="s">
        <v>1350</v>
      </c>
      <c r="D424" s="8" t="s">
        <v>26</v>
      </c>
      <c r="E424" s="9" t="s">
        <v>26</v>
      </c>
      <c r="F424" s="9" t="s">
        <v>26</v>
      </c>
      <c r="G424" s="9" t="s">
        <v>26</v>
      </c>
      <c r="H424" s="9" t="s">
        <v>26</v>
      </c>
      <c r="I424" s="8" t="s">
        <v>26</v>
      </c>
      <c r="J424" s="8" t="s">
        <v>26</v>
      </c>
      <c r="K424" s="8" t="s">
        <v>26</v>
      </c>
      <c r="L424" s="10" t="s">
        <v>28</v>
      </c>
      <c r="M424" s="10" t="s">
        <v>28</v>
      </c>
      <c r="N424" s="12">
        <v>0</v>
      </c>
      <c r="O424" s="8" t="s">
        <v>26</v>
      </c>
      <c r="P424" s="13"/>
      <c r="Q424" s="13"/>
      <c r="R424" s="14">
        <f>IF(AND(P424&gt;0,Q424&gt;0),ROUND((1-Q424/P424)*100,0),0)</f>
        <v>0</v>
      </c>
    </row>
    <row r="425" ht="20" customHeight="1" spans="1:18" x14ac:dyDescent="0.25">
      <c r="A425" s="15" t="s">
        <v>1351</v>
      </c>
      <c r="B425" s="16" t="s">
        <v>1352</v>
      </c>
      <c r="C425" s="16" t="s">
        <v>1353</v>
      </c>
      <c r="D425" s="16" t="s">
        <v>26</v>
      </c>
      <c r="E425" s="17" t="s">
        <v>26</v>
      </c>
      <c r="F425" s="17" t="s">
        <v>26</v>
      </c>
      <c r="G425" s="17" t="s">
        <v>26</v>
      </c>
      <c r="H425" s="17" t="s">
        <v>26</v>
      </c>
      <c r="I425" s="16" t="s">
        <v>26</v>
      </c>
      <c r="J425" s="16" t="s">
        <v>26</v>
      </c>
      <c r="K425" s="16" t="s">
        <v>26</v>
      </c>
      <c r="L425" s="18" t="s">
        <v>28</v>
      </c>
      <c r="M425" s="18" t="s">
        <v>28</v>
      </c>
      <c r="N425" s="20">
        <v>0</v>
      </c>
      <c r="O425" s="16" t="s">
        <v>26</v>
      </c>
      <c r="P425" s="13"/>
      <c r="Q425" s="13"/>
      <c r="R425" s="14">
        <f>IF(AND(P425&gt;0,Q425&gt;0),ROUND((1-Q425/P425)*100,0),0)</f>
        <v>0</v>
      </c>
    </row>
    <row r="426" ht="20" customHeight="1" spans="1:18" x14ac:dyDescent="0.25">
      <c r="A426" s="7" t="s">
        <v>1354</v>
      </c>
      <c r="B426" s="8" t="s">
        <v>1355</v>
      </c>
      <c r="C426" s="8" t="s">
        <v>1356</v>
      </c>
      <c r="D426" s="8" t="s">
        <v>26</v>
      </c>
      <c r="E426" s="9" t="s">
        <v>26</v>
      </c>
      <c r="F426" s="9" t="s">
        <v>26</v>
      </c>
      <c r="G426" s="9" t="s">
        <v>26</v>
      </c>
      <c r="H426" s="9" t="s">
        <v>26</v>
      </c>
      <c r="I426" s="8" t="s">
        <v>26</v>
      </c>
      <c r="J426" s="8" t="s">
        <v>26</v>
      </c>
      <c r="K426" s="8" t="s">
        <v>26</v>
      </c>
      <c r="L426" s="10" t="s">
        <v>28</v>
      </c>
      <c r="M426" s="10" t="s">
        <v>28</v>
      </c>
      <c r="N426" s="12">
        <v>0</v>
      </c>
      <c r="O426" s="8" t="s">
        <v>26</v>
      </c>
      <c r="P426" s="13"/>
      <c r="Q426" s="13"/>
      <c r="R426" s="14">
        <f>IF(AND(P426&gt;0,Q426&gt;0),ROUND((1-Q426/P426)*100,0),0)</f>
        <v>0</v>
      </c>
    </row>
    <row r="427" ht="20" customHeight="1" spans="1:18" x14ac:dyDescent="0.25">
      <c r="A427" s="15" t="s">
        <v>1357</v>
      </c>
      <c r="B427" s="16" t="s">
        <v>1358</v>
      </c>
      <c r="C427" s="16" t="s">
        <v>1359</v>
      </c>
      <c r="D427" s="16" t="s">
        <v>26</v>
      </c>
      <c r="E427" s="17" t="s">
        <v>26</v>
      </c>
      <c r="F427" s="17" t="s">
        <v>26</v>
      </c>
      <c r="G427" s="17" t="s">
        <v>26</v>
      </c>
      <c r="H427" s="17" t="s">
        <v>26</v>
      </c>
      <c r="I427" s="16" t="s">
        <v>26</v>
      </c>
      <c r="J427" s="16" t="s">
        <v>26</v>
      </c>
      <c r="K427" s="16" t="s">
        <v>26</v>
      </c>
      <c r="L427" s="18" t="s">
        <v>28</v>
      </c>
      <c r="M427" s="18" t="s">
        <v>28</v>
      </c>
      <c r="N427" s="20">
        <v>0</v>
      </c>
      <c r="O427" s="16" t="s">
        <v>26</v>
      </c>
      <c r="P427" s="13"/>
      <c r="Q427" s="13"/>
      <c r="R427" s="14">
        <f>IF(AND(P427&gt;0,Q427&gt;0),ROUND((1-Q427/P427)*100,0),0)</f>
        <v>0</v>
      </c>
    </row>
    <row r="428" ht="20" customHeight="1" spans="1:18" x14ac:dyDescent="0.25">
      <c r="A428" s="7" t="s">
        <v>1360</v>
      </c>
      <c r="B428" s="8" t="s">
        <v>1361</v>
      </c>
      <c r="C428" s="8" t="s">
        <v>1362</v>
      </c>
      <c r="D428" s="8" t="s">
        <v>26</v>
      </c>
      <c r="E428" s="9" t="s">
        <v>26</v>
      </c>
      <c r="F428" s="9" t="s">
        <v>26</v>
      </c>
      <c r="G428" s="9" t="s">
        <v>26</v>
      </c>
      <c r="H428" s="9" t="s">
        <v>26</v>
      </c>
      <c r="I428" s="8" t="s">
        <v>26</v>
      </c>
      <c r="J428" s="8" t="s">
        <v>26</v>
      </c>
      <c r="K428" s="8" t="s">
        <v>26</v>
      </c>
      <c r="L428" s="10" t="s">
        <v>28</v>
      </c>
      <c r="M428" s="10" t="s">
        <v>28</v>
      </c>
      <c r="N428" s="12">
        <v>0</v>
      </c>
      <c r="O428" s="8" t="s">
        <v>26</v>
      </c>
      <c r="P428" s="13"/>
      <c r="Q428" s="13"/>
      <c r="R428" s="14">
        <f>IF(AND(P428&gt;0,Q428&gt;0),ROUND((1-Q428/P428)*100,0),0)</f>
        <v>0</v>
      </c>
    </row>
    <row r="429" ht="20" customHeight="1" spans="1:18" x14ac:dyDescent="0.25">
      <c r="A429" s="15" t="s">
        <v>1363</v>
      </c>
      <c r="B429" s="16" t="s">
        <v>1364</v>
      </c>
      <c r="C429" s="16" t="s">
        <v>1365</v>
      </c>
      <c r="D429" s="16" t="s">
        <v>26</v>
      </c>
      <c r="E429" s="17" t="s">
        <v>26</v>
      </c>
      <c r="F429" s="17" t="s">
        <v>26</v>
      </c>
      <c r="G429" s="17" t="s">
        <v>26</v>
      </c>
      <c r="H429" s="17" t="s">
        <v>26</v>
      </c>
      <c r="I429" s="16" t="s">
        <v>26</v>
      </c>
      <c r="J429" s="16" t="s">
        <v>26</v>
      </c>
      <c r="K429" s="16" t="s">
        <v>26</v>
      </c>
      <c r="L429" s="18" t="s">
        <v>28</v>
      </c>
      <c r="M429" s="18" t="s">
        <v>28</v>
      </c>
      <c r="N429" s="20">
        <v>0</v>
      </c>
      <c r="O429" s="16" t="s">
        <v>26</v>
      </c>
      <c r="P429" s="13"/>
      <c r="Q429" s="13"/>
      <c r="R429" s="14">
        <f>IF(AND(P429&gt;0,Q429&gt;0),ROUND((1-Q429/P429)*100,0),0)</f>
        <v>0</v>
      </c>
    </row>
    <row r="430" ht="20" customHeight="1" spans="1:18" x14ac:dyDescent="0.25">
      <c r="A430" s="7" t="s">
        <v>1366</v>
      </c>
      <c r="B430" s="8" t="s">
        <v>1367</v>
      </c>
      <c r="C430" s="8" t="s">
        <v>1368</v>
      </c>
      <c r="D430" s="8" t="s">
        <v>26</v>
      </c>
      <c r="E430" s="9" t="s">
        <v>26</v>
      </c>
      <c r="F430" s="9" t="s">
        <v>26</v>
      </c>
      <c r="G430" s="9" t="s">
        <v>26</v>
      </c>
      <c r="H430" s="9" t="s">
        <v>26</v>
      </c>
      <c r="I430" s="8" t="s">
        <v>26</v>
      </c>
      <c r="J430" s="8" t="s">
        <v>26</v>
      </c>
      <c r="K430" s="8" t="s">
        <v>26</v>
      </c>
      <c r="L430" s="10" t="s">
        <v>28</v>
      </c>
      <c r="M430" s="10" t="s">
        <v>28</v>
      </c>
      <c r="N430" s="12">
        <v>0</v>
      </c>
      <c r="O430" s="8" t="s">
        <v>26</v>
      </c>
      <c r="P430" s="13"/>
      <c r="Q430" s="13"/>
      <c r="R430" s="14">
        <f>IF(AND(P430&gt;0,Q430&gt;0),ROUND((1-Q430/P430)*100,0),0)</f>
        <v>0</v>
      </c>
    </row>
    <row r="431" ht="20" customHeight="1" spans="1:18" x14ac:dyDescent="0.25">
      <c r="A431" s="15" t="s">
        <v>1369</v>
      </c>
      <c r="B431" s="16" t="s">
        <v>1370</v>
      </c>
      <c r="C431" s="16" t="s">
        <v>1371</v>
      </c>
      <c r="D431" s="16" t="s">
        <v>26</v>
      </c>
      <c r="E431" s="17" t="s">
        <v>26</v>
      </c>
      <c r="F431" s="17" t="s">
        <v>26</v>
      </c>
      <c r="G431" s="17" t="s">
        <v>26</v>
      </c>
      <c r="H431" s="17" t="s">
        <v>26</v>
      </c>
      <c r="I431" s="16" t="s">
        <v>26</v>
      </c>
      <c r="J431" s="16" t="s">
        <v>26</v>
      </c>
      <c r="K431" s="16" t="s">
        <v>26</v>
      </c>
      <c r="L431" s="18" t="s">
        <v>28</v>
      </c>
      <c r="M431" s="18" t="s">
        <v>28</v>
      </c>
      <c r="N431" s="20">
        <v>0</v>
      </c>
      <c r="O431" s="16" t="s">
        <v>26</v>
      </c>
      <c r="P431" s="13"/>
      <c r="Q431" s="13"/>
      <c r="R431" s="14">
        <f>IF(AND(P431&gt;0,Q431&gt;0),ROUND((1-Q431/P431)*100,0),0)</f>
        <v>0</v>
      </c>
    </row>
    <row r="432" ht="20" customHeight="1" spans="1:18" x14ac:dyDescent="0.25">
      <c r="A432" s="7" t="s">
        <v>1372</v>
      </c>
      <c r="B432" s="8" t="s">
        <v>1373</v>
      </c>
      <c r="C432" s="8" t="s">
        <v>1374</v>
      </c>
      <c r="D432" s="8" t="s">
        <v>26</v>
      </c>
      <c r="E432" s="9" t="s">
        <v>26</v>
      </c>
      <c r="F432" s="9" t="s">
        <v>26</v>
      </c>
      <c r="G432" s="9" t="s">
        <v>26</v>
      </c>
      <c r="H432" s="9" t="s">
        <v>26</v>
      </c>
      <c r="I432" s="8" t="s">
        <v>26</v>
      </c>
      <c r="J432" s="8" t="s">
        <v>26</v>
      </c>
      <c r="K432" s="8" t="s">
        <v>26</v>
      </c>
      <c r="L432" s="10" t="s">
        <v>28</v>
      </c>
      <c r="M432" s="10" t="s">
        <v>28</v>
      </c>
      <c r="N432" s="12">
        <v>0</v>
      </c>
      <c r="O432" s="8" t="s">
        <v>26</v>
      </c>
      <c r="P432" s="13"/>
      <c r="Q432" s="13"/>
      <c r="R432" s="14">
        <f>IF(AND(P432&gt;0,Q432&gt;0),ROUND((1-Q432/P432)*100,0),0)</f>
        <v>0</v>
      </c>
    </row>
    <row r="433" ht="20" customHeight="1" spans="1:18" x14ac:dyDescent="0.25">
      <c r="A433" s="15" t="s">
        <v>1375</v>
      </c>
      <c r="B433" s="16" t="s">
        <v>1376</v>
      </c>
      <c r="C433" s="16" t="s">
        <v>1377</v>
      </c>
      <c r="D433" s="16" t="s">
        <v>26</v>
      </c>
      <c r="E433" s="17" t="s">
        <v>26</v>
      </c>
      <c r="F433" s="17" t="s">
        <v>26</v>
      </c>
      <c r="G433" s="17" t="s">
        <v>26</v>
      </c>
      <c r="H433" s="17" t="s">
        <v>26</v>
      </c>
      <c r="I433" s="16" t="s">
        <v>26</v>
      </c>
      <c r="J433" s="16" t="s">
        <v>26</v>
      </c>
      <c r="K433" s="16" t="s">
        <v>26</v>
      </c>
      <c r="L433" s="18" t="s">
        <v>28</v>
      </c>
      <c r="M433" s="18" t="s">
        <v>28</v>
      </c>
      <c r="N433" s="20">
        <v>0</v>
      </c>
      <c r="O433" s="16" t="s">
        <v>26</v>
      </c>
      <c r="P433" s="13"/>
      <c r="Q433" s="13"/>
      <c r="R433" s="14">
        <f>IF(AND(P433&gt;0,Q433&gt;0),ROUND((1-Q433/P433)*100,0),0)</f>
        <v>0</v>
      </c>
    </row>
    <row r="434" ht="20" customHeight="1" spans="1:18" x14ac:dyDescent="0.25">
      <c r="A434" s="7" t="s">
        <v>1378</v>
      </c>
      <c r="B434" s="8" t="s">
        <v>1379</v>
      </c>
      <c r="C434" s="8" t="s">
        <v>1380</v>
      </c>
      <c r="D434" s="8" t="s">
        <v>26</v>
      </c>
      <c r="E434" s="9" t="s">
        <v>26</v>
      </c>
      <c r="F434" s="9" t="s">
        <v>26</v>
      </c>
      <c r="G434" s="9" t="s">
        <v>26</v>
      </c>
      <c r="H434" s="9" t="s">
        <v>26</v>
      </c>
      <c r="I434" s="8" t="s">
        <v>26</v>
      </c>
      <c r="J434" s="8" t="s">
        <v>26</v>
      </c>
      <c r="K434" s="8" t="s">
        <v>26</v>
      </c>
      <c r="L434" s="10" t="s">
        <v>28</v>
      </c>
      <c r="M434" s="10" t="s">
        <v>28</v>
      </c>
      <c r="N434" s="12">
        <v>0</v>
      </c>
      <c r="O434" s="8" t="s">
        <v>26</v>
      </c>
      <c r="P434" s="13"/>
      <c r="Q434" s="13"/>
      <c r="R434" s="14">
        <f>IF(AND(P434&gt;0,Q434&gt;0),ROUND((1-Q434/P434)*100,0),0)</f>
        <v>0</v>
      </c>
    </row>
    <row r="435" ht="20" customHeight="1" spans="1:18" x14ac:dyDescent="0.25">
      <c r="A435" s="15" t="s">
        <v>1381</v>
      </c>
      <c r="B435" s="16" t="s">
        <v>1382</v>
      </c>
      <c r="C435" s="16" t="s">
        <v>1383</v>
      </c>
      <c r="D435" s="16" t="s">
        <v>26</v>
      </c>
      <c r="E435" s="17" t="s">
        <v>26</v>
      </c>
      <c r="F435" s="17" t="s">
        <v>26</v>
      </c>
      <c r="G435" s="17" t="s">
        <v>26</v>
      </c>
      <c r="H435" s="17" t="s">
        <v>26</v>
      </c>
      <c r="I435" s="16" t="s">
        <v>26</v>
      </c>
      <c r="J435" s="16" t="s">
        <v>26</v>
      </c>
      <c r="K435" s="16" t="s">
        <v>26</v>
      </c>
      <c r="L435" s="18" t="s">
        <v>28</v>
      </c>
      <c r="M435" s="18" t="s">
        <v>28</v>
      </c>
      <c r="N435" s="20">
        <v>0</v>
      </c>
      <c r="O435" s="16" t="s">
        <v>26</v>
      </c>
      <c r="P435" s="13"/>
      <c r="Q435" s="13"/>
      <c r="R435" s="14">
        <f>IF(AND(P435&gt;0,Q435&gt;0),ROUND((1-Q435/P435)*100,0),0)</f>
        <v>0</v>
      </c>
    </row>
    <row r="436" ht="20" customHeight="1" spans="1:18" x14ac:dyDescent="0.25">
      <c r="A436" s="7" t="s">
        <v>1384</v>
      </c>
      <c r="B436" s="8" t="s">
        <v>1385</v>
      </c>
      <c r="C436" s="8" t="s">
        <v>1386</v>
      </c>
      <c r="D436" s="8" t="s">
        <v>26</v>
      </c>
      <c r="E436" s="9" t="s">
        <v>26</v>
      </c>
      <c r="F436" s="9" t="s">
        <v>26</v>
      </c>
      <c r="G436" s="9" t="s">
        <v>26</v>
      </c>
      <c r="H436" s="9" t="s">
        <v>26</v>
      </c>
      <c r="I436" s="8" t="s">
        <v>26</v>
      </c>
      <c r="J436" s="8" t="s">
        <v>26</v>
      </c>
      <c r="K436" s="8" t="s">
        <v>26</v>
      </c>
      <c r="L436" s="10" t="s">
        <v>28</v>
      </c>
      <c r="M436" s="10" t="s">
        <v>28</v>
      </c>
      <c r="N436" s="12">
        <v>0</v>
      </c>
      <c r="O436" s="8" t="s">
        <v>26</v>
      </c>
      <c r="P436" s="13"/>
      <c r="Q436" s="13"/>
      <c r="R436" s="14">
        <f>IF(AND(P436&gt;0,Q436&gt;0),ROUND((1-Q436/P436)*100,0),0)</f>
        <v>0</v>
      </c>
    </row>
    <row r="437" ht="20" customHeight="1" spans="1:18" x14ac:dyDescent="0.25">
      <c r="A437" s="15" t="s">
        <v>1387</v>
      </c>
      <c r="B437" s="16" t="s">
        <v>1388</v>
      </c>
      <c r="C437" s="16" t="s">
        <v>1389</v>
      </c>
      <c r="D437" s="16" t="s">
        <v>26</v>
      </c>
      <c r="E437" s="17" t="s">
        <v>26</v>
      </c>
      <c r="F437" s="17" t="s">
        <v>26</v>
      </c>
      <c r="G437" s="17" t="s">
        <v>26</v>
      </c>
      <c r="H437" s="17" t="s">
        <v>26</v>
      </c>
      <c r="I437" s="16" t="s">
        <v>26</v>
      </c>
      <c r="J437" s="16" t="s">
        <v>26</v>
      </c>
      <c r="K437" s="16" t="s">
        <v>26</v>
      </c>
      <c r="L437" s="18" t="s">
        <v>28</v>
      </c>
      <c r="M437" s="18" t="s">
        <v>28</v>
      </c>
      <c r="N437" s="20">
        <v>0</v>
      </c>
      <c r="O437" s="16" t="s">
        <v>26</v>
      </c>
      <c r="P437" s="13"/>
      <c r="Q437" s="13"/>
      <c r="R437" s="14">
        <f>IF(AND(P437&gt;0,Q437&gt;0),ROUND((1-Q437/P437)*100,0),0)</f>
        <v>0</v>
      </c>
    </row>
    <row r="438" ht="20" customHeight="1" spans="1:18" x14ac:dyDescent="0.25">
      <c r="A438" s="7" t="s">
        <v>1390</v>
      </c>
      <c r="B438" s="8" t="s">
        <v>1391</v>
      </c>
      <c r="C438" s="8" t="s">
        <v>1392</v>
      </c>
      <c r="D438" s="8" t="s">
        <v>26</v>
      </c>
      <c r="E438" s="9" t="s">
        <v>26</v>
      </c>
      <c r="F438" s="9" t="s">
        <v>26</v>
      </c>
      <c r="G438" s="9" t="s">
        <v>26</v>
      </c>
      <c r="H438" s="9" t="s">
        <v>26</v>
      </c>
      <c r="I438" s="8" t="s">
        <v>26</v>
      </c>
      <c r="J438" s="8" t="s">
        <v>26</v>
      </c>
      <c r="K438" s="8" t="s">
        <v>26</v>
      </c>
      <c r="L438" s="10" t="s">
        <v>28</v>
      </c>
      <c r="M438" s="10" t="s">
        <v>28</v>
      </c>
      <c r="N438" s="12">
        <v>0</v>
      </c>
      <c r="O438" s="8" t="s">
        <v>26</v>
      </c>
      <c r="P438" s="13"/>
      <c r="Q438" s="13"/>
      <c r="R438" s="14">
        <f>IF(AND(P438&gt;0,Q438&gt;0),ROUND((1-Q438/P438)*100,0),0)</f>
        <v>0</v>
      </c>
    </row>
    <row r="439" ht="20" customHeight="1" spans="1:18" x14ac:dyDescent="0.25">
      <c r="A439" s="15" t="s">
        <v>1393</v>
      </c>
      <c r="B439" s="16" t="s">
        <v>1394</v>
      </c>
      <c r="C439" s="16" t="s">
        <v>1395</v>
      </c>
      <c r="D439" s="16" t="s">
        <v>26</v>
      </c>
      <c r="E439" s="17" t="s">
        <v>26</v>
      </c>
      <c r="F439" s="17" t="s">
        <v>26</v>
      </c>
      <c r="G439" s="17" t="s">
        <v>26</v>
      </c>
      <c r="H439" s="17" t="s">
        <v>26</v>
      </c>
      <c r="I439" s="16" t="s">
        <v>26</v>
      </c>
      <c r="J439" s="16" t="s">
        <v>26</v>
      </c>
      <c r="K439" s="16" t="s">
        <v>26</v>
      </c>
      <c r="L439" s="18" t="s">
        <v>28</v>
      </c>
      <c r="M439" s="18" t="s">
        <v>28</v>
      </c>
      <c r="N439" s="20">
        <v>0</v>
      </c>
      <c r="O439" s="16" t="s">
        <v>26</v>
      </c>
      <c r="P439" s="13"/>
      <c r="Q439" s="13"/>
      <c r="R439" s="14">
        <f>IF(AND(P439&gt;0,Q439&gt;0),ROUND((1-Q439/P439)*100,0),0)</f>
        <v>0</v>
      </c>
    </row>
    <row r="440" ht="20" customHeight="1" spans="1:18" x14ac:dyDescent="0.25">
      <c r="A440" s="7" t="s">
        <v>1396</v>
      </c>
      <c r="B440" s="8" t="s">
        <v>1397</v>
      </c>
      <c r="C440" s="8" t="s">
        <v>1398</v>
      </c>
      <c r="D440" s="8" t="s">
        <v>26</v>
      </c>
      <c r="E440" s="9" t="s">
        <v>26</v>
      </c>
      <c r="F440" s="9" t="s">
        <v>26</v>
      </c>
      <c r="G440" s="9" t="s">
        <v>26</v>
      </c>
      <c r="H440" s="9" t="s">
        <v>26</v>
      </c>
      <c r="I440" s="8" t="s">
        <v>26</v>
      </c>
      <c r="J440" s="8" t="s">
        <v>26</v>
      </c>
      <c r="K440" s="8" t="s">
        <v>26</v>
      </c>
      <c r="L440" s="10" t="s">
        <v>28</v>
      </c>
      <c r="M440" s="10" t="s">
        <v>28</v>
      </c>
      <c r="N440" s="12">
        <v>0</v>
      </c>
      <c r="O440" s="8" t="s">
        <v>26</v>
      </c>
      <c r="P440" s="13"/>
      <c r="Q440" s="13"/>
      <c r="R440" s="14">
        <f>IF(AND(P440&gt;0,Q440&gt;0),ROUND((1-Q440/P440)*100,0),0)</f>
        <v>0</v>
      </c>
    </row>
    <row r="441" ht="20" customHeight="1" spans="1:18" x14ac:dyDescent="0.25">
      <c r="A441" s="15" t="s">
        <v>1399</v>
      </c>
      <c r="B441" s="16" t="s">
        <v>1400</v>
      </c>
      <c r="C441" s="16" t="s">
        <v>1401</v>
      </c>
      <c r="D441" s="16" t="s">
        <v>26</v>
      </c>
      <c r="E441" s="17" t="s">
        <v>26</v>
      </c>
      <c r="F441" s="17" t="s">
        <v>26</v>
      </c>
      <c r="G441" s="17" t="s">
        <v>26</v>
      </c>
      <c r="H441" s="17" t="s">
        <v>26</v>
      </c>
      <c r="I441" s="16" t="s">
        <v>26</v>
      </c>
      <c r="J441" s="16" t="s">
        <v>26</v>
      </c>
      <c r="K441" s="16" t="s">
        <v>26</v>
      </c>
      <c r="L441" s="18" t="s">
        <v>28</v>
      </c>
      <c r="M441" s="18" t="s">
        <v>28</v>
      </c>
      <c r="N441" s="20">
        <v>0</v>
      </c>
      <c r="O441" s="16" t="s">
        <v>26</v>
      </c>
      <c r="P441" s="13"/>
      <c r="Q441" s="13"/>
      <c r="R441" s="14">
        <f>IF(AND(P441&gt;0,Q441&gt;0),ROUND((1-Q441/P441)*100,0),0)</f>
        <v>0</v>
      </c>
    </row>
    <row r="442" ht="20" customHeight="1" spans="1:18" x14ac:dyDescent="0.25">
      <c r="A442" s="7" t="s">
        <v>1402</v>
      </c>
      <c r="B442" s="8" t="s">
        <v>1403</v>
      </c>
      <c r="C442" s="8" t="s">
        <v>1404</v>
      </c>
      <c r="D442" s="8" t="s">
        <v>26</v>
      </c>
      <c r="E442" s="9" t="s">
        <v>26</v>
      </c>
      <c r="F442" s="9" t="s">
        <v>26</v>
      </c>
      <c r="G442" s="9" t="s">
        <v>26</v>
      </c>
      <c r="H442" s="9" t="s">
        <v>26</v>
      </c>
      <c r="I442" s="8" t="s">
        <v>26</v>
      </c>
      <c r="J442" s="8" t="s">
        <v>26</v>
      </c>
      <c r="K442" s="8" t="s">
        <v>26</v>
      </c>
      <c r="L442" s="10" t="s">
        <v>28</v>
      </c>
      <c r="M442" s="10" t="s">
        <v>28</v>
      </c>
      <c r="N442" s="12">
        <v>0</v>
      </c>
      <c r="O442" s="8" t="s">
        <v>26</v>
      </c>
      <c r="P442" s="13"/>
      <c r="Q442" s="13"/>
      <c r="R442" s="14">
        <f>IF(AND(P442&gt;0,Q442&gt;0),ROUND((1-Q442/P442)*100,0),0)</f>
        <v>0</v>
      </c>
    </row>
    <row r="443" ht="20" customHeight="1" spans="1:18" x14ac:dyDescent="0.25">
      <c r="A443" s="15" t="s">
        <v>1405</v>
      </c>
      <c r="B443" s="16" t="s">
        <v>1406</v>
      </c>
      <c r="C443" s="16" t="s">
        <v>1407</v>
      </c>
      <c r="D443" s="16" t="s">
        <v>26</v>
      </c>
      <c r="E443" s="17" t="s">
        <v>26</v>
      </c>
      <c r="F443" s="17" t="s">
        <v>26</v>
      </c>
      <c r="G443" s="17" t="s">
        <v>26</v>
      </c>
      <c r="H443" s="17" t="s">
        <v>26</v>
      </c>
      <c r="I443" s="16" t="s">
        <v>26</v>
      </c>
      <c r="J443" s="16" t="s">
        <v>26</v>
      </c>
      <c r="K443" s="16" t="s">
        <v>26</v>
      </c>
      <c r="L443" s="18" t="s">
        <v>28</v>
      </c>
      <c r="M443" s="18" t="s">
        <v>28</v>
      </c>
      <c r="N443" s="20">
        <v>0</v>
      </c>
      <c r="O443" s="16" t="s">
        <v>26</v>
      </c>
      <c r="P443" s="13"/>
      <c r="Q443" s="13"/>
      <c r="R443" s="14">
        <f>IF(AND(P443&gt;0,Q443&gt;0),ROUND((1-Q443/P443)*100,0),0)</f>
        <v>0</v>
      </c>
    </row>
    <row r="444" ht="20" customHeight="1" spans="1:18" x14ac:dyDescent="0.25">
      <c r="A444" s="7" t="s">
        <v>1408</v>
      </c>
      <c r="B444" s="8" t="s">
        <v>1409</v>
      </c>
      <c r="C444" s="8" t="s">
        <v>1410</v>
      </c>
      <c r="D444" s="8" t="s">
        <v>26</v>
      </c>
      <c r="E444" s="9" t="s">
        <v>26</v>
      </c>
      <c r="F444" s="9" t="s">
        <v>26</v>
      </c>
      <c r="G444" s="9" t="s">
        <v>26</v>
      </c>
      <c r="H444" s="9" t="s">
        <v>26</v>
      </c>
      <c r="I444" s="8" t="s">
        <v>26</v>
      </c>
      <c r="J444" s="8" t="s">
        <v>26</v>
      </c>
      <c r="K444" s="8" t="s">
        <v>26</v>
      </c>
      <c r="L444" s="10" t="s">
        <v>28</v>
      </c>
      <c r="M444" s="10" t="s">
        <v>28</v>
      </c>
      <c r="N444" s="12">
        <v>0</v>
      </c>
      <c r="O444" s="8" t="s">
        <v>26</v>
      </c>
      <c r="P444" s="13"/>
      <c r="Q444" s="13"/>
      <c r="R444" s="14">
        <f>IF(AND(P444&gt;0,Q444&gt;0),ROUND((1-Q444/P444)*100,0),0)</f>
        <v>0</v>
      </c>
    </row>
    <row r="445" ht="20" customHeight="1" spans="1:18" x14ac:dyDescent="0.25">
      <c r="A445" s="15" t="s">
        <v>1411</v>
      </c>
      <c r="B445" s="16" t="s">
        <v>1412</v>
      </c>
      <c r="C445" s="16" t="s">
        <v>1413</v>
      </c>
      <c r="D445" s="16" t="s">
        <v>26</v>
      </c>
      <c r="E445" s="17" t="s">
        <v>26</v>
      </c>
      <c r="F445" s="17" t="s">
        <v>26</v>
      </c>
      <c r="G445" s="17" t="s">
        <v>26</v>
      </c>
      <c r="H445" s="17" t="s">
        <v>26</v>
      </c>
      <c r="I445" s="16" t="s">
        <v>26</v>
      </c>
      <c r="J445" s="16" t="s">
        <v>26</v>
      </c>
      <c r="K445" s="16" t="s">
        <v>26</v>
      </c>
      <c r="L445" s="18" t="s">
        <v>28</v>
      </c>
      <c r="M445" s="18" t="s">
        <v>28</v>
      </c>
      <c r="N445" s="20">
        <v>0</v>
      </c>
      <c r="O445" s="16" t="s">
        <v>26</v>
      </c>
      <c r="P445" s="13"/>
      <c r="Q445" s="13"/>
      <c r="R445" s="14">
        <f>IF(AND(P445&gt;0,Q445&gt;0),ROUND((1-Q445/P445)*100,0),0)</f>
        <v>0</v>
      </c>
    </row>
    <row r="446" ht="20" customHeight="1" spans="1:18" x14ac:dyDescent="0.25">
      <c r="A446" s="7" t="s">
        <v>1414</v>
      </c>
      <c r="B446" s="8" t="s">
        <v>1415</v>
      </c>
      <c r="C446" s="8" t="s">
        <v>1416</v>
      </c>
      <c r="D446" s="8" t="s">
        <v>26</v>
      </c>
      <c r="E446" s="9" t="s">
        <v>26</v>
      </c>
      <c r="F446" s="9" t="s">
        <v>26</v>
      </c>
      <c r="G446" s="9" t="s">
        <v>26</v>
      </c>
      <c r="H446" s="9" t="s">
        <v>26</v>
      </c>
      <c r="I446" s="8" t="s">
        <v>26</v>
      </c>
      <c r="J446" s="8" t="s">
        <v>26</v>
      </c>
      <c r="K446" s="8" t="s">
        <v>26</v>
      </c>
      <c r="L446" s="10" t="s">
        <v>28</v>
      </c>
      <c r="M446" s="10" t="s">
        <v>28</v>
      </c>
      <c r="N446" s="12">
        <v>0</v>
      </c>
      <c r="O446" s="8" t="s">
        <v>26</v>
      </c>
      <c r="P446" s="13"/>
      <c r="Q446" s="13"/>
      <c r="R446" s="14">
        <f>IF(AND(P446&gt;0,Q446&gt;0),ROUND((1-Q446/P446)*100,0),0)</f>
        <v>0</v>
      </c>
    </row>
    <row r="447" ht="20" customHeight="1" spans="1:18" x14ac:dyDescent="0.25">
      <c r="A447" s="15" t="s">
        <v>1417</v>
      </c>
      <c r="B447" s="16" t="s">
        <v>1418</v>
      </c>
      <c r="C447" s="16" t="s">
        <v>1419</v>
      </c>
      <c r="D447" s="16" t="s">
        <v>26</v>
      </c>
      <c r="E447" s="17" t="s">
        <v>26</v>
      </c>
      <c r="F447" s="17" t="s">
        <v>26</v>
      </c>
      <c r="G447" s="17" t="s">
        <v>26</v>
      </c>
      <c r="H447" s="17" t="s">
        <v>26</v>
      </c>
      <c r="I447" s="16" t="s">
        <v>26</v>
      </c>
      <c r="J447" s="16" t="s">
        <v>26</v>
      </c>
      <c r="K447" s="16" t="s">
        <v>26</v>
      </c>
      <c r="L447" s="18" t="s">
        <v>28</v>
      </c>
      <c r="M447" s="18" t="s">
        <v>28</v>
      </c>
      <c r="N447" s="20">
        <v>0</v>
      </c>
      <c r="O447" s="16" t="s">
        <v>26</v>
      </c>
      <c r="P447" s="13"/>
      <c r="Q447" s="13"/>
      <c r="R447" s="14">
        <f>IF(AND(P447&gt;0,Q447&gt;0),ROUND((1-Q447/P447)*100,0),0)</f>
        <v>0</v>
      </c>
    </row>
    <row r="448" ht="20" customHeight="1" spans="1:18" x14ac:dyDescent="0.25">
      <c r="A448" s="7" t="s">
        <v>1420</v>
      </c>
      <c r="B448" s="8" t="s">
        <v>1421</v>
      </c>
      <c r="C448" s="8" t="s">
        <v>1422</v>
      </c>
      <c r="D448" s="8" t="s">
        <v>26</v>
      </c>
      <c r="E448" s="9" t="s">
        <v>26</v>
      </c>
      <c r="F448" s="9" t="s">
        <v>26</v>
      </c>
      <c r="G448" s="9" t="s">
        <v>26</v>
      </c>
      <c r="H448" s="9" t="s">
        <v>26</v>
      </c>
      <c r="I448" s="8" t="s">
        <v>26</v>
      </c>
      <c r="J448" s="8" t="s">
        <v>26</v>
      </c>
      <c r="K448" s="8" t="s">
        <v>26</v>
      </c>
      <c r="L448" s="10" t="s">
        <v>28</v>
      </c>
      <c r="M448" s="10" t="s">
        <v>28</v>
      </c>
      <c r="N448" s="12">
        <v>0</v>
      </c>
      <c r="O448" s="8" t="s">
        <v>26</v>
      </c>
      <c r="P448" s="13"/>
      <c r="Q448" s="13"/>
      <c r="R448" s="14">
        <f>IF(AND(P448&gt;0,Q448&gt;0),ROUND((1-Q448/P448)*100,0),0)</f>
        <v>0</v>
      </c>
    </row>
    <row r="449" ht="20" customHeight="1" spans="1:18" x14ac:dyDescent="0.25">
      <c r="A449" s="15" t="s">
        <v>1423</v>
      </c>
      <c r="B449" s="16" t="s">
        <v>1424</v>
      </c>
      <c r="C449" s="16" t="s">
        <v>1425</v>
      </c>
      <c r="D449" s="16" t="s">
        <v>26</v>
      </c>
      <c r="E449" s="17" t="s">
        <v>26</v>
      </c>
      <c r="F449" s="17" t="s">
        <v>26</v>
      </c>
      <c r="G449" s="17" t="s">
        <v>26</v>
      </c>
      <c r="H449" s="17" t="s">
        <v>26</v>
      </c>
      <c r="I449" s="16" t="s">
        <v>26</v>
      </c>
      <c r="J449" s="16" t="s">
        <v>26</v>
      </c>
      <c r="K449" s="16" t="s">
        <v>26</v>
      </c>
      <c r="L449" s="18" t="s">
        <v>28</v>
      </c>
      <c r="M449" s="18" t="s">
        <v>28</v>
      </c>
      <c r="N449" s="20">
        <v>0</v>
      </c>
      <c r="O449" s="16" t="s">
        <v>26</v>
      </c>
      <c r="P449" s="13"/>
      <c r="Q449" s="13"/>
      <c r="R449" s="14">
        <f>IF(AND(P449&gt;0,Q449&gt;0),ROUND((1-Q449/P449)*100,0),0)</f>
        <v>0</v>
      </c>
    </row>
    <row r="450" ht="20" customHeight="1" spans="1:18" x14ac:dyDescent="0.25">
      <c r="A450" s="7" t="s">
        <v>1426</v>
      </c>
      <c r="B450" s="8" t="s">
        <v>1427</v>
      </c>
      <c r="C450" s="8" t="s">
        <v>1428</v>
      </c>
      <c r="D450" s="8" t="s">
        <v>26</v>
      </c>
      <c r="E450" s="9" t="s">
        <v>26</v>
      </c>
      <c r="F450" s="9" t="s">
        <v>26</v>
      </c>
      <c r="G450" s="9" t="s">
        <v>26</v>
      </c>
      <c r="H450" s="9" t="s">
        <v>26</v>
      </c>
      <c r="I450" s="8" t="s">
        <v>26</v>
      </c>
      <c r="J450" s="8" t="s">
        <v>26</v>
      </c>
      <c r="K450" s="8" t="s">
        <v>26</v>
      </c>
      <c r="L450" s="10" t="s">
        <v>28</v>
      </c>
      <c r="M450" s="10" t="s">
        <v>28</v>
      </c>
      <c r="N450" s="12">
        <v>0</v>
      </c>
      <c r="O450" s="8" t="s">
        <v>26</v>
      </c>
      <c r="P450" s="13"/>
      <c r="Q450" s="13"/>
      <c r="R450" s="14">
        <f>IF(AND(P450&gt;0,Q450&gt;0),ROUND((1-Q450/P450)*100,0),0)</f>
        <v>0</v>
      </c>
    </row>
    <row r="451" ht="20" customHeight="1" spans="1:18" x14ac:dyDescent="0.25">
      <c r="A451" s="15" t="s">
        <v>1429</v>
      </c>
      <c r="B451" s="16" t="s">
        <v>1430</v>
      </c>
      <c r="C451" s="16" t="s">
        <v>1431</v>
      </c>
      <c r="D451" s="16" t="s">
        <v>26</v>
      </c>
      <c r="E451" s="17" t="s">
        <v>26</v>
      </c>
      <c r="F451" s="17" t="s">
        <v>26</v>
      </c>
      <c r="G451" s="17" t="s">
        <v>26</v>
      </c>
      <c r="H451" s="17" t="s">
        <v>26</v>
      </c>
      <c r="I451" s="16" t="s">
        <v>26</v>
      </c>
      <c r="J451" s="16" t="s">
        <v>26</v>
      </c>
      <c r="K451" s="16" t="s">
        <v>26</v>
      </c>
      <c r="L451" s="18" t="s">
        <v>28</v>
      </c>
      <c r="M451" s="18" t="s">
        <v>28</v>
      </c>
      <c r="N451" s="20">
        <v>0</v>
      </c>
      <c r="O451" s="16" t="s">
        <v>26</v>
      </c>
      <c r="P451" s="13"/>
      <c r="Q451" s="13"/>
      <c r="R451" s="14">
        <f>IF(AND(P451&gt;0,Q451&gt;0),ROUND((1-Q451/P451)*100,0),0)</f>
        <v>0</v>
      </c>
    </row>
    <row r="452" ht="20" customHeight="1" spans="1:18" x14ac:dyDescent="0.25">
      <c r="A452" s="7" t="s">
        <v>1432</v>
      </c>
      <c r="B452" s="8" t="s">
        <v>1433</v>
      </c>
      <c r="C452" s="8" t="s">
        <v>1434</v>
      </c>
      <c r="D452" s="8" t="s">
        <v>26</v>
      </c>
      <c r="E452" s="9" t="s">
        <v>26</v>
      </c>
      <c r="F452" s="9" t="s">
        <v>26</v>
      </c>
      <c r="G452" s="9" t="s">
        <v>26</v>
      </c>
      <c r="H452" s="9" t="s">
        <v>26</v>
      </c>
      <c r="I452" s="8" t="s">
        <v>26</v>
      </c>
      <c r="J452" s="8" t="s">
        <v>26</v>
      </c>
      <c r="K452" s="8" t="s">
        <v>26</v>
      </c>
      <c r="L452" s="10" t="s">
        <v>28</v>
      </c>
      <c r="M452" s="10" t="s">
        <v>28</v>
      </c>
      <c r="N452" s="12">
        <v>0</v>
      </c>
      <c r="O452" s="8" t="s">
        <v>26</v>
      </c>
      <c r="P452" s="13"/>
      <c r="Q452" s="13"/>
      <c r="R452" s="14">
        <f>IF(AND(P452&gt;0,Q452&gt;0),ROUND((1-Q452/P452)*100,0),0)</f>
        <v>0</v>
      </c>
    </row>
    <row r="453" ht="20" customHeight="1" spans="1:18" x14ac:dyDescent="0.25">
      <c r="A453" s="15" t="s">
        <v>1435</v>
      </c>
      <c r="B453" s="16" t="s">
        <v>1436</v>
      </c>
      <c r="C453" s="16" t="s">
        <v>1437</v>
      </c>
      <c r="D453" s="16" t="s">
        <v>26</v>
      </c>
      <c r="E453" s="17" t="s">
        <v>26</v>
      </c>
      <c r="F453" s="17" t="s">
        <v>26</v>
      </c>
      <c r="G453" s="17" t="s">
        <v>26</v>
      </c>
      <c r="H453" s="17" t="s">
        <v>26</v>
      </c>
      <c r="I453" s="16" t="s">
        <v>26</v>
      </c>
      <c r="J453" s="16" t="s">
        <v>26</v>
      </c>
      <c r="K453" s="16" t="s">
        <v>26</v>
      </c>
      <c r="L453" s="18" t="s">
        <v>28</v>
      </c>
      <c r="M453" s="18" t="s">
        <v>28</v>
      </c>
      <c r="N453" s="20">
        <v>0</v>
      </c>
      <c r="O453" s="16" t="s">
        <v>26</v>
      </c>
      <c r="P453" s="13"/>
      <c r="Q453" s="13"/>
      <c r="R453" s="14">
        <f>IF(AND(P453&gt;0,Q453&gt;0),ROUND((1-Q453/P453)*100,0),0)</f>
        <v>0</v>
      </c>
    </row>
    <row r="454" ht="20" customHeight="1" spans="1:18" x14ac:dyDescent="0.25">
      <c r="A454" s="7" t="s">
        <v>1438</v>
      </c>
      <c r="B454" s="8" t="s">
        <v>1439</v>
      </c>
      <c r="C454" s="8" t="s">
        <v>1440</v>
      </c>
      <c r="D454" s="8" t="s">
        <v>26</v>
      </c>
      <c r="E454" s="9" t="s">
        <v>26</v>
      </c>
      <c r="F454" s="9" t="s">
        <v>26</v>
      </c>
      <c r="G454" s="9" t="s">
        <v>26</v>
      </c>
      <c r="H454" s="9" t="s">
        <v>26</v>
      </c>
      <c r="I454" s="8" t="s">
        <v>26</v>
      </c>
      <c r="J454" s="8" t="s">
        <v>26</v>
      </c>
      <c r="K454" s="8" t="s">
        <v>26</v>
      </c>
      <c r="L454" s="10" t="s">
        <v>28</v>
      </c>
      <c r="M454" s="10" t="s">
        <v>28</v>
      </c>
      <c r="N454" s="12">
        <v>0</v>
      </c>
      <c r="O454" s="8" t="s">
        <v>26</v>
      </c>
      <c r="P454" s="13"/>
      <c r="Q454" s="13"/>
      <c r="R454" s="14">
        <f>IF(AND(P454&gt;0,Q454&gt;0),ROUND((1-Q454/P454)*100,0),0)</f>
        <v>0</v>
      </c>
    </row>
    <row r="455" ht="20" customHeight="1" spans="1:18" x14ac:dyDescent="0.25">
      <c r="A455" s="15" t="s">
        <v>1441</v>
      </c>
      <c r="B455" s="16" t="s">
        <v>1442</v>
      </c>
      <c r="C455" s="16" t="s">
        <v>1443</v>
      </c>
      <c r="D455" s="16" t="s">
        <v>26</v>
      </c>
      <c r="E455" s="17" t="s">
        <v>26</v>
      </c>
      <c r="F455" s="17" t="s">
        <v>26</v>
      </c>
      <c r="G455" s="17" t="s">
        <v>26</v>
      </c>
      <c r="H455" s="17" t="s">
        <v>26</v>
      </c>
      <c r="I455" s="16" t="s">
        <v>26</v>
      </c>
      <c r="J455" s="16" t="s">
        <v>26</v>
      </c>
      <c r="K455" s="16" t="s">
        <v>26</v>
      </c>
      <c r="L455" s="18" t="s">
        <v>28</v>
      </c>
      <c r="M455" s="18" t="s">
        <v>28</v>
      </c>
      <c r="N455" s="20">
        <v>0</v>
      </c>
      <c r="O455" s="16" t="s">
        <v>26</v>
      </c>
      <c r="P455" s="13"/>
      <c r="Q455" s="13"/>
      <c r="R455" s="14">
        <f>IF(AND(P455&gt;0,Q455&gt;0),ROUND((1-Q455/P455)*100,0),0)</f>
        <v>0</v>
      </c>
    </row>
    <row r="456" ht="20" customHeight="1" spans="1:18" x14ac:dyDescent="0.25">
      <c r="A456" s="7" t="s">
        <v>1444</v>
      </c>
      <c r="B456" s="8" t="s">
        <v>1445</v>
      </c>
      <c r="C456" s="8" t="s">
        <v>1446</v>
      </c>
      <c r="D456" s="8" t="s">
        <v>26</v>
      </c>
      <c r="E456" s="9" t="s">
        <v>26</v>
      </c>
      <c r="F456" s="9" t="s">
        <v>26</v>
      </c>
      <c r="G456" s="9" t="s">
        <v>26</v>
      </c>
      <c r="H456" s="9" t="s">
        <v>26</v>
      </c>
      <c r="I456" s="8" t="s">
        <v>26</v>
      </c>
      <c r="J456" s="8" t="s">
        <v>26</v>
      </c>
      <c r="K456" s="8" t="s">
        <v>26</v>
      </c>
      <c r="L456" s="10" t="s">
        <v>28</v>
      </c>
      <c r="M456" s="10" t="s">
        <v>28</v>
      </c>
      <c r="N456" s="12">
        <v>0</v>
      </c>
      <c r="O456" s="8" t="s">
        <v>26</v>
      </c>
      <c r="P456" s="13"/>
      <c r="Q456" s="13"/>
      <c r="R456" s="14">
        <f>IF(AND(P456&gt;0,Q456&gt;0),ROUND((1-Q456/P456)*100,0),0)</f>
        <v>0</v>
      </c>
    </row>
    <row r="457" ht="20" customHeight="1" spans="1:18" x14ac:dyDescent="0.25">
      <c r="A457" s="15" t="s">
        <v>1447</v>
      </c>
      <c r="B457" s="16" t="s">
        <v>1448</v>
      </c>
      <c r="C457" s="16" t="s">
        <v>1449</v>
      </c>
      <c r="D457" s="16" t="s">
        <v>26</v>
      </c>
      <c r="E457" s="17" t="s">
        <v>26</v>
      </c>
      <c r="F457" s="17" t="s">
        <v>26</v>
      </c>
      <c r="G457" s="17" t="s">
        <v>26</v>
      </c>
      <c r="H457" s="17" t="s">
        <v>26</v>
      </c>
      <c r="I457" s="16" t="s">
        <v>26</v>
      </c>
      <c r="J457" s="16" t="s">
        <v>26</v>
      </c>
      <c r="K457" s="16" t="s">
        <v>26</v>
      </c>
      <c r="L457" s="18" t="s">
        <v>28</v>
      </c>
      <c r="M457" s="18" t="s">
        <v>28</v>
      </c>
      <c r="N457" s="20">
        <v>0</v>
      </c>
      <c r="O457" s="16" t="s">
        <v>26</v>
      </c>
      <c r="P457" s="13"/>
      <c r="Q457" s="13"/>
      <c r="R457" s="14">
        <f>IF(AND(P457&gt;0,Q457&gt;0),ROUND((1-Q457/P457)*100,0),0)</f>
        <v>0</v>
      </c>
    </row>
    <row r="458" ht="20" customHeight="1" spans="1:18" x14ac:dyDescent="0.25">
      <c r="A458" s="7" t="s">
        <v>1450</v>
      </c>
      <c r="B458" s="8" t="s">
        <v>1451</v>
      </c>
      <c r="C458" s="8" t="s">
        <v>1452</v>
      </c>
      <c r="D458" s="8" t="s">
        <v>26</v>
      </c>
      <c r="E458" s="9" t="s">
        <v>26</v>
      </c>
      <c r="F458" s="9" t="s">
        <v>26</v>
      </c>
      <c r="G458" s="9" t="s">
        <v>26</v>
      </c>
      <c r="H458" s="9" t="s">
        <v>26</v>
      </c>
      <c r="I458" s="8" t="s">
        <v>26</v>
      </c>
      <c r="J458" s="8" t="s">
        <v>26</v>
      </c>
      <c r="K458" s="8" t="s">
        <v>26</v>
      </c>
      <c r="L458" s="10" t="s">
        <v>28</v>
      </c>
      <c r="M458" s="10" t="s">
        <v>28</v>
      </c>
      <c r="N458" s="12">
        <v>0</v>
      </c>
      <c r="O458" s="8" t="s">
        <v>26</v>
      </c>
      <c r="P458" s="13"/>
      <c r="Q458" s="13"/>
      <c r="R458" s="14">
        <f>IF(AND(P458&gt;0,Q458&gt;0),ROUND((1-Q458/P458)*100,0),0)</f>
        <v>0</v>
      </c>
    </row>
    <row r="459" ht="20" customHeight="1" spans="1:18" x14ac:dyDescent="0.25">
      <c r="A459" s="15" t="s">
        <v>1453</v>
      </c>
      <c r="B459" s="16" t="s">
        <v>1454</v>
      </c>
      <c r="C459" s="16" t="s">
        <v>1455</v>
      </c>
      <c r="D459" s="16" t="s">
        <v>26</v>
      </c>
      <c r="E459" s="17" t="s">
        <v>26</v>
      </c>
      <c r="F459" s="17" t="s">
        <v>26</v>
      </c>
      <c r="G459" s="17" t="s">
        <v>26</v>
      </c>
      <c r="H459" s="17" t="s">
        <v>26</v>
      </c>
      <c r="I459" s="16" t="s">
        <v>26</v>
      </c>
      <c r="J459" s="16" t="s">
        <v>26</v>
      </c>
      <c r="K459" s="16" t="s">
        <v>26</v>
      </c>
      <c r="L459" s="18" t="s">
        <v>28</v>
      </c>
      <c r="M459" s="18" t="s">
        <v>28</v>
      </c>
      <c r="N459" s="20">
        <v>0</v>
      </c>
      <c r="O459" s="16" t="s">
        <v>26</v>
      </c>
      <c r="P459" s="13"/>
      <c r="Q459" s="13"/>
      <c r="R459" s="14">
        <f>IF(AND(P459&gt;0,Q459&gt;0),ROUND((1-Q459/P459)*100,0),0)</f>
        <v>0</v>
      </c>
    </row>
    <row r="460" ht="20" customHeight="1" spans="1:18" x14ac:dyDescent="0.25">
      <c r="A460" s="7" t="s">
        <v>1456</v>
      </c>
      <c r="B460" s="8" t="s">
        <v>1457</v>
      </c>
      <c r="C460" s="8" t="s">
        <v>1458</v>
      </c>
      <c r="D460" s="8" t="s">
        <v>26</v>
      </c>
      <c r="E460" s="9" t="s">
        <v>26</v>
      </c>
      <c r="F460" s="9" t="s">
        <v>26</v>
      </c>
      <c r="G460" s="9" t="s">
        <v>26</v>
      </c>
      <c r="H460" s="9" t="s">
        <v>26</v>
      </c>
      <c r="I460" s="8" t="s">
        <v>26</v>
      </c>
      <c r="J460" s="8" t="s">
        <v>26</v>
      </c>
      <c r="K460" s="8" t="s">
        <v>26</v>
      </c>
      <c r="L460" s="10" t="s">
        <v>28</v>
      </c>
      <c r="M460" s="10" t="s">
        <v>28</v>
      </c>
      <c r="N460" s="12">
        <v>0</v>
      </c>
      <c r="O460" s="8" t="s">
        <v>26</v>
      </c>
      <c r="P460" s="13"/>
      <c r="Q460" s="13"/>
      <c r="R460" s="14">
        <f>IF(AND(P460&gt;0,Q460&gt;0),ROUND((1-Q460/P460)*100,0),0)</f>
        <v>0</v>
      </c>
    </row>
    <row r="461" ht="20" customHeight="1" spans="1:18" x14ac:dyDescent="0.25">
      <c r="A461" s="15" t="s">
        <v>1459</v>
      </c>
      <c r="B461" s="16" t="s">
        <v>1460</v>
      </c>
      <c r="C461" s="16" t="s">
        <v>1461</v>
      </c>
      <c r="D461" s="16" t="s">
        <v>26</v>
      </c>
      <c r="E461" s="17" t="s">
        <v>26</v>
      </c>
      <c r="F461" s="17" t="s">
        <v>26</v>
      </c>
      <c r="G461" s="17" t="s">
        <v>26</v>
      </c>
      <c r="H461" s="17" t="s">
        <v>26</v>
      </c>
      <c r="I461" s="16" t="s">
        <v>26</v>
      </c>
      <c r="J461" s="16" t="s">
        <v>26</v>
      </c>
      <c r="K461" s="16" t="s">
        <v>26</v>
      </c>
      <c r="L461" s="18" t="s">
        <v>28</v>
      </c>
      <c r="M461" s="18" t="s">
        <v>28</v>
      </c>
      <c r="N461" s="20">
        <v>0</v>
      </c>
      <c r="O461" s="16" t="s">
        <v>26</v>
      </c>
      <c r="P461" s="13"/>
      <c r="Q461" s="13"/>
      <c r="R461" s="14">
        <f>IF(AND(P461&gt;0,Q461&gt;0),ROUND((1-Q461/P461)*100,0),0)</f>
        <v>0</v>
      </c>
    </row>
    <row r="462" ht="20" customHeight="1" spans="1:18" x14ac:dyDescent="0.25">
      <c r="A462" s="7" t="s">
        <v>1462</v>
      </c>
      <c r="B462" s="8" t="s">
        <v>1463</v>
      </c>
      <c r="C462" s="8" t="s">
        <v>1464</v>
      </c>
      <c r="D462" s="8" t="s">
        <v>26</v>
      </c>
      <c r="E462" s="9" t="s">
        <v>26</v>
      </c>
      <c r="F462" s="9" t="s">
        <v>26</v>
      </c>
      <c r="G462" s="9" t="s">
        <v>26</v>
      </c>
      <c r="H462" s="9" t="s">
        <v>26</v>
      </c>
      <c r="I462" s="8" t="s">
        <v>26</v>
      </c>
      <c r="J462" s="8" t="s">
        <v>26</v>
      </c>
      <c r="K462" s="8" t="s">
        <v>26</v>
      </c>
      <c r="L462" s="10" t="s">
        <v>28</v>
      </c>
      <c r="M462" s="10" t="s">
        <v>28</v>
      </c>
      <c r="N462" s="12">
        <v>0</v>
      </c>
      <c r="O462" s="8" t="s">
        <v>26</v>
      </c>
      <c r="P462" s="13"/>
      <c r="Q462" s="13"/>
      <c r="R462" s="14">
        <f>IF(AND(P462&gt;0,Q462&gt;0),ROUND((1-Q462/P462)*100,0),0)</f>
        <v>0</v>
      </c>
    </row>
    <row r="463" ht="20" customHeight="1" spans="1:18" x14ac:dyDescent="0.25">
      <c r="A463" s="15" t="s">
        <v>1465</v>
      </c>
      <c r="B463" s="16" t="s">
        <v>1466</v>
      </c>
      <c r="C463" s="16" t="s">
        <v>1467</v>
      </c>
      <c r="D463" s="16" t="s">
        <v>26</v>
      </c>
      <c r="E463" s="17" t="s">
        <v>26</v>
      </c>
      <c r="F463" s="17" t="s">
        <v>26</v>
      </c>
      <c r="G463" s="17" t="s">
        <v>26</v>
      </c>
      <c r="H463" s="17" t="s">
        <v>26</v>
      </c>
      <c r="I463" s="16" t="s">
        <v>26</v>
      </c>
      <c r="J463" s="16" t="s">
        <v>26</v>
      </c>
      <c r="K463" s="16" t="s">
        <v>26</v>
      </c>
      <c r="L463" s="18" t="s">
        <v>28</v>
      </c>
      <c r="M463" s="18" t="s">
        <v>28</v>
      </c>
      <c r="N463" s="20">
        <v>0</v>
      </c>
      <c r="O463" s="16" t="s">
        <v>26</v>
      </c>
      <c r="P463" s="13"/>
      <c r="Q463" s="13"/>
      <c r="R463" s="14">
        <f>IF(AND(P463&gt;0,Q463&gt;0),ROUND((1-Q463/P463)*100,0),0)</f>
        <v>0</v>
      </c>
    </row>
    <row r="464" ht="20" customHeight="1" spans="1:18" x14ac:dyDescent="0.25">
      <c r="A464" s="7" t="s">
        <v>1468</v>
      </c>
      <c r="B464" s="8" t="s">
        <v>1469</v>
      </c>
      <c r="C464" s="8" t="s">
        <v>1470</v>
      </c>
      <c r="D464" s="8" t="s">
        <v>26</v>
      </c>
      <c r="E464" s="9" t="s">
        <v>26</v>
      </c>
      <c r="F464" s="9" t="s">
        <v>26</v>
      </c>
      <c r="G464" s="9" t="s">
        <v>26</v>
      </c>
      <c r="H464" s="9" t="s">
        <v>26</v>
      </c>
      <c r="I464" s="8" t="s">
        <v>26</v>
      </c>
      <c r="J464" s="8" t="s">
        <v>26</v>
      </c>
      <c r="K464" s="8" t="s">
        <v>26</v>
      </c>
      <c r="L464" s="10" t="s">
        <v>28</v>
      </c>
      <c r="M464" s="10" t="s">
        <v>28</v>
      </c>
      <c r="N464" s="12">
        <v>0</v>
      </c>
      <c r="O464" s="8" t="s">
        <v>26</v>
      </c>
      <c r="P464" s="13"/>
      <c r="Q464" s="13"/>
      <c r="R464" s="14">
        <f>IF(AND(P464&gt;0,Q464&gt;0),ROUND((1-Q464/P464)*100,0),0)</f>
        <v>0</v>
      </c>
    </row>
    <row r="465" ht="20" customHeight="1" spans="1:18" x14ac:dyDescent="0.25">
      <c r="A465" s="15" t="s">
        <v>1471</v>
      </c>
      <c r="B465" s="16" t="s">
        <v>1472</v>
      </c>
      <c r="C465" s="16" t="s">
        <v>1473</v>
      </c>
      <c r="D465" s="16" t="s">
        <v>26</v>
      </c>
      <c r="E465" s="17" t="s">
        <v>26</v>
      </c>
      <c r="F465" s="17" t="s">
        <v>26</v>
      </c>
      <c r="G465" s="17" t="s">
        <v>26</v>
      </c>
      <c r="H465" s="17" t="s">
        <v>26</v>
      </c>
      <c r="I465" s="16" t="s">
        <v>26</v>
      </c>
      <c r="J465" s="16" t="s">
        <v>26</v>
      </c>
      <c r="K465" s="16" t="s">
        <v>26</v>
      </c>
      <c r="L465" s="18" t="s">
        <v>28</v>
      </c>
      <c r="M465" s="18" t="s">
        <v>28</v>
      </c>
      <c r="N465" s="20">
        <v>0</v>
      </c>
      <c r="O465" s="16" t="s">
        <v>26</v>
      </c>
      <c r="P465" s="13"/>
      <c r="Q465" s="13"/>
      <c r="R465" s="14">
        <f>IF(AND(P465&gt;0,Q465&gt;0),ROUND((1-Q465/P465)*100,0),0)</f>
        <v>0</v>
      </c>
    </row>
    <row r="466" ht="20" customHeight="1" spans="1:18" x14ac:dyDescent="0.25">
      <c r="A466" s="7" t="s">
        <v>1474</v>
      </c>
      <c r="B466" s="8" t="s">
        <v>1475</v>
      </c>
      <c r="C466" s="8" t="s">
        <v>1476</v>
      </c>
      <c r="D466" s="8" t="s">
        <v>26</v>
      </c>
      <c r="E466" s="9" t="s">
        <v>26</v>
      </c>
      <c r="F466" s="9" t="s">
        <v>26</v>
      </c>
      <c r="G466" s="9" t="s">
        <v>26</v>
      </c>
      <c r="H466" s="9" t="s">
        <v>26</v>
      </c>
      <c r="I466" s="8" t="s">
        <v>26</v>
      </c>
      <c r="J466" s="8" t="s">
        <v>26</v>
      </c>
      <c r="K466" s="8" t="s">
        <v>26</v>
      </c>
      <c r="L466" s="10" t="s">
        <v>28</v>
      </c>
      <c r="M466" s="10" t="s">
        <v>28</v>
      </c>
      <c r="N466" s="12">
        <v>0</v>
      </c>
      <c r="O466" s="8" t="s">
        <v>26</v>
      </c>
      <c r="P466" s="13"/>
      <c r="Q466" s="13"/>
      <c r="R466" s="14">
        <f>IF(AND(P466&gt;0,Q466&gt;0),ROUND((1-Q466/P466)*100,0),0)</f>
        <v>0</v>
      </c>
    </row>
    <row r="467" ht="20" customHeight="1" spans="1:18" x14ac:dyDescent="0.25">
      <c r="A467" s="15" t="s">
        <v>1477</v>
      </c>
      <c r="B467" s="16" t="s">
        <v>1478</v>
      </c>
      <c r="C467" s="16" t="s">
        <v>1479</v>
      </c>
      <c r="D467" s="16" t="s">
        <v>26</v>
      </c>
      <c r="E467" s="17" t="s">
        <v>26</v>
      </c>
      <c r="F467" s="17" t="s">
        <v>26</v>
      </c>
      <c r="G467" s="17" t="s">
        <v>26</v>
      </c>
      <c r="H467" s="17" t="s">
        <v>26</v>
      </c>
      <c r="I467" s="16" t="s">
        <v>26</v>
      </c>
      <c r="J467" s="16" t="s">
        <v>26</v>
      </c>
      <c r="K467" s="16" t="s">
        <v>26</v>
      </c>
      <c r="L467" s="18" t="s">
        <v>28</v>
      </c>
      <c r="M467" s="18" t="s">
        <v>28</v>
      </c>
      <c r="N467" s="20">
        <v>0</v>
      </c>
      <c r="O467" s="16" t="s">
        <v>26</v>
      </c>
      <c r="P467" s="13"/>
      <c r="Q467" s="13"/>
      <c r="R467" s="14">
        <f>IF(AND(P467&gt;0,Q467&gt;0),ROUND((1-Q467/P467)*100,0),0)</f>
        <v>0</v>
      </c>
    </row>
    <row r="468" ht="20" customHeight="1" spans="1:18" x14ac:dyDescent="0.25">
      <c r="A468" s="7" t="s">
        <v>1480</v>
      </c>
      <c r="B468" s="8" t="s">
        <v>1481</v>
      </c>
      <c r="C468" s="8" t="s">
        <v>1482</v>
      </c>
      <c r="D468" s="8" t="s">
        <v>26</v>
      </c>
      <c r="E468" s="9" t="s">
        <v>26</v>
      </c>
      <c r="F468" s="9" t="s">
        <v>26</v>
      </c>
      <c r="G468" s="9" t="s">
        <v>26</v>
      </c>
      <c r="H468" s="9" t="s">
        <v>26</v>
      </c>
      <c r="I468" s="8" t="s">
        <v>26</v>
      </c>
      <c r="J468" s="8" t="s">
        <v>26</v>
      </c>
      <c r="K468" s="8" t="s">
        <v>26</v>
      </c>
      <c r="L468" s="10" t="s">
        <v>28</v>
      </c>
      <c r="M468" s="10" t="s">
        <v>28</v>
      </c>
      <c r="N468" s="12">
        <v>0</v>
      </c>
      <c r="O468" s="8" t="s">
        <v>26</v>
      </c>
      <c r="P468" s="13"/>
      <c r="Q468" s="13"/>
      <c r="R468" s="14">
        <f>IF(AND(P468&gt;0,Q468&gt;0),ROUND((1-Q468/P468)*100,0),0)</f>
        <v>0</v>
      </c>
    </row>
    <row r="469" ht="20" customHeight="1" spans="1:18" x14ac:dyDescent="0.25">
      <c r="A469" s="15" t="s">
        <v>1483</v>
      </c>
      <c r="B469" s="16" t="s">
        <v>1484</v>
      </c>
      <c r="C469" s="16" t="s">
        <v>1485</v>
      </c>
      <c r="D469" s="16" t="s">
        <v>26</v>
      </c>
      <c r="E469" s="17" t="s">
        <v>26</v>
      </c>
      <c r="F469" s="17" t="s">
        <v>26</v>
      </c>
      <c r="G469" s="17" t="s">
        <v>26</v>
      </c>
      <c r="H469" s="17" t="s">
        <v>26</v>
      </c>
      <c r="I469" s="16" t="s">
        <v>26</v>
      </c>
      <c r="J469" s="16" t="s">
        <v>26</v>
      </c>
      <c r="K469" s="16" t="s">
        <v>26</v>
      </c>
      <c r="L469" s="18" t="s">
        <v>28</v>
      </c>
      <c r="M469" s="18" t="s">
        <v>28</v>
      </c>
      <c r="N469" s="20">
        <v>0</v>
      </c>
      <c r="O469" s="16" t="s">
        <v>26</v>
      </c>
      <c r="P469" s="13"/>
      <c r="Q469" s="13"/>
      <c r="R469" s="14">
        <f>IF(AND(P469&gt;0,Q469&gt;0),ROUND((1-Q469/P469)*100,0),0)</f>
        <v>0</v>
      </c>
    </row>
    <row r="470" ht="20" customHeight="1" spans="1:18" x14ac:dyDescent="0.25">
      <c r="A470" s="7" t="s">
        <v>1486</v>
      </c>
      <c r="B470" s="8" t="s">
        <v>1487</v>
      </c>
      <c r="C470" s="8" t="s">
        <v>1488</v>
      </c>
      <c r="D470" s="8" t="s">
        <v>26</v>
      </c>
      <c r="E470" s="9" t="s">
        <v>26</v>
      </c>
      <c r="F470" s="9" t="s">
        <v>26</v>
      </c>
      <c r="G470" s="9" t="s">
        <v>26</v>
      </c>
      <c r="H470" s="9" t="s">
        <v>26</v>
      </c>
      <c r="I470" s="8" t="s">
        <v>26</v>
      </c>
      <c r="J470" s="8" t="s">
        <v>26</v>
      </c>
      <c r="K470" s="8" t="s">
        <v>26</v>
      </c>
      <c r="L470" s="10" t="s">
        <v>28</v>
      </c>
      <c r="M470" s="10" t="s">
        <v>28</v>
      </c>
      <c r="N470" s="12">
        <v>0</v>
      </c>
      <c r="O470" s="8" t="s">
        <v>26</v>
      </c>
      <c r="P470" s="13"/>
      <c r="Q470" s="13"/>
      <c r="R470" s="14">
        <f>IF(AND(P470&gt;0,Q470&gt;0),ROUND((1-Q470/P470)*100,0),0)</f>
        <v>0</v>
      </c>
    </row>
    <row r="471" ht="20" customHeight="1" spans="1:18" x14ac:dyDescent="0.25">
      <c r="A471" s="15" t="s">
        <v>1489</v>
      </c>
      <c r="B471" s="16" t="s">
        <v>1490</v>
      </c>
      <c r="C471" s="16" t="s">
        <v>1491</v>
      </c>
      <c r="D471" s="16" t="s">
        <v>26</v>
      </c>
      <c r="E471" s="17" t="s">
        <v>26</v>
      </c>
      <c r="F471" s="17" t="s">
        <v>26</v>
      </c>
      <c r="G471" s="17" t="s">
        <v>26</v>
      </c>
      <c r="H471" s="17" t="s">
        <v>26</v>
      </c>
      <c r="I471" s="16" t="s">
        <v>26</v>
      </c>
      <c r="J471" s="16" t="s">
        <v>26</v>
      </c>
      <c r="K471" s="16" t="s">
        <v>26</v>
      </c>
      <c r="L471" s="18" t="s">
        <v>28</v>
      </c>
      <c r="M471" s="18" t="s">
        <v>28</v>
      </c>
      <c r="N471" s="20">
        <v>0</v>
      </c>
      <c r="O471" s="16" t="s">
        <v>26</v>
      </c>
      <c r="P471" s="13"/>
      <c r="Q471" s="13"/>
      <c r="R471" s="14">
        <f>IF(AND(P471&gt;0,Q471&gt;0),ROUND((1-Q471/P471)*100,0),0)</f>
        <v>0</v>
      </c>
    </row>
    <row r="472" ht="20" customHeight="1" spans="1:18" x14ac:dyDescent="0.25">
      <c r="A472" s="7" t="s">
        <v>1492</v>
      </c>
      <c r="B472" s="8" t="s">
        <v>1493</v>
      </c>
      <c r="C472" s="8" t="s">
        <v>1494</v>
      </c>
      <c r="D472" s="8" t="s">
        <v>26</v>
      </c>
      <c r="E472" s="9" t="s">
        <v>26</v>
      </c>
      <c r="F472" s="9" t="s">
        <v>26</v>
      </c>
      <c r="G472" s="9" t="s">
        <v>26</v>
      </c>
      <c r="H472" s="9" t="s">
        <v>26</v>
      </c>
      <c r="I472" s="8" t="s">
        <v>26</v>
      </c>
      <c r="J472" s="8" t="s">
        <v>26</v>
      </c>
      <c r="K472" s="8" t="s">
        <v>26</v>
      </c>
      <c r="L472" s="10" t="s">
        <v>28</v>
      </c>
      <c r="M472" s="10" t="s">
        <v>28</v>
      </c>
      <c r="N472" s="12">
        <v>0</v>
      </c>
      <c r="O472" s="8" t="s">
        <v>26</v>
      </c>
      <c r="P472" s="13"/>
      <c r="Q472" s="13"/>
      <c r="R472" s="14">
        <f>IF(AND(P472&gt;0,Q472&gt;0),ROUND((1-Q472/P472)*100,0),0)</f>
        <v>0</v>
      </c>
    </row>
    <row r="473" ht="20" customHeight="1" spans="1:18" x14ac:dyDescent="0.25">
      <c r="A473" s="15" t="s">
        <v>1495</v>
      </c>
      <c r="B473" s="16" t="s">
        <v>1496</v>
      </c>
      <c r="C473" s="16" t="s">
        <v>1497</v>
      </c>
      <c r="D473" s="16" t="s">
        <v>26</v>
      </c>
      <c r="E473" s="17" t="s">
        <v>26</v>
      </c>
      <c r="F473" s="17" t="s">
        <v>26</v>
      </c>
      <c r="G473" s="17" t="s">
        <v>26</v>
      </c>
      <c r="H473" s="17" t="s">
        <v>26</v>
      </c>
      <c r="I473" s="16" t="s">
        <v>26</v>
      </c>
      <c r="J473" s="16" t="s">
        <v>26</v>
      </c>
      <c r="K473" s="16" t="s">
        <v>26</v>
      </c>
      <c r="L473" s="18" t="s">
        <v>28</v>
      </c>
      <c r="M473" s="18" t="s">
        <v>28</v>
      </c>
      <c r="N473" s="20">
        <v>0</v>
      </c>
      <c r="O473" s="16" t="s">
        <v>26</v>
      </c>
      <c r="P473" s="13"/>
      <c r="Q473" s="13"/>
      <c r="R473" s="14">
        <f>IF(AND(P473&gt;0,Q473&gt;0),ROUND((1-Q473/P473)*100,0),0)</f>
        <v>0</v>
      </c>
    </row>
    <row r="474" ht="20" customHeight="1" spans="1:18" x14ac:dyDescent="0.25">
      <c r="A474" s="7" t="s">
        <v>1498</v>
      </c>
      <c r="B474" s="8" t="s">
        <v>1499</v>
      </c>
      <c r="C474" s="8" t="s">
        <v>1500</v>
      </c>
      <c r="D474" s="8" t="s">
        <v>26</v>
      </c>
      <c r="E474" s="9" t="s">
        <v>26</v>
      </c>
      <c r="F474" s="9" t="s">
        <v>26</v>
      </c>
      <c r="G474" s="9" t="s">
        <v>26</v>
      </c>
      <c r="H474" s="9" t="s">
        <v>26</v>
      </c>
      <c r="I474" s="8" t="s">
        <v>26</v>
      </c>
      <c r="J474" s="8" t="s">
        <v>26</v>
      </c>
      <c r="K474" s="8" t="s">
        <v>26</v>
      </c>
      <c r="L474" s="10" t="s">
        <v>28</v>
      </c>
      <c r="M474" s="10" t="s">
        <v>28</v>
      </c>
      <c r="N474" s="12">
        <v>0</v>
      </c>
      <c r="O474" s="8" t="s">
        <v>26</v>
      </c>
      <c r="P474" s="13"/>
      <c r="Q474" s="13"/>
      <c r="R474" s="14">
        <f>IF(AND(P474&gt;0,Q474&gt;0),ROUND((1-Q474/P474)*100,0),0)</f>
        <v>0</v>
      </c>
    </row>
    <row r="475" ht="20" customHeight="1" spans="1:18" x14ac:dyDescent="0.25">
      <c r="A475" s="15" t="s">
        <v>1501</v>
      </c>
      <c r="B475" s="16" t="s">
        <v>1502</v>
      </c>
      <c r="C475" s="16" t="s">
        <v>1503</v>
      </c>
      <c r="D475" s="16" t="s">
        <v>26</v>
      </c>
      <c r="E475" s="17" t="s">
        <v>26</v>
      </c>
      <c r="F475" s="17" t="s">
        <v>26</v>
      </c>
      <c r="G475" s="17" t="s">
        <v>26</v>
      </c>
      <c r="H475" s="17" t="s">
        <v>26</v>
      </c>
      <c r="I475" s="16" t="s">
        <v>26</v>
      </c>
      <c r="J475" s="16" t="s">
        <v>26</v>
      </c>
      <c r="K475" s="16" t="s">
        <v>26</v>
      </c>
      <c r="L475" s="18" t="s">
        <v>28</v>
      </c>
      <c r="M475" s="18" t="s">
        <v>28</v>
      </c>
      <c r="N475" s="20">
        <v>0</v>
      </c>
      <c r="O475" s="16" t="s">
        <v>26</v>
      </c>
      <c r="P475" s="13"/>
      <c r="Q475" s="13"/>
      <c r="R475" s="14">
        <f>IF(AND(P475&gt;0,Q475&gt;0),ROUND((1-Q475/P475)*100,0),0)</f>
        <v>0</v>
      </c>
    </row>
    <row r="476" ht="20" customHeight="1" spans="1:18" x14ac:dyDescent="0.25">
      <c r="A476" s="7" t="s">
        <v>1504</v>
      </c>
      <c r="B476" s="8" t="s">
        <v>1505</v>
      </c>
      <c r="C476" s="8" t="s">
        <v>1506</v>
      </c>
      <c r="D476" s="8" t="s">
        <v>26</v>
      </c>
      <c r="E476" s="9" t="s">
        <v>26</v>
      </c>
      <c r="F476" s="9" t="s">
        <v>26</v>
      </c>
      <c r="G476" s="9" t="s">
        <v>26</v>
      </c>
      <c r="H476" s="9" t="s">
        <v>26</v>
      </c>
      <c r="I476" s="8" t="s">
        <v>26</v>
      </c>
      <c r="J476" s="8" t="s">
        <v>26</v>
      </c>
      <c r="K476" s="8" t="s">
        <v>26</v>
      </c>
      <c r="L476" s="10" t="s">
        <v>28</v>
      </c>
      <c r="M476" s="10" t="s">
        <v>28</v>
      </c>
      <c r="N476" s="12">
        <v>0</v>
      </c>
      <c r="O476" s="8" t="s">
        <v>26</v>
      </c>
      <c r="P476" s="13"/>
      <c r="Q476" s="13"/>
      <c r="R476" s="14">
        <f>IF(AND(P476&gt;0,Q476&gt;0),ROUND((1-Q476/P476)*100,0),0)</f>
        <v>0</v>
      </c>
    </row>
    <row r="477" ht="20" customHeight="1" spans="1:18" x14ac:dyDescent="0.25">
      <c r="A477" s="15" t="s">
        <v>1507</v>
      </c>
      <c r="B477" s="16" t="s">
        <v>1508</v>
      </c>
      <c r="C477" s="16" t="s">
        <v>1509</v>
      </c>
      <c r="D477" s="16" t="s">
        <v>26</v>
      </c>
      <c r="E477" s="17" t="s">
        <v>26</v>
      </c>
      <c r="F477" s="17" t="s">
        <v>26</v>
      </c>
      <c r="G477" s="17" t="s">
        <v>26</v>
      </c>
      <c r="H477" s="17" t="s">
        <v>26</v>
      </c>
      <c r="I477" s="16" t="s">
        <v>26</v>
      </c>
      <c r="J477" s="16" t="s">
        <v>26</v>
      </c>
      <c r="K477" s="16" t="s">
        <v>26</v>
      </c>
      <c r="L477" s="18" t="s">
        <v>28</v>
      </c>
      <c r="M477" s="18" t="s">
        <v>28</v>
      </c>
      <c r="N477" s="20">
        <v>0</v>
      </c>
      <c r="O477" s="16" t="s">
        <v>26</v>
      </c>
      <c r="P477" s="13"/>
      <c r="Q477" s="13"/>
      <c r="R477" s="14">
        <f>IF(AND(P477&gt;0,Q477&gt;0),ROUND((1-Q477/P477)*100,0),0)</f>
        <v>0</v>
      </c>
    </row>
    <row r="478" ht="20" customHeight="1" spans="1:18" x14ac:dyDescent="0.25">
      <c r="A478" s="7" t="s">
        <v>1510</v>
      </c>
      <c r="B478" s="8" t="s">
        <v>1511</v>
      </c>
      <c r="C478" s="8" t="s">
        <v>1512</v>
      </c>
      <c r="D478" s="8" t="s">
        <v>26</v>
      </c>
      <c r="E478" s="9" t="s">
        <v>26</v>
      </c>
      <c r="F478" s="9" t="s">
        <v>26</v>
      </c>
      <c r="G478" s="9" t="s">
        <v>26</v>
      </c>
      <c r="H478" s="9" t="s">
        <v>26</v>
      </c>
      <c r="I478" s="8" t="s">
        <v>26</v>
      </c>
      <c r="J478" s="8" t="s">
        <v>26</v>
      </c>
      <c r="K478" s="8" t="s">
        <v>26</v>
      </c>
      <c r="L478" s="10" t="s">
        <v>28</v>
      </c>
      <c r="M478" s="10" t="s">
        <v>28</v>
      </c>
      <c r="N478" s="12">
        <v>0</v>
      </c>
      <c r="O478" s="8" t="s">
        <v>26</v>
      </c>
      <c r="P478" s="13"/>
      <c r="Q478" s="13"/>
      <c r="R478" s="14">
        <f>IF(AND(P478&gt;0,Q478&gt;0),ROUND((1-Q478/P478)*100,0),0)</f>
        <v>0</v>
      </c>
    </row>
    <row r="479" ht="20" customHeight="1" spans="1:18" x14ac:dyDescent="0.25">
      <c r="A479" s="15" t="s">
        <v>1513</v>
      </c>
      <c r="B479" s="16" t="s">
        <v>1514</v>
      </c>
      <c r="C479" s="16" t="s">
        <v>1515</v>
      </c>
      <c r="D479" s="16" t="s">
        <v>26</v>
      </c>
      <c r="E479" s="17" t="s">
        <v>26</v>
      </c>
      <c r="F479" s="17" t="s">
        <v>26</v>
      </c>
      <c r="G479" s="17" t="s">
        <v>26</v>
      </c>
      <c r="H479" s="17" t="s">
        <v>26</v>
      </c>
      <c r="I479" s="16" t="s">
        <v>26</v>
      </c>
      <c r="J479" s="16" t="s">
        <v>26</v>
      </c>
      <c r="K479" s="16" t="s">
        <v>26</v>
      </c>
      <c r="L479" s="18" t="s">
        <v>28</v>
      </c>
      <c r="M479" s="18" t="s">
        <v>28</v>
      </c>
      <c r="N479" s="20">
        <v>0</v>
      </c>
      <c r="O479" s="16" t="s">
        <v>26</v>
      </c>
      <c r="P479" s="13"/>
      <c r="Q479" s="13"/>
      <c r="R479" s="14">
        <f>IF(AND(P479&gt;0,Q479&gt;0),ROUND((1-Q479/P479)*100,0),0)</f>
        <v>0</v>
      </c>
    </row>
    <row r="480" ht="20" customHeight="1" spans="1:18" x14ac:dyDescent="0.25">
      <c r="A480" s="7" t="s">
        <v>1516</v>
      </c>
      <c r="B480" s="8" t="s">
        <v>1517</v>
      </c>
      <c r="C480" s="8" t="s">
        <v>1518</v>
      </c>
      <c r="D480" s="8" t="s">
        <v>26</v>
      </c>
      <c r="E480" s="9" t="s">
        <v>26</v>
      </c>
      <c r="F480" s="9" t="s">
        <v>26</v>
      </c>
      <c r="G480" s="9" t="s">
        <v>26</v>
      </c>
      <c r="H480" s="9" t="s">
        <v>26</v>
      </c>
      <c r="I480" s="8" t="s">
        <v>26</v>
      </c>
      <c r="J480" s="8" t="s">
        <v>26</v>
      </c>
      <c r="K480" s="8" t="s">
        <v>26</v>
      </c>
      <c r="L480" s="10" t="s">
        <v>28</v>
      </c>
      <c r="M480" s="10" t="s">
        <v>28</v>
      </c>
      <c r="N480" s="12">
        <v>0</v>
      </c>
      <c r="O480" s="8" t="s">
        <v>26</v>
      </c>
      <c r="P480" s="13"/>
      <c r="Q480" s="13"/>
      <c r="R480" s="14">
        <f>IF(AND(P480&gt;0,Q480&gt;0),ROUND((1-Q480/P480)*100,0),0)</f>
        <v>0</v>
      </c>
    </row>
    <row r="481" ht="20" customHeight="1" spans="1:18" x14ac:dyDescent="0.25">
      <c r="A481" s="15" t="s">
        <v>1519</v>
      </c>
      <c r="B481" s="16" t="s">
        <v>1520</v>
      </c>
      <c r="C481" s="16" t="s">
        <v>1521</v>
      </c>
      <c r="D481" s="16" t="s">
        <v>26</v>
      </c>
      <c r="E481" s="17" t="s">
        <v>26</v>
      </c>
      <c r="F481" s="17" t="s">
        <v>26</v>
      </c>
      <c r="G481" s="17" t="s">
        <v>26</v>
      </c>
      <c r="H481" s="17" t="s">
        <v>26</v>
      </c>
      <c r="I481" s="16" t="s">
        <v>26</v>
      </c>
      <c r="J481" s="16" t="s">
        <v>26</v>
      </c>
      <c r="K481" s="16" t="s">
        <v>26</v>
      </c>
      <c r="L481" s="18" t="s">
        <v>28</v>
      </c>
      <c r="M481" s="18" t="s">
        <v>28</v>
      </c>
      <c r="N481" s="20">
        <v>0</v>
      </c>
      <c r="O481" s="16" t="s">
        <v>26</v>
      </c>
      <c r="P481" s="13"/>
      <c r="Q481" s="13"/>
      <c r="R481" s="14">
        <f>IF(AND(P481&gt;0,Q481&gt;0),ROUND((1-Q481/P481)*100,0),0)</f>
        <v>0</v>
      </c>
    </row>
    <row r="482" ht="20" customHeight="1" spans="1:18" x14ac:dyDescent="0.25">
      <c r="A482" s="7" t="s">
        <v>1522</v>
      </c>
      <c r="B482" s="8" t="s">
        <v>1523</v>
      </c>
      <c r="C482" s="8" t="s">
        <v>1524</v>
      </c>
      <c r="D482" s="8" t="s">
        <v>26</v>
      </c>
      <c r="E482" s="9" t="s">
        <v>26</v>
      </c>
      <c r="F482" s="9" t="s">
        <v>26</v>
      </c>
      <c r="G482" s="9" t="s">
        <v>26</v>
      </c>
      <c r="H482" s="9" t="s">
        <v>26</v>
      </c>
      <c r="I482" s="8" t="s">
        <v>26</v>
      </c>
      <c r="J482" s="8" t="s">
        <v>26</v>
      </c>
      <c r="K482" s="8" t="s">
        <v>26</v>
      </c>
      <c r="L482" s="10" t="s">
        <v>28</v>
      </c>
      <c r="M482" s="10" t="s">
        <v>28</v>
      </c>
      <c r="N482" s="12">
        <v>0</v>
      </c>
      <c r="O482" s="8" t="s">
        <v>26</v>
      </c>
      <c r="P482" s="13"/>
      <c r="Q482" s="13"/>
      <c r="R482" s="14">
        <f>IF(AND(P482&gt;0,Q482&gt;0),ROUND((1-Q482/P482)*100,0),0)</f>
        <v>0</v>
      </c>
    </row>
    <row r="483" ht="20" customHeight="1" spans="1:18" x14ac:dyDescent="0.25">
      <c r="A483" s="15" t="s">
        <v>1525</v>
      </c>
      <c r="B483" s="16" t="s">
        <v>1526</v>
      </c>
      <c r="C483" s="16" t="s">
        <v>1527</v>
      </c>
      <c r="D483" s="16" t="s">
        <v>26</v>
      </c>
      <c r="E483" s="17" t="s">
        <v>26</v>
      </c>
      <c r="F483" s="17" t="s">
        <v>26</v>
      </c>
      <c r="G483" s="17" t="s">
        <v>26</v>
      </c>
      <c r="H483" s="17" t="s">
        <v>26</v>
      </c>
      <c r="I483" s="16" t="s">
        <v>26</v>
      </c>
      <c r="J483" s="16" t="s">
        <v>26</v>
      </c>
      <c r="K483" s="16" t="s">
        <v>26</v>
      </c>
      <c r="L483" s="18" t="s">
        <v>28</v>
      </c>
      <c r="M483" s="18" t="s">
        <v>28</v>
      </c>
      <c r="N483" s="20">
        <v>0</v>
      </c>
      <c r="O483" s="16" t="s">
        <v>26</v>
      </c>
      <c r="P483" s="13"/>
      <c r="Q483" s="13"/>
      <c r="R483" s="14">
        <f>IF(AND(P483&gt;0,Q483&gt;0),ROUND((1-Q483/P483)*100,0),0)</f>
        <v>0</v>
      </c>
    </row>
    <row r="484" ht="20" customHeight="1" spans="1:18" x14ac:dyDescent="0.25">
      <c r="A484" s="7" t="s">
        <v>1528</v>
      </c>
      <c r="B484" s="8" t="s">
        <v>1529</v>
      </c>
      <c r="C484" s="8" t="s">
        <v>1530</v>
      </c>
      <c r="D484" s="8" t="s">
        <v>26</v>
      </c>
      <c r="E484" s="9" t="s">
        <v>26</v>
      </c>
      <c r="F484" s="9" t="s">
        <v>26</v>
      </c>
      <c r="G484" s="9" t="s">
        <v>26</v>
      </c>
      <c r="H484" s="9" t="s">
        <v>26</v>
      </c>
      <c r="I484" s="8" t="s">
        <v>26</v>
      </c>
      <c r="J484" s="8" t="s">
        <v>26</v>
      </c>
      <c r="K484" s="8" t="s">
        <v>26</v>
      </c>
      <c r="L484" s="10" t="s">
        <v>28</v>
      </c>
      <c r="M484" s="10" t="s">
        <v>28</v>
      </c>
      <c r="N484" s="12">
        <v>0</v>
      </c>
      <c r="O484" s="8" t="s">
        <v>26</v>
      </c>
      <c r="P484" s="13"/>
      <c r="Q484" s="13"/>
      <c r="R484" s="14">
        <f>IF(AND(P484&gt;0,Q484&gt;0),ROUND((1-Q484/P484)*100,0),0)</f>
        <v>0</v>
      </c>
    </row>
    <row r="485" ht="20" customHeight="1" spans="1:18" x14ac:dyDescent="0.25">
      <c r="A485" s="15" t="s">
        <v>1531</v>
      </c>
      <c r="B485" s="16" t="s">
        <v>1532</v>
      </c>
      <c r="C485" s="16" t="s">
        <v>1533</v>
      </c>
      <c r="D485" s="16" t="s">
        <v>26</v>
      </c>
      <c r="E485" s="17" t="s">
        <v>26</v>
      </c>
      <c r="F485" s="17" t="s">
        <v>26</v>
      </c>
      <c r="G485" s="17" t="s">
        <v>26</v>
      </c>
      <c r="H485" s="17" t="s">
        <v>26</v>
      </c>
      <c r="I485" s="16" t="s">
        <v>26</v>
      </c>
      <c r="J485" s="16" t="s">
        <v>26</v>
      </c>
      <c r="K485" s="16" t="s">
        <v>26</v>
      </c>
      <c r="L485" s="18" t="s">
        <v>28</v>
      </c>
      <c r="M485" s="18" t="s">
        <v>28</v>
      </c>
      <c r="N485" s="20">
        <v>0</v>
      </c>
      <c r="O485" s="16" t="s">
        <v>26</v>
      </c>
      <c r="P485" s="13"/>
      <c r="Q485" s="13"/>
      <c r="R485" s="14">
        <f>IF(AND(P485&gt;0,Q485&gt;0),ROUND((1-Q485/P485)*100,0),0)</f>
        <v>0</v>
      </c>
    </row>
    <row r="486" ht="20" customHeight="1" spans="1:18" x14ac:dyDescent="0.25">
      <c r="A486" s="7" t="s">
        <v>1534</v>
      </c>
      <c r="B486" s="8" t="s">
        <v>1535</v>
      </c>
      <c r="C486" s="8" t="s">
        <v>1536</v>
      </c>
      <c r="D486" s="8" t="s">
        <v>26</v>
      </c>
      <c r="E486" s="9" t="s">
        <v>26</v>
      </c>
      <c r="F486" s="9" t="s">
        <v>26</v>
      </c>
      <c r="G486" s="9" t="s">
        <v>26</v>
      </c>
      <c r="H486" s="9" t="s">
        <v>26</v>
      </c>
      <c r="I486" s="8" t="s">
        <v>26</v>
      </c>
      <c r="J486" s="8" t="s">
        <v>26</v>
      </c>
      <c r="K486" s="8" t="s">
        <v>26</v>
      </c>
      <c r="L486" s="10" t="s">
        <v>28</v>
      </c>
      <c r="M486" s="10" t="s">
        <v>28</v>
      </c>
      <c r="N486" s="12">
        <v>0</v>
      </c>
      <c r="O486" s="8" t="s">
        <v>26</v>
      </c>
      <c r="P486" s="13"/>
      <c r="Q486" s="13"/>
      <c r="R486" s="14">
        <f>IF(AND(P486&gt;0,Q486&gt;0),ROUND((1-Q486/P486)*100,0),0)</f>
        <v>0</v>
      </c>
    </row>
    <row r="487" ht="20" customHeight="1" spans="1:18" x14ac:dyDescent="0.25">
      <c r="A487" s="15" t="s">
        <v>1537</v>
      </c>
      <c r="B487" s="16" t="s">
        <v>1538</v>
      </c>
      <c r="C487" s="16" t="s">
        <v>1539</v>
      </c>
      <c r="D487" s="16" t="s">
        <v>26</v>
      </c>
      <c r="E487" s="17" t="s">
        <v>26</v>
      </c>
      <c r="F487" s="17" t="s">
        <v>26</v>
      </c>
      <c r="G487" s="17" t="s">
        <v>26</v>
      </c>
      <c r="H487" s="17" t="s">
        <v>26</v>
      </c>
      <c r="I487" s="16" t="s">
        <v>26</v>
      </c>
      <c r="J487" s="16" t="s">
        <v>26</v>
      </c>
      <c r="K487" s="16" t="s">
        <v>26</v>
      </c>
      <c r="L487" s="18" t="s">
        <v>28</v>
      </c>
      <c r="M487" s="18" t="s">
        <v>28</v>
      </c>
      <c r="N487" s="20">
        <v>0</v>
      </c>
      <c r="O487" s="16" t="s">
        <v>26</v>
      </c>
      <c r="P487" s="13"/>
      <c r="Q487" s="13"/>
      <c r="R487" s="14">
        <f>IF(AND(P487&gt;0,Q487&gt;0),ROUND((1-Q487/P487)*100,0),0)</f>
        <v>0</v>
      </c>
    </row>
    <row r="488" ht="20" customHeight="1" spans="1:18" x14ac:dyDescent="0.25">
      <c r="A488" s="7" t="s">
        <v>1540</v>
      </c>
      <c r="B488" s="8" t="s">
        <v>1541</v>
      </c>
      <c r="C488" s="8" t="s">
        <v>1542</v>
      </c>
      <c r="D488" s="8" t="s">
        <v>26</v>
      </c>
      <c r="E488" s="9" t="s">
        <v>26</v>
      </c>
      <c r="F488" s="9" t="s">
        <v>26</v>
      </c>
      <c r="G488" s="9" t="s">
        <v>26</v>
      </c>
      <c r="H488" s="9" t="s">
        <v>26</v>
      </c>
      <c r="I488" s="8" t="s">
        <v>26</v>
      </c>
      <c r="J488" s="8" t="s">
        <v>26</v>
      </c>
      <c r="K488" s="8" t="s">
        <v>26</v>
      </c>
      <c r="L488" s="10" t="s">
        <v>28</v>
      </c>
      <c r="M488" s="10" t="s">
        <v>28</v>
      </c>
      <c r="N488" s="12">
        <v>0</v>
      </c>
      <c r="O488" s="8" t="s">
        <v>26</v>
      </c>
      <c r="P488" s="13"/>
      <c r="Q488" s="13"/>
      <c r="R488" s="14">
        <f>IF(AND(P488&gt;0,Q488&gt;0),ROUND((1-Q488/P488)*100,0),0)</f>
        <v>0</v>
      </c>
    </row>
    <row r="489" ht="20" customHeight="1" spans="1:18" x14ac:dyDescent="0.25">
      <c r="A489" s="15" t="s">
        <v>1543</v>
      </c>
      <c r="B489" s="16" t="s">
        <v>1544</v>
      </c>
      <c r="C489" s="16" t="s">
        <v>1545</v>
      </c>
      <c r="D489" s="16" t="s">
        <v>26</v>
      </c>
      <c r="E489" s="17" t="s">
        <v>26</v>
      </c>
      <c r="F489" s="17" t="s">
        <v>26</v>
      </c>
      <c r="G489" s="17" t="s">
        <v>26</v>
      </c>
      <c r="H489" s="17" t="s">
        <v>26</v>
      </c>
      <c r="I489" s="16" t="s">
        <v>26</v>
      </c>
      <c r="J489" s="16" t="s">
        <v>26</v>
      </c>
      <c r="K489" s="16" t="s">
        <v>26</v>
      </c>
      <c r="L489" s="18" t="s">
        <v>28</v>
      </c>
      <c r="M489" s="18" t="s">
        <v>28</v>
      </c>
      <c r="N489" s="20">
        <v>0</v>
      </c>
      <c r="O489" s="16" t="s">
        <v>26</v>
      </c>
      <c r="P489" s="13"/>
      <c r="Q489" s="13"/>
      <c r="R489" s="14">
        <f>IF(AND(P489&gt;0,Q489&gt;0),ROUND((1-Q489/P489)*100,0),0)</f>
        <v>0</v>
      </c>
    </row>
    <row r="490" ht="20" customHeight="1" spans="1:18" x14ac:dyDescent="0.25">
      <c r="A490" s="7" t="s">
        <v>1546</v>
      </c>
      <c r="B490" s="8" t="s">
        <v>1547</v>
      </c>
      <c r="C490" s="8" t="s">
        <v>1548</v>
      </c>
      <c r="D490" s="8" t="s">
        <v>26</v>
      </c>
      <c r="E490" s="9" t="s">
        <v>26</v>
      </c>
      <c r="F490" s="9" t="s">
        <v>26</v>
      </c>
      <c r="G490" s="9" t="s">
        <v>26</v>
      </c>
      <c r="H490" s="9" t="s">
        <v>26</v>
      </c>
      <c r="I490" s="8" t="s">
        <v>26</v>
      </c>
      <c r="J490" s="8" t="s">
        <v>26</v>
      </c>
      <c r="K490" s="8" t="s">
        <v>26</v>
      </c>
      <c r="L490" s="10" t="s">
        <v>28</v>
      </c>
      <c r="M490" s="10" t="s">
        <v>28</v>
      </c>
      <c r="N490" s="12">
        <v>0</v>
      </c>
      <c r="O490" s="8" t="s">
        <v>26</v>
      </c>
      <c r="P490" s="13"/>
      <c r="Q490" s="13"/>
      <c r="R490" s="14">
        <f>IF(AND(P490&gt;0,Q490&gt;0),ROUND((1-Q490/P490)*100,0),0)</f>
        <v>0</v>
      </c>
    </row>
    <row r="491" ht="20" customHeight="1" spans="1:18" x14ac:dyDescent="0.25">
      <c r="A491" s="15" t="s">
        <v>1549</v>
      </c>
      <c r="B491" s="16" t="s">
        <v>1550</v>
      </c>
      <c r="C491" s="16" t="s">
        <v>1551</v>
      </c>
      <c r="D491" s="16" t="s">
        <v>26</v>
      </c>
      <c r="E491" s="17" t="s">
        <v>26</v>
      </c>
      <c r="F491" s="17" t="s">
        <v>26</v>
      </c>
      <c r="G491" s="17" t="s">
        <v>26</v>
      </c>
      <c r="H491" s="17" t="s">
        <v>26</v>
      </c>
      <c r="I491" s="16" t="s">
        <v>26</v>
      </c>
      <c r="J491" s="16" t="s">
        <v>26</v>
      </c>
      <c r="K491" s="16" t="s">
        <v>26</v>
      </c>
      <c r="L491" s="18" t="s">
        <v>28</v>
      </c>
      <c r="M491" s="18" t="s">
        <v>28</v>
      </c>
      <c r="N491" s="20">
        <v>0</v>
      </c>
      <c r="O491" s="16" t="s">
        <v>26</v>
      </c>
      <c r="P491" s="13"/>
      <c r="Q491" s="13"/>
      <c r="R491" s="14">
        <f>IF(AND(P491&gt;0,Q491&gt;0),ROUND((1-Q491/P491)*100,0),0)</f>
        <v>0</v>
      </c>
    </row>
    <row r="492" ht="20" customHeight="1" spans="1:18" x14ac:dyDescent="0.25">
      <c r="A492" s="7" t="s">
        <v>1552</v>
      </c>
      <c r="B492" s="8" t="s">
        <v>1553</v>
      </c>
      <c r="C492" s="8" t="s">
        <v>1554</v>
      </c>
      <c r="D492" s="8" t="s">
        <v>26</v>
      </c>
      <c r="E492" s="9" t="s">
        <v>26</v>
      </c>
      <c r="F492" s="9" t="s">
        <v>26</v>
      </c>
      <c r="G492" s="9" t="s">
        <v>26</v>
      </c>
      <c r="H492" s="9" t="s">
        <v>26</v>
      </c>
      <c r="I492" s="8" t="s">
        <v>26</v>
      </c>
      <c r="J492" s="8" t="s">
        <v>26</v>
      </c>
      <c r="K492" s="8" t="s">
        <v>26</v>
      </c>
      <c r="L492" s="10" t="s">
        <v>28</v>
      </c>
      <c r="M492" s="10" t="s">
        <v>28</v>
      </c>
      <c r="N492" s="12">
        <v>0</v>
      </c>
      <c r="O492" s="8" t="s">
        <v>26</v>
      </c>
      <c r="P492" s="13"/>
      <c r="Q492" s="13"/>
      <c r="R492" s="14">
        <f>IF(AND(P492&gt;0,Q492&gt;0),ROUND((1-Q492/P492)*100,0),0)</f>
        <v>0</v>
      </c>
    </row>
    <row r="493" ht="20" customHeight="1" spans="1:18" x14ac:dyDescent="0.25">
      <c r="A493" s="15" t="s">
        <v>1555</v>
      </c>
      <c r="B493" s="16" t="s">
        <v>1556</v>
      </c>
      <c r="C493" s="16" t="s">
        <v>1557</v>
      </c>
      <c r="D493" s="16" t="s">
        <v>26</v>
      </c>
      <c r="E493" s="17" t="s">
        <v>26</v>
      </c>
      <c r="F493" s="17" t="s">
        <v>26</v>
      </c>
      <c r="G493" s="17" t="s">
        <v>26</v>
      </c>
      <c r="H493" s="17" t="s">
        <v>26</v>
      </c>
      <c r="I493" s="16" t="s">
        <v>26</v>
      </c>
      <c r="J493" s="16" t="s">
        <v>26</v>
      </c>
      <c r="K493" s="16" t="s">
        <v>26</v>
      </c>
      <c r="L493" s="18" t="s">
        <v>28</v>
      </c>
      <c r="M493" s="18" t="s">
        <v>28</v>
      </c>
      <c r="N493" s="20">
        <v>0</v>
      </c>
      <c r="O493" s="16" t="s">
        <v>26</v>
      </c>
      <c r="P493" s="13"/>
      <c r="Q493" s="13"/>
      <c r="R493" s="14">
        <f>IF(AND(P493&gt;0,Q493&gt;0),ROUND((1-Q493/P493)*100,0),0)</f>
        <v>0</v>
      </c>
    </row>
    <row r="494" ht="20" customHeight="1" spans="1:18" x14ac:dyDescent="0.25">
      <c r="A494" s="7" t="s">
        <v>1558</v>
      </c>
      <c r="B494" s="8" t="s">
        <v>1559</v>
      </c>
      <c r="C494" s="8" t="s">
        <v>1560</v>
      </c>
      <c r="D494" s="8" t="s">
        <v>26</v>
      </c>
      <c r="E494" s="9" t="s">
        <v>26</v>
      </c>
      <c r="F494" s="9" t="s">
        <v>26</v>
      </c>
      <c r="G494" s="9" t="s">
        <v>26</v>
      </c>
      <c r="H494" s="9" t="s">
        <v>26</v>
      </c>
      <c r="I494" s="8" t="s">
        <v>26</v>
      </c>
      <c r="J494" s="8" t="s">
        <v>26</v>
      </c>
      <c r="K494" s="8" t="s">
        <v>26</v>
      </c>
      <c r="L494" s="10" t="s">
        <v>28</v>
      </c>
      <c r="M494" s="10" t="s">
        <v>28</v>
      </c>
      <c r="N494" s="12">
        <v>0</v>
      </c>
      <c r="O494" s="8" t="s">
        <v>26</v>
      </c>
      <c r="P494" s="13"/>
      <c r="Q494" s="13"/>
      <c r="R494" s="14">
        <f>IF(AND(P494&gt;0,Q494&gt;0),ROUND((1-Q494/P494)*100,0),0)</f>
        <v>0</v>
      </c>
    </row>
    <row r="495" ht="20" customHeight="1" spans="1:18" x14ac:dyDescent="0.25">
      <c r="A495" s="15" t="s">
        <v>1561</v>
      </c>
      <c r="B495" s="16" t="s">
        <v>1562</v>
      </c>
      <c r="C495" s="16" t="s">
        <v>1563</v>
      </c>
      <c r="D495" s="16" t="s">
        <v>26</v>
      </c>
      <c r="E495" s="17" t="s">
        <v>26</v>
      </c>
      <c r="F495" s="17" t="s">
        <v>26</v>
      </c>
      <c r="G495" s="17" t="s">
        <v>26</v>
      </c>
      <c r="H495" s="17" t="s">
        <v>26</v>
      </c>
      <c r="I495" s="16" t="s">
        <v>26</v>
      </c>
      <c r="J495" s="16" t="s">
        <v>26</v>
      </c>
      <c r="K495" s="16" t="s">
        <v>26</v>
      </c>
      <c r="L495" s="18" t="s">
        <v>28</v>
      </c>
      <c r="M495" s="18" t="s">
        <v>28</v>
      </c>
      <c r="N495" s="20">
        <v>0</v>
      </c>
      <c r="O495" s="16" t="s">
        <v>26</v>
      </c>
      <c r="P495" s="13"/>
      <c r="Q495" s="13"/>
      <c r="R495" s="14">
        <f>IF(AND(P495&gt;0,Q495&gt;0),ROUND((1-Q495/P495)*100,0),0)</f>
        <v>0</v>
      </c>
    </row>
    <row r="496" ht="20" customHeight="1" spans="1:18" x14ac:dyDescent="0.25">
      <c r="A496" s="7" t="s">
        <v>1564</v>
      </c>
      <c r="B496" s="8" t="s">
        <v>1565</v>
      </c>
      <c r="C496" s="8" t="s">
        <v>1566</v>
      </c>
      <c r="D496" s="8" t="s">
        <v>26</v>
      </c>
      <c r="E496" s="9" t="s">
        <v>26</v>
      </c>
      <c r="F496" s="9" t="s">
        <v>26</v>
      </c>
      <c r="G496" s="9" t="s">
        <v>26</v>
      </c>
      <c r="H496" s="9" t="s">
        <v>26</v>
      </c>
      <c r="I496" s="8" t="s">
        <v>26</v>
      </c>
      <c r="J496" s="8" t="s">
        <v>26</v>
      </c>
      <c r="K496" s="8" t="s">
        <v>26</v>
      </c>
      <c r="L496" s="10" t="s">
        <v>28</v>
      </c>
      <c r="M496" s="10" t="s">
        <v>28</v>
      </c>
      <c r="N496" s="12">
        <v>0</v>
      </c>
      <c r="O496" s="8" t="s">
        <v>26</v>
      </c>
      <c r="P496" s="13"/>
      <c r="Q496" s="13"/>
      <c r="R496" s="14">
        <f>IF(AND(P496&gt;0,Q496&gt;0),ROUND((1-Q496/P496)*100,0),0)</f>
        <v>0</v>
      </c>
    </row>
    <row r="497" ht="20" customHeight="1" spans="1:18" x14ac:dyDescent="0.25">
      <c r="A497" s="15" t="s">
        <v>1567</v>
      </c>
      <c r="B497" s="16" t="s">
        <v>1568</v>
      </c>
      <c r="C497" s="16" t="s">
        <v>1569</v>
      </c>
      <c r="D497" s="16" t="s">
        <v>26</v>
      </c>
      <c r="E497" s="17" t="s">
        <v>26</v>
      </c>
      <c r="F497" s="17" t="s">
        <v>26</v>
      </c>
      <c r="G497" s="17" t="s">
        <v>26</v>
      </c>
      <c r="H497" s="17" t="s">
        <v>26</v>
      </c>
      <c r="I497" s="16" t="s">
        <v>26</v>
      </c>
      <c r="J497" s="16" t="s">
        <v>26</v>
      </c>
      <c r="K497" s="16" t="s">
        <v>26</v>
      </c>
      <c r="L497" s="18" t="s">
        <v>28</v>
      </c>
      <c r="M497" s="18" t="s">
        <v>28</v>
      </c>
      <c r="N497" s="20">
        <v>0</v>
      </c>
      <c r="O497" s="16" t="s">
        <v>26</v>
      </c>
      <c r="P497" s="13"/>
      <c r="Q497" s="13"/>
      <c r="R497" s="14">
        <f>IF(AND(P497&gt;0,Q497&gt;0),ROUND((1-Q497/P497)*100,0),0)</f>
        <v>0</v>
      </c>
    </row>
    <row r="498" ht="20" customHeight="1" spans="1:18" x14ac:dyDescent="0.25">
      <c r="A498" s="7" t="s">
        <v>1570</v>
      </c>
      <c r="B498" s="8" t="s">
        <v>1571</v>
      </c>
      <c r="C498" s="8" t="s">
        <v>1572</v>
      </c>
      <c r="D498" s="8" t="s">
        <v>26</v>
      </c>
      <c r="E498" s="9" t="s">
        <v>26</v>
      </c>
      <c r="F498" s="9" t="s">
        <v>26</v>
      </c>
      <c r="G498" s="9" t="s">
        <v>26</v>
      </c>
      <c r="H498" s="9" t="s">
        <v>26</v>
      </c>
      <c r="I498" s="8" t="s">
        <v>26</v>
      </c>
      <c r="J498" s="8" t="s">
        <v>26</v>
      </c>
      <c r="K498" s="8" t="s">
        <v>26</v>
      </c>
      <c r="L498" s="10" t="s">
        <v>28</v>
      </c>
      <c r="M498" s="10" t="s">
        <v>28</v>
      </c>
      <c r="N498" s="12">
        <v>0</v>
      </c>
      <c r="O498" s="8" t="s">
        <v>26</v>
      </c>
      <c r="P498" s="13"/>
      <c r="Q498" s="13"/>
      <c r="R498" s="14">
        <f>IF(AND(P498&gt;0,Q498&gt;0),ROUND((1-Q498/P498)*100,0),0)</f>
        <v>0</v>
      </c>
    </row>
    <row r="499" ht="20" customHeight="1" spans="1:18" x14ac:dyDescent="0.25">
      <c r="A499" s="15" t="s">
        <v>1573</v>
      </c>
      <c r="B499" s="16" t="s">
        <v>1574</v>
      </c>
      <c r="C499" s="16" t="s">
        <v>1575</v>
      </c>
      <c r="D499" s="16" t="s">
        <v>26</v>
      </c>
      <c r="E499" s="17" t="s">
        <v>26</v>
      </c>
      <c r="F499" s="17" t="s">
        <v>26</v>
      </c>
      <c r="G499" s="17" t="s">
        <v>26</v>
      </c>
      <c r="H499" s="17" t="s">
        <v>26</v>
      </c>
      <c r="I499" s="16" t="s">
        <v>26</v>
      </c>
      <c r="J499" s="16" t="s">
        <v>26</v>
      </c>
      <c r="K499" s="16" t="s">
        <v>26</v>
      </c>
      <c r="L499" s="18" t="s">
        <v>28</v>
      </c>
      <c r="M499" s="18" t="s">
        <v>28</v>
      </c>
      <c r="N499" s="20">
        <v>0</v>
      </c>
      <c r="O499" s="16" t="s">
        <v>26</v>
      </c>
      <c r="P499" s="13"/>
      <c r="Q499" s="13"/>
      <c r="R499" s="14">
        <f>IF(AND(P499&gt;0,Q499&gt;0),ROUND((1-Q499/P499)*100,0),0)</f>
        <v>0</v>
      </c>
    </row>
    <row r="500" ht="20" customHeight="1" spans="1:18" x14ac:dyDescent="0.25">
      <c r="A500" s="7" t="s">
        <v>1576</v>
      </c>
      <c r="B500" s="8" t="s">
        <v>1577</v>
      </c>
      <c r="C500" s="8" t="s">
        <v>1578</v>
      </c>
      <c r="D500" s="8" t="s">
        <v>26</v>
      </c>
      <c r="E500" s="9" t="s">
        <v>26</v>
      </c>
      <c r="F500" s="9" t="s">
        <v>26</v>
      </c>
      <c r="G500" s="9" t="s">
        <v>26</v>
      </c>
      <c r="H500" s="9" t="s">
        <v>26</v>
      </c>
      <c r="I500" s="8" t="s">
        <v>26</v>
      </c>
      <c r="J500" s="8" t="s">
        <v>26</v>
      </c>
      <c r="K500" s="8" t="s">
        <v>26</v>
      </c>
      <c r="L500" s="10" t="s">
        <v>28</v>
      </c>
      <c r="M500" s="10" t="s">
        <v>28</v>
      </c>
      <c r="N500" s="12">
        <v>0</v>
      </c>
      <c r="O500" s="8" t="s">
        <v>26</v>
      </c>
      <c r="P500" s="13"/>
      <c r="Q500" s="13"/>
      <c r="R500" s="14">
        <f>IF(AND(P500&gt;0,Q500&gt;0),ROUND((1-Q500/P500)*100,0),0)</f>
        <v>0</v>
      </c>
    </row>
    <row r="501" ht="20" customHeight="1" spans="1:18" x14ac:dyDescent="0.25">
      <c r="A501" s="15" t="s">
        <v>1579</v>
      </c>
      <c r="B501" s="16" t="s">
        <v>1580</v>
      </c>
      <c r="C501" s="16" t="s">
        <v>1581</v>
      </c>
      <c r="D501" s="16" t="s">
        <v>26</v>
      </c>
      <c r="E501" s="17" t="s">
        <v>26</v>
      </c>
      <c r="F501" s="17" t="s">
        <v>26</v>
      </c>
      <c r="G501" s="17" t="s">
        <v>26</v>
      </c>
      <c r="H501" s="17" t="s">
        <v>26</v>
      </c>
      <c r="I501" s="16" t="s">
        <v>26</v>
      </c>
      <c r="J501" s="16" t="s">
        <v>26</v>
      </c>
      <c r="K501" s="16" t="s">
        <v>26</v>
      </c>
      <c r="L501" s="18" t="s">
        <v>28</v>
      </c>
      <c r="M501" s="18" t="s">
        <v>28</v>
      </c>
      <c r="N501" s="20">
        <v>0</v>
      </c>
      <c r="O501" s="16" t="s">
        <v>26</v>
      </c>
      <c r="P501" s="13"/>
      <c r="Q501" s="13"/>
      <c r="R501" s="14">
        <f>IF(AND(P501&gt;0,Q501&gt;0),ROUND((1-Q501/P501)*100,0),0)</f>
        <v>0</v>
      </c>
    </row>
    <row r="502" ht="20" customHeight="1" spans="1:18" x14ac:dyDescent="0.25">
      <c r="A502" s="7" t="s">
        <v>1582</v>
      </c>
      <c r="B502" s="8" t="s">
        <v>1583</v>
      </c>
      <c r="C502" s="8" t="s">
        <v>1584</v>
      </c>
      <c r="D502" s="8" t="s">
        <v>26</v>
      </c>
      <c r="E502" s="9" t="s">
        <v>26</v>
      </c>
      <c r="F502" s="9" t="s">
        <v>26</v>
      </c>
      <c r="G502" s="9" t="s">
        <v>26</v>
      </c>
      <c r="H502" s="9" t="s">
        <v>26</v>
      </c>
      <c r="I502" s="8" t="s">
        <v>26</v>
      </c>
      <c r="J502" s="8" t="s">
        <v>26</v>
      </c>
      <c r="K502" s="8" t="s">
        <v>26</v>
      </c>
      <c r="L502" s="10" t="s">
        <v>28</v>
      </c>
      <c r="M502" s="10" t="s">
        <v>28</v>
      </c>
      <c r="N502" s="12">
        <v>0</v>
      </c>
      <c r="O502" s="8" t="s">
        <v>26</v>
      </c>
      <c r="P502" s="13"/>
      <c r="Q502" s="13"/>
      <c r="R502" s="14">
        <f>IF(AND(P502&gt;0,Q502&gt;0),ROUND((1-Q502/P502)*100,0),0)</f>
        <v>0</v>
      </c>
    </row>
    <row r="503" ht="20" customHeight="1" spans="1:18" x14ac:dyDescent="0.25">
      <c r="A503" s="15" t="s">
        <v>1585</v>
      </c>
      <c r="B503" s="16" t="s">
        <v>1586</v>
      </c>
      <c r="C503" s="16" t="s">
        <v>1587</v>
      </c>
      <c r="D503" s="16" t="s">
        <v>26</v>
      </c>
      <c r="E503" s="17" t="s">
        <v>26</v>
      </c>
      <c r="F503" s="17" t="s">
        <v>26</v>
      </c>
      <c r="G503" s="17" t="s">
        <v>26</v>
      </c>
      <c r="H503" s="17" t="s">
        <v>26</v>
      </c>
      <c r="I503" s="16" t="s">
        <v>26</v>
      </c>
      <c r="J503" s="16" t="s">
        <v>26</v>
      </c>
      <c r="K503" s="16" t="s">
        <v>26</v>
      </c>
      <c r="L503" s="18" t="s">
        <v>28</v>
      </c>
      <c r="M503" s="18" t="s">
        <v>28</v>
      </c>
      <c r="N503" s="20">
        <v>0</v>
      </c>
      <c r="O503" s="16" t="s">
        <v>26</v>
      </c>
      <c r="P503" s="13"/>
      <c r="Q503" s="13"/>
      <c r="R503" s="14">
        <f>IF(AND(P503&gt;0,Q503&gt;0),ROUND((1-Q503/P503)*100,0),0)</f>
        <v>0</v>
      </c>
    </row>
    <row r="504" ht="20" customHeight="1" spans="1:18" x14ac:dyDescent="0.25">
      <c r="A504" s="7" t="s">
        <v>1588</v>
      </c>
      <c r="B504" s="8" t="s">
        <v>1589</v>
      </c>
      <c r="C504" s="8" t="s">
        <v>1590</v>
      </c>
      <c r="D504" s="8" t="s">
        <v>26</v>
      </c>
      <c r="E504" s="9" t="s">
        <v>26</v>
      </c>
      <c r="F504" s="9" t="s">
        <v>26</v>
      </c>
      <c r="G504" s="9" t="s">
        <v>26</v>
      </c>
      <c r="H504" s="9" t="s">
        <v>26</v>
      </c>
      <c r="I504" s="8" t="s">
        <v>26</v>
      </c>
      <c r="J504" s="8" t="s">
        <v>26</v>
      </c>
      <c r="K504" s="8" t="s">
        <v>26</v>
      </c>
      <c r="L504" s="10" t="s">
        <v>28</v>
      </c>
      <c r="M504" s="10" t="s">
        <v>28</v>
      </c>
      <c r="N504" s="12">
        <v>0</v>
      </c>
      <c r="O504" s="8" t="s">
        <v>26</v>
      </c>
      <c r="P504" s="13"/>
      <c r="Q504" s="13"/>
      <c r="R504" s="14">
        <f>IF(AND(P504&gt;0,Q504&gt;0),ROUND((1-Q504/P504)*100,0),0)</f>
        <v>0</v>
      </c>
    </row>
    <row r="505" ht="20" customHeight="1" spans="1:18" x14ac:dyDescent="0.25">
      <c r="A505" s="15" t="s">
        <v>1591</v>
      </c>
      <c r="B505" s="16" t="s">
        <v>1592</v>
      </c>
      <c r="C505" s="16" t="s">
        <v>1593</v>
      </c>
      <c r="D505" s="16" t="s">
        <v>26</v>
      </c>
      <c r="E505" s="17" t="s">
        <v>26</v>
      </c>
      <c r="F505" s="17" t="s">
        <v>26</v>
      </c>
      <c r="G505" s="17" t="s">
        <v>26</v>
      </c>
      <c r="H505" s="17" t="s">
        <v>26</v>
      </c>
      <c r="I505" s="16" t="s">
        <v>26</v>
      </c>
      <c r="J505" s="16" t="s">
        <v>26</v>
      </c>
      <c r="K505" s="16" t="s">
        <v>26</v>
      </c>
      <c r="L505" s="18" t="s">
        <v>28</v>
      </c>
      <c r="M505" s="18" t="s">
        <v>28</v>
      </c>
      <c r="N505" s="20">
        <v>0</v>
      </c>
      <c r="O505" s="16" t="s">
        <v>26</v>
      </c>
      <c r="P505" s="13"/>
      <c r="Q505" s="13"/>
      <c r="R505" s="14">
        <f>IF(AND(P505&gt;0,Q505&gt;0),ROUND((1-Q505/P505)*100,0),0)</f>
        <v>0</v>
      </c>
    </row>
    <row r="506" ht="20" customHeight="1" spans="1:18" x14ac:dyDescent="0.25">
      <c r="A506" s="7" t="s">
        <v>1594</v>
      </c>
      <c r="B506" s="8" t="s">
        <v>1595</v>
      </c>
      <c r="C506" s="8" t="s">
        <v>1596</v>
      </c>
      <c r="D506" s="8" t="s">
        <v>26</v>
      </c>
      <c r="E506" s="9" t="s">
        <v>26</v>
      </c>
      <c r="F506" s="9" t="s">
        <v>26</v>
      </c>
      <c r="G506" s="9" t="s">
        <v>26</v>
      </c>
      <c r="H506" s="9" t="s">
        <v>26</v>
      </c>
      <c r="I506" s="8" t="s">
        <v>26</v>
      </c>
      <c r="J506" s="8" t="s">
        <v>26</v>
      </c>
      <c r="K506" s="8" t="s">
        <v>26</v>
      </c>
      <c r="L506" s="10" t="s">
        <v>28</v>
      </c>
      <c r="M506" s="10" t="s">
        <v>28</v>
      </c>
      <c r="N506" s="12">
        <v>0</v>
      </c>
      <c r="O506" s="8" t="s">
        <v>26</v>
      </c>
      <c r="P506" s="13"/>
      <c r="Q506" s="13"/>
      <c r="R506" s="14">
        <f>IF(AND(P506&gt;0,Q506&gt;0),ROUND((1-Q506/P506)*100,0),0)</f>
        <v>0</v>
      </c>
    </row>
    <row r="507" ht="20" customHeight="1" spans="1:18" x14ac:dyDescent="0.25">
      <c r="A507" s="15" t="s">
        <v>1597</v>
      </c>
      <c r="B507" s="16" t="s">
        <v>1598</v>
      </c>
      <c r="C507" s="16" t="s">
        <v>1599</v>
      </c>
      <c r="D507" s="16" t="s">
        <v>26</v>
      </c>
      <c r="E507" s="17" t="s">
        <v>26</v>
      </c>
      <c r="F507" s="17" t="s">
        <v>26</v>
      </c>
      <c r="G507" s="17" t="s">
        <v>26</v>
      </c>
      <c r="H507" s="17" t="s">
        <v>26</v>
      </c>
      <c r="I507" s="16" t="s">
        <v>26</v>
      </c>
      <c r="J507" s="16" t="s">
        <v>26</v>
      </c>
      <c r="K507" s="16" t="s">
        <v>26</v>
      </c>
      <c r="L507" s="18" t="s">
        <v>28</v>
      </c>
      <c r="M507" s="18" t="s">
        <v>28</v>
      </c>
      <c r="N507" s="20">
        <v>0</v>
      </c>
      <c r="O507" s="16" t="s">
        <v>26</v>
      </c>
      <c r="P507" s="13"/>
      <c r="Q507" s="13"/>
      <c r="R507" s="14">
        <f>IF(AND(P507&gt;0,Q507&gt;0),ROUND((1-Q507/P507)*100,0),0)</f>
        <v>0</v>
      </c>
    </row>
    <row r="508" ht="20" customHeight="1" spans="1:18" x14ac:dyDescent="0.25">
      <c r="A508" s="7" t="s">
        <v>1600</v>
      </c>
      <c r="B508" s="8" t="s">
        <v>1601</v>
      </c>
      <c r="C508" s="8" t="s">
        <v>1602</v>
      </c>
      <c r="D508" s="8" t="s">
        <v>26</v>
      </c>
      <c r="E508" s="9" t="s">
        <v>26</v>
      </c>
      <c r="F508" s="9" t="s">
        <v>26</v>
      </c>
      <c r="G508" s="9" t="s">
        <v>26</v>
      </c>
      <c r="H508" s="9" t="s">
        <v>26</v>
      </c>
      <c r="I508" s="8" t="s">
        <v>26</v>
      </c>
      <c r="J508" s="8" t="s">
        <v>26</v>
      </c>
      <c r="K508" s="8" t="s">
        <v>26</v>
      </c>
      <c r="L508" s="10" t="s">
        <v>28</v>
      </c>
      <c r="M508" s="10" t="s">
        <v>28</v>
      </c>
      <c r="N508" s="12">
        <v>0</v>
      </c>
      <c r="O508" s="8" t="s">
        <v>26</v>
      </c>
      <c r="P508" s="13"/>
      <c r="Q508" s="13"/>
      <c r="R508" s="14">
        <f>IF(AND(P508&gt;0,Q508&gt;0),ROUND((1-Q508/P508)*100,0),0)</f>
        <v>0</v>
      </c>
    </row>
    <row r="509" ht="20" customHeight="1" spans="1:18" x14ac:dyDescent="0.25">
      <c r="A509" s="15" t="s">
        <v>1603</v>
      </c>
      <c r="B509" s="16" t="s">
        <v>1604</v>
      </c>
      <c r="C509" s="16" t="s">
        <v>1605</v>
      </c>
      <c r="D509" s="16" t="s">
        <v>26</v>
      </c>
      <c r="E509" s="17" t="s">
        <v>26</v>
      </c>
      <c r="F509" s="17" t="s">
        <v>26</v>
      </c>
      <c r="G509" s="17" t="s">
        <v>26</v>
      </c>
      <c r="H509" s="17" t="s">
        <v>26</v>
      </c>
      <c r="I509" s="16" t="s">
        <v>26</v>
      </c>
      <c r="J509" s="16" t="s">
        <v>26</v>
      </c>
      <c r="K509" s="16" t="s">
        <v>26</v>
      </c>
      <c r="L509" s="18" t="s">
        <v>28</v>
      </c>
      <c r="M509" s="18" t="s">
        <v>28</v>
      </c>
      <c r="N509" s="20">
        <v>0</v>
      </c>
      <c r="O509" s="16" t="s">
        <v>26</v>
      </c>
      <c r="P509" s="13"/>
      <c r="Q509" s="13"/>
      <c r="R509" s="14">
        <f>IF(AND(P509&gt;0,Q509&gt;0),ROUND((1-Q509/P509)*100,0),0)</f>
        <v>0</v>
      </c>
    </row>
    <row r="510" ht="20" customHeight="1" spans="1:18" x14ac:dyDescent="0.25">
      <c r="A510" s="7" t="s">
        <v>1606</v>
      </c>
      <c r="B510" s="8" t="s">
        <v>1607</v>
      </c>
      <c r="C510" s="8" t="s">
        <v>1608</v>
      </c>
      <c r="D510" s="8" t="s">
        <v>26</v>
      </c>
      <c r="E510" s="9" t="s">
        <v>26</v>
      </c>
      <c r="F510" s="9" t="s">
        <v>26</v>
      </c>
      <c r="G510" s="9" t="s">
        <v>26</v>
      </c>
      <c r="H510" s="9" t="s">
        <v>26</v>
      </c>
      <c r="I510" s="8" t="s">
        <v>26</v>
      </c>
      <c r="J510" s="8" t="s">
        <v>26</v>
      </c>
      <c r="K510" s="8" t="s">
        <v>26</v>
      </c>
      <c r="L510" s="10" t="s">
        <v>28</v>
      </c>
      <c r="M510" s="10" t="s">
        <v>28</v>
      </c>
      <c r="N510" s="12">
        <v>0</v>
      </c>
      <c r="O510" s="8" t="s">
        <v>26</v>
      </c>
      <c r="P510" s="13"/>
      <c r="Q510" s="13"/>
      <c r="R510" s="14">
        <f>IF(AND(P510&gt;0,Q510&gt;0),ROUND((1-Q510/P510)*100,0),0)</f>
        <v>0</v>
      </c>
    </row>
    <row r="511" ht="20" customHeight="1" spans="1:18" x14ac:dyDescent="0.25">
      <c r="A511" s="15" t="s">
        <v>1609</v>
      </c>
      <c r="B511" s="16" t="s">
        <v>1610</v>
      </c>
      <c r="C511" s="16" t="s">
        <v>1611</v>
      </c>
      <c r="D511" s="16" t="s">
        <v>26</v>
      </c>
      <c r="E511" s="17" t="s">
        <v>26</v>
      </c>
      <c r="F511" s="17" t="s">
        <v>26</v>
      </c>
      <c r="G511" s="17" t="s">
        <v>26</v>
      </c>
      <c r="H511" s="17" t="s">
        <v>26</v>
      </c>
      <c r="I511" s="16" t="s">
        <v>26</v>
      </c>
      <c r="J511" s="16" t="s">
        <v>26</v>
      </c>
      <c r="K511" s="16" t="s">
        <v>26</v>
      </c>
      <c r="L511" s="18" t="s">
        <v>28</v>
      </c>
      <c r="M511" s="18" t="s">
        <v>28</v>
      </c>
      <c r="N511" s="20">
        <v>0</v>
      </c>
      <c r="O511" s="16" t="s">
        <v>26</v>
      </c>
      <c r="P511" s="13"/>
      <c r="Q511" s="13"/>
      <c r="R511" s="14">
        <f>IF(AND(P511&gt;0,Q511&gt;0),ROUND((1-Q511/P511)*100,0),0)</f>
        <v>0</v>
      </c>
    </row>
    <row r="512" ht="20" customHeight="1" spans="1:18" x14ac:dyDescent="0.25">
      <c r="A512" s="7" t="s">
        <v>1612</v>
      </c>
      <c r="B512" s="8" t="s">
        <v>1613</v>
      </c>
      <c r="C512" s="8" t="s">
        <v>1614</v>
      </c>
      <c r="D512" s="8" t="s">
        <v>26</v>
      </c>
      <c r="E512" s="9" t="s">
        <v>26</v>
      </c>
      <c r="F512" s="9" t="s">
        <v>26</v>
      </c>
      <c r="G512" s="9" t="s">
        <v>26</v>
      </c>
      <c r="H512" s="9" t="s">
        <v>26</v>
      </c>
      <c r="I512" s="8" t="s">
        <v>26</v>
      </c>
      <c r="J512" s="8" t="s">
        <v>26</v>
      </c>
      <c r="K512" s="8" t="s">
        <v>26</v>
      </c>
      <c r="L512" s="10" t="s">
        <v>28</v>
      </c>
      <c r="M512" s="10" t="s">
        <v>28</v>
      </c>
      <c r="N512" s="12">
        <v>0</v>
      </c>
      <c r="O512" s="8" t="s">
        <v>26</v>
      </c>
      <c r="P512" s="13"/>
      <c r="Q512" s="13"/>
      <c r="R512" s="14">
        <f>IF(AND(P512&gt;0,Q512&gt;0),ROUND((1-Q512/P512)*100,0),0)</f>
        <v>0</v>
      </c>
    </row>
    <row r="513" ht="20" customHeight="1" spans="1:18" x14ac:dyDescent="0.25">
      <c r="A513" s="15" t="s">
        <v>1615</v>
      </c>
      <c r="B513" s="16" t="s">
        <v>1616</v>
      </c>
      <c r="C513" s="16" t="s">
        <v>1617</v>
      </c>
      <c r="D513" s="16" t="s">
        <v>26</v>
      </c>
      <c r="E513" s="17" t="s">
        <v>26</v>
      </c>
      <c r="F513" s="17" t="s">
        <v>26</v>
      </c>
      <c r="G513" s="17" t="s">
        <v>26</v>
      </c>
      <c r="H513" s="17" t="s">
        <v>26</v>
      </c>
      <c r="I513" s="16" t="s">
        <v>26</v>
      </c>
      <c r="J513" s="16" t="s">
        <v>26</v>
      </c>
      <c r="K513" s="16" t="s">
        <v>26</v>
      </c>
      <c r="L513" s="18" t="s">
        <v>28</v>
      </c>
      <c r="M513" s="18" t="s">
        <v>28</v>
      </c>
      <c r="N513" s="20">
        <v>0</v>
      </c>
      <c r="O513" s="16" t="s">
        <v>26</v>
      </c>
      <c r="P513" s="13"/>
      <c r="Q513" s="13"/>
      <c r="R513" s="14">
        <f>IF(AND(P513&gt;0,Q513&gt;0),ROUND((1-Q513/P513)*100,0),0)</f>
        <v>0</v>
      </c>
    </row>
    <row r="514" ht="20" customHeight="1" spans="1:18" x14ac:dyDescent="0.25">
      <c r="A514" s="7" t="s">
        <v>1618</v>
      </c>
      <c r="B514" s="8" t="s">
        <v>1619</v>
      </c>
      <c r="C514" s="8" t="s">
        <v>1620</v>
      </c>
      <c r="D514" s="8" t="s">
        <v>26</v>
      </c>
      <c r="E514" s="9" t="s">
        <v>26</v>
      </c>
      <c r="F514" s="9" t="s">
        <v>26</v>
      </c>
      <c r="G514" s="9" t="s">
        <v>26</v>
      </c>
      <c r="H514" s="9" t="s">
        <v>26</v>
      </c>
      <c r="I514" s="8" t="s">
        <v>26</v>
      </c>
      <c r="J514" s="8" t="s">
        <v>26</v>
      </c>
      <c r="K514" s="8" t="s">
        <v>26</v>
      </c>
      <c r="L514" s="10" t="s">
        <v>28</v>
      </c>
      <c r="M514" s="10" t="s">
        <v>28</v>
      </c>
      <c r="N514" s="12">
        <v>0</v>
      </c>
      <c r="O514" s="8" t="s">
        <v>26</v>
      </c>
      <c r="P514" s="13"/>
      <c r="Q514" s="13"/>
      <c r="R514" s="14">
        <f>IF(AND(P514&gt;0,Q514&gt;0),ROUND((1-Q514/P514)*100,0),0)</f>
        <v>0</v>
      </c>
    </row>
    <row r="515" ht="20" customHeight="1" spans="1:18" x14ac:dyDescent="0.25">
      <c r="A515" s="15" t="s">
        <v>1621</v>
      </c>
      <c r="B515" s="16" t="s">
        <v>1622</v>
      </c>
      <c r="C515" s="16" t="s">
        <v>1623</v>
      </c>
      <c r="D515" s="16" t="s">
        <v>26</v>
      </c>
      <c r="E515" s="17" t="s">
        <v>26</v>
      </c>
      <c r="F515" s="17" t="s">
        <v>26</v>
      </c>
      <c r="G515" s="17" t="s">
        <v>26</v>
      </c>
      <c r="H515" s="17" t="s">
        <v>26</v>
      </c>
      <c r="I515" s="16" t="s">
        <v>26</v>
      </c>
      <c r="J515" s="16" t="s">
        <v>26</v>
      </c>
      <c r="K515" s="16" t="s">
        <v>26</v>
      </c>
      <c r="L515" s="18" t="s">
        <v>28</v>
      </c>
      <c r="M515" s="18" t="s">
        <v>28</v>
      </c>
      <c r="N515" s="20">
        <v>0</v>
      </c>
      <c r="O515" s="16" t="s">
        <v>26</v>
      </c>
      <c r="P515" s="13"/>
      <c r="Q515" s="13"/>
      <c r="R515" s="14">
        <f>IF(AND(P515&gt;0,Q515&gt;0),ROUND((1-Q515/P515)*100,0),0)</f>
        <v>0</v>
      </c>
    </row>
    <row r="516" ht="20" customHeight="1" spans="1:18" x14ac:dyDescent="0.25">
      <c r="A516" s="7" t="s">
        <v>1624</v>
      </c>
      <c r="B516" s="8" t="s">
        <v>1625</v>
      </c>
      <c r="C516" s="8" t="s">
        <v>1626</v>
      </c>
      <c r="D516" s="8" t="s">
        <v>26</v>
      </c>
      <c r="E516" s="9" t="s">
        <v>26</v>
      </c>
      <c r="F516" s="9" t="s">
        <v>26</v>
      </c>
      <c r="G516" s="9" t="s">
        <v>26</v>
      </c>
      <c r="H516" s="9" t="s">
        <v>26</v>
      </c>
      <c r="I516" s="8" t="s">
        <v>26</v>
      </c>
      <c r="J516" s="8" t="s">
        <v>26</v>
      </c>
      <c r="K516" s="8" t="s">
        <v>26</v>
      </c>
      <c r="L516" s="10" t="s">
        <v>28</v>
      </c>
      <c r="M516" s="10" t="s">
        <v>28</v>
      </c>
      <c r="N516" s="12">
        <v>0</v>
      </c>
      <c r="O516" s="8" t="s">
        <v>26</v>
      </c>
      <c r="P516" s="13"/>
      <c r="Q516" s="13"/>
      <c r="R516" s="14">
        <f>IF(AND(P516&gt;0,Q516&gt;0),ROUND((1-Q516/P516)*100,0),0)</f>
        <v>0</v>
      </c>
    </row>
    <row r="517" ht="20" customHeight="1" spans="1:18" x14ac:dyDescent="0.25">
      <c r="A517" s="15" t="s">
        <v>1627</v>
      </c>
      <c r="B517" s="16" t="s">
        <v>1628</v>
      </c>
      <c r="C517" s="16" t="s">
        <v>1629</v>
      </c>
      <c r="D517" s="16" t="s">
        <v>26</v>
      </c>
      <c r="E517" s="17" t="s">
        <v>26</v>
      </c>
      <c r="F517" s="17" t="s">
        <v>26</v>
      </c>
      <c r="G517" s="17" t="s">
        <v>26</v>
      </c>
      <c r="H517" s="17" t="s">
        <v>26</v>
      </c>
      <c r="I517" s="16" t="s">
        <v>26</v>
      </c>
      <c r="J517" s="16" t="s">
        <v>26</v>
      </c>
      <c r="K517" s="16" t="s">
        <v>26</v>
      </c>
      <c r="L517" s="18" t="s">
        <v>28</v>
      </c>
      <c r="M517" s="18" t="s">
        <v>28</v>
      </c>
      <c r="N517" s="20">
        <v>0</v>
      </c>
      <c r="O517" s="16" t="s">
        <v>26</v>
      </c>
      <c r="P517" s="13"/>
      <c r="Q517" s="13"/>
      <c r="R517" s="14">
        <f>IF(AND(P517&gt;0,Q517&gt;0),ROUND((1-Q517/P517)*100,0),0)</f>
        <v>0</v>
      </c>
    </row>
    <row r="518" ht="20" customHeight="1" spans="1:18" x14ac:dyDescent="0.25">
      <c r="A518" s="7" t="s">
        <v>1630</v>
      </c>
      <c r="B518" s="8" t="s">
        <v>1631</v>
      </c>
      <c r="C518" s="8" t="s">
        <v>1632</v>
      </c>
      <c r="D518" s="8" t="s">
        <v>26</v>
      </c>
      <c r="E518" s="9" t="s">
        <v>26</v>
      </c>
      <c r="F518" s="9" t="s">
        <v>26</v>
      </c>
      <c r="G518" s="9" t="s">
        <v>26</v>
      </c>
      <c r="H518" s="9" t="s">
        <v>26</v>
      </c>
      <c r="I518" s="8" t="s">
        <v>26</v>
      </c>
      <c r="J518" s="8" t="s">
        <v>26</v>
      </c>
      <c r="K518" s="8" t="s">
        <v>26</v>
      </c>
      <c r="L518" s="10" t="s">
        <v>28</v>
      </c>
      <c r="M518" s="10" t="s">
        <v>28</v>
      </c>
      <c r="N518" s="12">
        <v>0</v>
      </c>
      <c r="O518" s="8" t="s">
        <v>26</v>
      </c>
      <c r="P518" s="13"/>
      <c r="Q518" s="13"/>
      <c r="R518" s="14">
        <f>IF(AND(P518&gt;0,Q518&gt;0),ROUND((1-Q518/P518)*100,0),0)</f>
        <v>0</v>
      </c>
    </row>
    <row r="519" ht="20" customHeight="1" spans="1:18" x14ac:dyDescent="0.25">
      <c r="A519" s="15" t="s">
        <v>1633</v>
      </c>
      <c r="B519" s="16" t="s">
        <v>1634</v>
      </c>
      <c r="C519" s="16" t="s">
        <v>1635</v>
      </c>
      <c r="D519" s="16" t="s">
        <v>26</v>
      </c>
      <c r="E519" s="17" t="s">
        <v>26</v>
      </c>
      <c r="F519" s="17" t="s">
        <v>26</v>
      </c>
      <c r="G519" s="17" t="s">
        <v>26</v>
      </c>
      <c r="H519" s="17" t="s">
        <v>26</v>
      </c>
      <c r="I519" s="16" t="s">
        <v>26</v>
      </c>
      <c r="J519" s="16" t="s">
        <v>26</v>
      </c>
      <c r="K519" s="16" t="s">
        <v>26</v>
      </c>
      <c r="L519" s="18" t="s">
        <v>28</v>
      </c>
      <c r="M519" s="18" t="s">
        <v>28</v>
      </c>
      <c r="N519" s="20">
        <v>0</v>
      </c>
      <c r="O519" s="16" t="s">
        <v>26</v>
      </c>
      <c r="P519" s="13"/>
      <c r="Q519" s="13"/>
      <c r="R519" s="14">
        <f>IF(AND(P519&gt;0,Q519&gt;0),ROUND((1-Q519/P519)*100,0),0)</f>
        <v>0</v>
      </c>
    </row>
    <row r="520" ht="20" customHeight="1" spans="1:18" x14ac:dyDescent="0.25">
      <c r="A520" s="7" t="s">
        <v>1636</v>
      </c>
      <c r="B520" s="8" t="s">
        <v>1637</v>
      </c>
      <c r="C520" s="8" t="s">
        <v>1638</v>
      </c>
      <c r="D520" s="8" t="s">
        <v>26</v>
      </c>
      <c r="E520" s="9" t="s">
        <v>26</v>
      </c>
      <c r="F520" s="9" t="s">
        <v>26</v>
      </c>
      <c r="G520" s="9" t="s">
        <v>26</v>
      </c>
      <c r="H520" s="9" t="s">
        <v>26</v>
      </c>
      <c r="I520" s="8" t="s">
        <v>26</v>
      </c>
      <c r="J520" s="8" t="s">
        <v>26</v>
      </c>
      <c r="K520" s="8" t="s">
        <v>26</v>
      </c>
      <c r="L520" s="10" t="s">
        <v>28</v>
      </c>
      <c r="M520" s="10" t="s">
        <v>28</v>
      </c>
      <c r="N520" s="12">
        <v>0</v>
      </c>
      <c r="O520" s="8" t="s">
        <v>26</v>
      </c>
      <c r="P520" s="13"/>
      <c r="Q520" s="13"/>
      <c r="R520" s="14">
        <f>IF(AND(P520&gt;0,Q520&gt;0),ROUND((1-Q520/P520)*100,0),0)</f>
        <v>0</v>
      </c>
    </row>
    <row r="521" ht="20" customHeight="1" spans="1:18" x14ac:dyDescent="0.25">
      <c r="A521" s="15" t="s">
        <v>1639</v>
      </c>
      <c r="B521" s="16" t="s">
        <v>1640</v>
      </c>
      <c r="C521" s="16" t="s">
        <v>1641</v>
      </c>
      <c r="D521" s="16" t="s">
        <v>26</v>
      </c>
      <c r="E521" s="17" t="s">
        <v>26</v>
      </c>
      <c r="F521" s="17" t="s">
        <v>26</v>
      </c>
      <c r="G521" s="17" t="s">
        <v>26</v>
      </c>
      <c r="H521" s="17" t="s">
        <v>26</v>
      </c>
      <c r="I521" s="16" t="s">
        <v>26</v>
      </c>
      <c r="J521" s="16" t="s">
        <v>26</v>
      </c>
      <c r="K521" s="16" t="s">
        <v>26</v>
      </c>
      <c r="L521" s="18" t="s">
        <v>28</v>
      </c>
      <c r="M521" s="18" t="s">
        <v>28</v>
      </c>
      <c r="N521" s="20">
        <v>0</v>
      </c>
      <c r="O521" s="16" t="s">
        <v>26</v>
      </c>
      <c r="P521" s="13"/>
      <c r="Q521" s="13"/>
      <c r="R521" s="14">
        <f>IF(AND(P521&gt;0,Q521&gt;0),ROUND((1-Q521/P521)*100,0),0)</f>
        <v>0</v>
      </c>
    </row>
    <row r="522" ht="20" customHeight="1" spans="1:18" x14ac:dyDescent="0.25">
      <c r="A522" s="7" t="s">
        <v>1642</v>
      </c>
      <c r="B522" s="8" t="s">
        <v>1643</v>
      </c>
      <c r="C522" s="8" t="s">
        <v>1506</v>
      </c>
      <c r="D522" s="8" t="s">
        <v>26</v>
      </c>
      <c r="E522" s="9" t="s">
        <v>26</v>
      </c>
      <c r="F522" s="9" t="s">
        <v>26</v>
      </c>
      <c r="G522" s="9" t="s">
        <v>26</v>
      </c>
      <c r="H522" s="9" t="s">
        <v>26</v>
      </c>
      <c r="I522" s="8" t="s">
        <v>26</v>
      </c>
      <c r="J522" s="8" t="s">
        <v>26</v>
      </c>
      <c r="K522" s="8" t="s">
        <v>26</v>
      </c>
      <c r="L522" s="10" t="s">
        <v>28</v>
      </c>
      <c r="M522" s="10" t="s">
        <v>28</v>
      </c>
      <c r="N522" s="12">
        <v>0</v>
      </c>
      <c r="O522" s="8" t="s">
        <v>26</v>
      </c>
      <c r="P522" s="13"/>
      <c r="Q522" s="13"/>
      <c r="R522" s="14">
        <f>IF(AND(P522&gt;0,Q522&gt;0),ROUND((1-Q522/P522)*100,0),0)</f>
        <v>0</v>
      </c>
    </row>
    <row r="523" ht="20" customHeight="1" spans="1:18" x14ac:dyDescent="0.25">
      <c r="A523" s="15" t="s">
        <v>1644</v>
      </c>
      <c r="B523" s="16" t="s">
        <v>1645</v>
      </c>
      <c r="C523" s="16" t="s">
        <v>1646</v>
      </c>
      <c r="D523" s="16" t="s">
        <v>26</v>
      </c>
      <c r="E523" s="17" t="s">
        <v>26</v>
      </c>
      <c r="F523" s="17" t="s">
        <v>26</v>
      </c>
      <c r="G523" s="17" t="s">
        <v>26</v>
      </c>
      <c r="H523" s="17" t="s">
        <v>26</v>
      </c>
      <c r="I523" s="16" t="s">
        <v>26</v>
      </c>
      <c r="J523" s="16" t="s">
        <v>26</v>
      </c>
      <c r="K523" s="16" t="s">
        <v>26</v>
      </c>
      <c r="L523" s="18" t="s">
        <v>28</v>
      </c>
      <c r="M523" s="18" t="s">
        <v>28</v>
      </c>
      <c r="N523" s="20">
        <v>0</v>
      </c>
      <c r="O523" s="16" t="s">
        <v>26</v>
      </c>
      <c r="P523" s="13"/>
      <c r="Q523" s="13"/>
      <c r="R523" s="14">
        <f>IF(AND(P523&gt;0,Q523&gt;0),ROUND((1-Q523/P523)*100,0),0)</f>
        <v>0</v>
      </c>
    </row>
    <row r="524" ht="20" customHeight="1" spans="1:18" x14ac:dyDescent="0.25">
      <c r="A524" s="7" t="s">
        <v>1647</v>
      </c>
      <c r="B524" s="8" t="s">
        <v>1648</v>
      </c>
      <c r="C524" s="8" t="s">
        <v>1649</v>
      </c>
      <c r="D524" s="8" t="s">
        <v>26</v>
      </c>
      <c r="E524" s="9" t="s">
        <v>26</v>
      </c>
      <c r="F524" s="9" t="s">
        <v>26</v>
      </c>
      <c r="G524" s="9" t="s">
        <v>26</v>
      </c>
      <c r="H524" s="9" t="s">
        <v>26</v>
      </c>
      <c r="I524" s="8" t="s">
        <v>26</v>
      </c>
      <c r="J524" s="8" t="s">
        <v>26</v>
      </c>
      <c r="K524" s="8" t="s">
        <v>26</v>
      </c>
      <c r="L524" s="10" t="s">
        <v>28</v>
      </c>
      <c r="M524" s="10" t="s">
        <v>28</v>
      </c>
      <c r="N524" s="12">
        <v>0</v>
      </c>
      <c r="O524" s="8" t="s">
        <v>26</v>
      </c>
      <c r="P524" s="13"/>
      <c r="Q524" s="13"/>
      <c r="R524" s="14">
        <f>IF(AND(P524&gt;0,Q524&gt;0),ROUND((1-Q524/P524)*100,0),0)</f>
        <v>0</v>
      </c>
    </row>
    <row r="525" ht="20" customHeight="1" spans="1:18" x14ac:dyDescent="0.25">
      <c r="A525" s="15" t="s">
        <v>1650</v>
      </c>
      <c r="B525" s="16" t="s">
        <v>1651</v>
      </c>
      <c r="C525" s="16" t="s">
        <v>1652</v>
      </c>
      <c r="D525" s="16" t="s">
        <v>26</v>
      </c>
      <c r="E525" s="17" t="s">
        <v>26</v>
      </c>
      <c r="F525" s="17" t="s">
        <v>26</v>
      </c>
      <c r="G525" s="17" t="s">
        <v>26</v>
      </c>
      <c r="H525" s="17" t="s">
        <v>26</v>
      </c>
      <c r="I525" s="16" t="s">
        <v>26</v>
      </c>
      <c r="J525" s="16" t="s">
        <v>26</v>
      </c>
      <c r="K525" s="16" t="s">
        <v>26</v>
      </c>
      <c r="L525" s="18" t="s">
        <v>28</v>
      </c>
      <c r="M525" s="18" t="s">
        <v>28</v>
      </c>
      <c r="N525" s="20">
        <v>0</v>
      </c>
      <c r="O525" s="16" t="s">
        <v>26</v>
      </c>
      <c r="P525" s="13"/>
      <c r="Q525" s="13"/>
      <c r="R525" s="14">
        <f>IF(AND(P525&gt;0,Q525&gt;0),ROUND((1-Q525/P525)*100,0),0)</f>
        <v>0</v>
      </c>
    </row>
    <row r="526" ht="20" customHeight="1" spans="1:18" x14ac:dyDescent="0.25">
      <c r="A526" s="7" t="s">
        <v>1653</v>
      </c>
      <c r="B526" s="8" t="s">
        <v>1654</v>
      </c>
      <c r="C526" s="8" t="s">
        <v>1655</v>
      </c>
      <c r="D526" s="8" t="s">
        <v>26</v>
      </c>
      <c r="E526" s="9" t="s">
        <v>26</v>
      </c>
      <c r="F526" s="9" t="s">
        <v>26</v>
      </c>
      <c r="G526" s="9" t="s">
        <v>26</v>
      </c>
      <c r="H526" s="9" t="s">
        <v>26</v>
      </c>
      <c r="I526" s="8" t="s">
        <v>26</v>
      </c>
      <c r="J526" s="8" t="s">
        <v>26</v>
      </c>
      <c r="K526" s="8" t="s">
        <v>26</v>
      </c>
      <c r="L526" s="10" t="s">
        <v>28</v>
      </c>
      <c r="M526" s="10" t="s">
        <v>28</v>
      </c>
      <c r="N526" s="12">
        <v>0</v>
      </c>
      <c r="O526" s="8" t="s">
        <v>26</v>
      </c>
      <c r="P526" s="13"/>
      <c r="Q526" s="13"/>
      <c r="R526" s="14">
        <f>IF(AND(P526&gt;0,Q526&gt;0),ROUND((1-Q526/P526)*100,0),0)</f>
        <v>0</v>
      </c>
    </row>
    <row r="527" ht="20" customHeight="1" spans="1:18" x14ac:dyDescent="0.25">
      <c r="A527" s="15" t="s">
        <v>1656</v>
      </c>
      <c r="B527" s="16" t="s">
        <v>1657</v>
      </c>
      <c r="C527" s="16" t="s">
        <v>1658</v>
      </c>
      <c r="D527" s="16" t="s">
        <v>26</v>
      </c>
      <c r="E527" s="17" t="s">
        <v>26</v>
      </c>
      <c r="F527" s="17" t="s">
        <v>26</v>
      </c>
      <c r="G527" s="17" t="s">
        <v>26</v>
      </c>
      <c r="H527" s="17" t="s">
        <v>26</v>
      </c>
      <c r="I527" s="16" t="s">
        <v>26</v>
      </c>
      <c r="J527" s="16" t="s">
        <v>26</v>
      </c>
      <c r="K527" s="16" t="s">
        <v>26</v>
      </c>
      <c r="L527" s="18" t="s">
        <v>28</v>
      </c>
      <c r="M527" s="18" t="s">
        <v>28</v>
      </c>
      <c r="N527" s="20">
        <v>0</v>
      </c>
      <c r="O527" s="16" t="s">
        <v>26</v>
      </c>
      <c r="P527" s="13"/>
      <c r="Q527" s="13"/>
      <c r="R527" s="14">
        <f>IF(AND(P527&gt;0,Q527&gt;0),ROUND((1-Q527/P527)*100,0),0)</f>
        <v>0</v>
      </c>
    </row>
    <row r="528" ht="20" customHeight="1" spans="1:18" x14ac:dyDescent="0.25">
      <c r="A528" s="7" t="s">
        <v>1659</v>
      </c>
      <c r="B528" s="8" t="s">
        <v>1660</v>
      </c>
      <c r="C528" s="8" t="s">
        <v>1661</v>
      </c>
      <c r="D528" s="8" t="s">
        <v>26</v>
      </c>
      <c r="E528" s="9" t="s">
        <v>26</v>
      </c>
      <c r="F528" s="9" t="s">
        <v>26</v>
      </c>
      <c r="G528" s="9" t="s">
        <v>26</v>
      </c>
      <c r="H528" s="9" t="s">
        <v>26</v>
      </c>
      <c r="I528" s="8" t="s">
        <v>26</v>
      </c>
      <c r="J528" s="8" t="s">
        <v>26</v>
      </c>
      <c r="K528" s="8" t="s">
        <v>26</v>
      </c>
      <c r="L528" s="10" t="s">
        <v>28</v>
      </c>
      <c r="M528" s="10" t="s">
        <v>28</v>
      </c>
      <c r="N528" s="12">
        <v>0</v>
      </c>
      <c r="O528" s="8" t="s">
        <v>26</v>
      </c>
      <c r="P528" s="13"/>
      <c r="Q528" s="13"/>
      <c r="R528" s="14">
        <f>IF(AND(P528&gt;0,Q528&gt;0),ROUND((1-Q528/P528)*100,0),0)</f>
        <v>0</v>
      </c>
    </row>
    <row r="529" ht="20" customHeight="1" spans="1:18" x14ac:dyDescent="0.25">
      <c r="A529" s="15" t="s">
        <v>1662</v>
      </c>
      <c r="B529" s="16" t="s">
        <v>1663</v>
      </c>
      <c r="C529" s="16" t="s">
        <v>1664</v>
      </c>
      <c r="D529" s="16" t="s">
        <v>26</v>
      </c>
      <c r="E529" s="17" t="s">
        <v>26</v>
      </c>
      <c r="F529" s="17" t="s">
        <v>26</v>
      </c>
      <c r="G529" s="17" t="s">
        <v>26</v>
      </c>
      <c r="H529" s="17" t="s">
        <v>26</v>
      </c>
      <c r="I529" s="16" t="s">
        <v>26</v>
      </c>
      <c r="J529" s="16" t="s">
        <v>26</v>
      </c>
      <c r="K529" s="16" t="s">
        <v>26</v>
      </c>
      <c r="L529" s="18" t="s">
        <v>28</v>
      </c>
      <c r="M529" s="18" t="s">
        <v>28</v>
      </c>
      <c r="N529" s="20">
        <v>0</v>
      </c>
      <c r="O529" s="16" t="s">
        <v>26</v>
      </c>
      <c r="P529" s="13"/>
      <c r="Q529" s="13"/>
      <c r="R529" s="14">
        <f>IF(AND(P529&gt;0,Q529&gt;0),ROUND((1-Q529/P529)*100,0),0)</f>
        <v>0</v>
      </c>
    </row>
    <row r="530" ht="20" customHeight="1" spans="1:18" x14ac:dyDescent="0.25">
      <c r="A530" s="7" t="s">
        <v>1665</v>
      </c>
      <c r="B530" s="8" t="s">
        <v>1666</v>
      </c>
      <c r="C530" s="8" t="s">
        <v>1667</v>
      </c>
      <c r="D530" s="8" t="s">
        <v>26</v>
      </c>
      <c r="E530" s="9" t="s">
        <v>26</v>
      </c>
      <c r="F530" s="9" t="s">
        <v>26</v>
      </c>
      <c r="G530" s="9" t="s">
        <v>26</v>
      </c>
      <c r="H530" s="9" t="s">
        <v>26</v>
      </c>
      <c r="I530" s="8" t="s">
        <v>26</v>
      </c>
      <c r="J530" s="8" t="s">
        <v>26</v>
      </c>
      <c r="K530" s="8" t="s">
        <v>26</v>
      </c>
      <c r="L530" s="10" t="s">
        <v>28</v>
      </c>
      <c r="M530" s="10" t="s">
        <v>28</v>
      </c>
      <c r="N530" s="12">
        <v>0</v>
      </c>
      <c r="O530" s="8" t="s">
        <v>26</v>
      </c>
      <c r="P530" s="13"/>
      <c r="Q530" s="13"/>
      <c r="R530" s="14">
        <f>IF(AND(P530&gt;0,Q530&gt;0),ROUND((1-Q530/P530)*100,0),0)</f>
        <v>0</v>
      </c>
    </row>
    <row r="531" ht="20" customHeight="1" spans="1:18" x14ac:dyDescent="0.25">
      <c r="A531" s="15" t="s">
        <v>1668</v>
      </c>
      <c r="B531" s="16" t="s">
        <v>1669</v>
      </c>
      <c r="C531" s="16" t="s">
        <v>1670</v>
      </c>
      <c r="D531" s="16" t="s">
        <v>26</v>
      </c>
      <c r="E531" s="17" t="s">
        <v>26</v>
      </c>
      <c r="F531" s="17" t="s">
        <v>26</v>
      </c>
      <c r="G531" s="17" t="s">
        <v>26</v>
      </c>
      <c r="H531" s="17" t="s">
        <v>26</v>
      </c>
      <c r="I531" s="16" t="s">
        <v>26</v>
      </c>
      <c r="J531" s="16" t="s">
        <v>26</v>
      </c>
      <c r="K531" s="16" t="s">
        <v>26</v>
      </c>
      <c r="L531" s="18" t="s">
        <v>28</v>
      </c>
      <c r="M531" s="18" t="s">
        <v>28</v>
      </c>
      <c r="N531" s="20">
        <v>0</v>
      </c>
      <c r="O531" s="16" t="s">
        <v>26</v>
      </c>
      <c r="P531" s="13"/>
      <c r="Q531" s="13"/>
      <c r="R531" s="14">
        <f>IF(AND(P531&gt;0,Q531&gt;0),ROUND((1-Q531/P531)*100,0),0)</f>
        <v>0</v>
      </c>
    </row>
    <row r="532" ht="20" customHeight="1" spans="1:18" x14ac:dyDescent="0.25">
      <c r="A532" s="7" t="s">
        <v>1671</v>
      </c>
      <c r="B532" s="8" t="s">
        <v>1672</v>
      </c>
      <c r="C532" s="8" t="s">
        <v>1673</v>
      </c>
      <c r="D532" s="8" t="s">
        <v>26</v>
      </c>
      <c r="E532" s="9" t="s">
        <v>26</v>
      </c>
      <c r="F532" s="9" t="s">
        <v>26</v>
      </c>
      <c r="G532" s="9" t="s">
        <v>26</v>
      </c>
      <c r="H532" s="9" t="s">
        <v>26</v>
      </c>
      <c r="I532" s="8" t="s">
        <v>26</v>
      </c>
      <c r="J532" s="8" t="s">
        <v>26</v>
      </c>
      <c r="K532" s="8" t="s">
        <v>26</v>
      </c>
      <c r="L532" s="10" t="s">
        <v>28</v>
      </c>
      <c r="M532" s="10" t="s">
        <v>28</v>
      </c>
      <c r="N532" s="12">
        <v>0</v>
      </c>
      <c r="O532" s="8" t="s">
        <v>26</v>
      </c>
      <c r="P532" s="13"/>
      <c r="Q532" s="13"/>
      <c r="R532" s="14">
        <f>IF(AND(P532&gt;0,Q532&gt;0),ROUND((1-Q532/P532)*100,0),0)</f>
        <v>0</v>
      </c>
    </row>
    <row r="533" ht="20" customHeight="1" spans="1:18" x14ac:dyDescent="0.25">
      <c r="A533" s="15" t="s">
        <v>1674</v>
      </c>
      <c r="B533" s="16" t="s">
        <v>1675</v>
      </c>
      <c r="C533" s="16" t="s">
        <v>1676</v>
      </c>
      <c r="D533" s="16" t="s">
        <v>26</v>
      </c>
      <c r="E533" s="17" t="s">
        <v>26</v>
      </c>
      <c r="F533" s="17" t="s">
        <v>26</v>
      </c>
      <c r="G533" s="17" t="s">
        <v>26</v>
      </c>
      <c r="H533" s="17" t="s">
        <v>26</v>
      </c>
      <c r="I533" s="16" t="s">
        <v>26</v>
      </c>
      <c r="J533" s="16" t="s">
        <v>26</v>
      </c>
      <c r="K533" s="16" t="s">
        <v>26</v>
      </c>
      <c r="L533" s="18" t="s">
        <v>28</v>
      </c>
      <c r="M533" s="18" t="s">
        <v>28</v>
      </c>
      <c r="N533" s="20">
        <v>0</v>
      </c>
      <c r="O533" s="16" t="s">
        <v>26</v>
      </c>
      <c r="P533" s="13"/>
      <c r="Q533" s="13"/>
      <c r="R533" s="14">
        <f>IF(AND(P533&gt;0,Q533&gt;0),ROUND((1-Q533/P533)*100,0),0)</f>
        <v>0</v>
      </c>
    </row>
    <row r="534" ht="20" customHeight="1" spans="1:18" x14ac:dyDescent="0.25">
      <c r="A534" s="7" t="s">
        <v>1677</v>
      </c>
      <c r="B534" s="8" t="s">
        <v>1678</v>
      </c>
      <c r="C534" s="8" t="s">
        <v>1679</v>
      </c>
      <c r="D534" s="8" t="s">
        <v>26</v>
      </c>
      <c r="E534" s="9" t="s">
        <v>26</v>
      </c>
      <c r="F534" s="9" t="s">
        <v>26</v>
      </c>
      <c r="G534" s="9" t="s">
        <v>26</v>
      </c>
      <c r="H534" s="9" t="s">
        <v>26</v>
      </c>
      <c r="I534" s="8" t="s">
        <v>26</v>
      </c>
      <c r="J534" s="8" t="s">
        <v>26</v>
      </c>
      <c r="K534" s="8" t="s">
        <v>26</v>
      </c>
      <c r="L534" s="10" t="s">
        <v>28</v>
      </c>
      <c r="M534" s="10" t="s">
        <v>28</v>
      </c>
      <c r="N534" s="12">
        <v>0</v>
      </c>
      <c r="O534" s="8" t="s">
        <v>26</v>
      </c>
      <c r="P534" s="13"/>
      <c r="Q534" s="13"/>
      <c r="R534" s="14">
        <f>IF(AND(P534&gt;0,Q534&gt;0),ROUND((1-Q534/P534)*100,0),0)</f>
        <v>0</v>
      </c>
    </row>
    <row r="535" ht="20" customHeight="1" spans="1:18" x14ac:dyDescent="0.25">
      <c r="A535" s="15" t="s">
        <v>1680</v>
      </c>
      <c r="B535" s="16" t="s">
        <v>1681</v>
      </c>
      <c r="C535" s="16" t="s">
        <v>1682</v>
      </c>
      <c r="D535" s="16" t="s">
        <v>26</v>
      </c>
      <c r="E535" s="17" t="s">
        <v>26</v>
      </c>
      <c r="F535" s="17" t="s">
        <v>26</v>
      </c>
      <c r="G535" s="17" t="s">
        <v>26</v>
      </c>
      <c r="H535" s="17" t="s">
        <v>26</v>
      </c>
      <c r="I535" s="16" t="s">
        <v>26</v>
      </c>
      <c r="J535" s="16" t="s">
        <v>26</v>
      </c>
      <c r="K535" s="16" t="s">
        <v>26</v>
      </c>
      <c r="L535" s="18" t="s">
        <v>28</v>
      </c>
      <c r="M535" s="18" t="s">
        <v>28</v>
      </c>
      <c r="N535" s="20">
        <v>0</v>
      </c>
      <c r="O535" s="16" t="s">
        <v>26</v>
      </c>
      <c r="P535" s="13"/>
      <c r="Q535" s="13"/>
      <c r="R535" s="14">
        <f>IF(AND(P535&gt;0,Q535&gt;0),ROUND((1-Q535/P535)*100,0),0)</f>
        <v>0</v>
      </c>
    </row>
    <row r="536" ht="20" customHeight="1" spans="1:18" x14ac:dyDescent="0.25">
      <c r="A536" s="7" t="s">
        <v>1683</v>
      </c>
      <c r="B536" s="8" t="s">
        <v>1684</v>
      </c>
      <c r="C536" s="8" t="s">
        <v>1685</v>
      </c>
      <c r="D536" s="8" t="s">
        <v>26</v>
      </c>
      <c r="E536" s="9" t="s">
        <v>26</v>
      </c>
      <c r="F536" s="9" t="s">
        <v>26</v>
      </c>
      <c r="G536" s="9" t="s">
        <v>26</v>
      </c>
      <c r="H536" s="9" t="s">
        <v>26</v>
      </c>
      <c r="I536" s="8" t="s">
        <v>26</v>
      </c>
      <c r="J536" s="8" t="s">
        <v>26</v>
      </c>
      <c r="K536" s="8" t="s">
        <v>26</v>
      </c>
      <c r="L536" s="10" t="s">
        <v>28</v>
      </c>
      <c r="M536" s="10" t="s">
        <v>28</v>
      </c>
      <c r="N536" s="12">
        <v>0</v>
      </c>
      <c r="O536" s="8" t="s">
        <v>26</v>
      </c>
      <c r="P536" s="13"/>
      <c r="Q536" s="13"/>
      <c r="R536" s="14">
        <f>IF(AND(P536&gt;0,Q536&gt;0),ROUND((1-Q536/P536)*100,0),0)</f>
        <v>0</v>
      </c>
    </row>
    <row r="537" ht="20" customHeight="1" spans="1:18" x14ac:dyDescent="0.25">
      <c r="A537" s="15" t="s">
        <v>1686</v>
      </c>
      <c r="B537" s="16" t="s">
        <v>1687</v>
      </c>
      <c r="C537" s="16" t="s">
        <v>1688</v>
      </c>
      <c r="D537" s="16" t="s">
        <v>26</v>
      </c>
      <c r="E537" s="17" t="s">
        <v>26</v>
      </c>
      <c r="F537" s="17" t="s">
        <v>26</v>
      </c>
      <c r="G537" s="17" t="s">
        <v>26</v>
      </c>
      <c r="H537" s="17" t="s">
        <v>26</v>
      </c>
      <c r="I537" s="16" t="s">
        <v>26</v>
      </c>
      <c r="J537" s="16" t="s">
        <v>26</v>
      </c>
      <c r="K537" s="16" t="s">
        <v>26</v>
      </c>
      <c r="L537" s="18" t="s">
        <v>28</v>
      </c>
      <c r="M537" s="18" t="s">
        <v>28</v>
      </c>
      <c r="N537" s="20">
        <v>0</v>
      </c>
      <c r="O537" s="16" t="s">
        <v>26</v>
      </c>
      <c r="P537" s="13"/>
      <c r="Q537" s="13"/>
      <c r="R537" s="14">
        <f>IF(AND(P537&gt;0,Q537&gt;0),ROUND((1-Q537/P537)*100,0),0)</f>
        <v>0</v>
      </c>
    </row>
    <row r="538" ht="20" customHeight="1" spans="1:18" x14ac:dyDescent="0.25">
      <c r="A538" s="7" t="s">
        <v>1689</v>
      </c>
      <c r="B538" s="8" t="s">
        <v>1690</v>
      </c>
      <c r="C538" s="8" t="s">
        <v>1691</v>
      </c>
      <c r="D538" s="8" t="s">
        <v>26</v>
      </c>
      <c r="E538" s="9" t="s">
        <v>26</v>
      </c>
      <c r="F538" s="9" t="s">
        <v>26</v>
      </c>
      <c r="G538" s="9" t="s">
        <v>26</v>
      </c>
      <c r="H538" s="9" t="s">
        <v>26</v>
      </c>
      <c r="I538" s="8" t="s">
        <v>26</v>
      </c>
      <c r="J538" s="8" t="s">
        <v>26</v>
      </c>
      <c r="K538" s="8" t="s">
        <v>26</v>
      </c>
      <c r="L538" s="10" t="s">
        <v>28</v>
      </c>
      <c r="M538" s="10" t="s">
        <v>28</v>
      </c>
      <c r="N538" s="12">
        <v>0</v>
      </c>
      <c r="O538" s="8" t="s">
        <v>26</v>
      </c>
      <c r="P538" s="13"/>
      <c r="Q538" s="13"/>
      <c r="R538" s="14">
        <f>IF(AND(P538&gt;0,Q538&gt;0),ROUND((1-Q538/P538)*100,0),0)</f>
        <v>0</v>
      </c>
    </row>
    <row r="539" ht="20" customHeight="1" spans="1:18" x14ac:dyDescent="0.25">
      <c r="A539" s="15" t="s">
        <v>1692</v>
      </c>
      <c r="B539" s="16" t="s">
        <v>1693</v>
      </c>
      <c r="C539" s="16" t="s">
        <v>1694</v>
      </c>
      <c r="D539" s="16" t="s">
        <v>26</v>
      </c>
      <c r="E539" s="17" t="s">
        <v>26</v>
      </c>
      <c r="F539" s="17" t="s">
        <v>26</v>
      </c>
      <c r="G539" s="17" t="s">
        <v>26</v>
      </c>
      <c r="H539" s="17" t="s">
        <v>26</v>
      </c>
      <c r="I539" s="16" t="s">
        <v>26</v>
      </c>
      <c r="J539" s="16" t="s">
        <v>26</v>
      </c>
      <c r="K539" s="16" t="s">
        <v>26</v>
      </c>
      <c r="L539" s="18" t="s">
        <v>28</v>
      </c>
      <c r="M539" s="18" t="s">
        <v>28</v>
      </c>
      <c r="N539" s="20">
        <v>0</v>
      </c>
      <c r="O539" s="16" t="s">
        <v>26</v>
      </c>
      <c r="P539" s="13"/>
      <c r="Q539" s="13"/>
      <c r="R539" s="14">
        <f>IF(AND(P539&gt;0,Q539&gt;0),ROUND((1-Q539/P539)*100,0),0)</f>
        <v>0</v>
      </c>
    </row>
    <row r="540" ht="20" customHeight="1" spans="1:18" x14ac:dyDescent="0.25">
      <c r="A540" s="7" t="s">
        <v>1695</v>
      </c>
      <c r="B540" s="8" t="s">
        <v>1696</v>
      </c>
      <c r="C540" s="8" t="s">
        <v>1697</v>
      </c>
      <c r="D540" s="8" t="s">
        <v>26</v>
      </c>
      <c r="E540" s="9" t="s">
        <v>26</v>
      </c>
      <c r="F540" s="9" t="s">
        <v>26</v>
      </c>
      <c r="G540" s="9" t="s">
        <v>26</v>
      </c>
      <c r="H540" s="9" t="s">
        <v>26</v>
      </c>
      <c r="I540" s="8" t="s">
        <v>26</v>
      </c>
      <c r="J540" s="8" t="s">
        <v>26</v>
      </c>
      <c r="K540" s="8" t="s">
        <v>26</v>
      </c>
      <c r="L540" s="10" t="s">
        <v>28</v>
      </c>
      <c r="M540" s="10" t="s">
        <v>28</v>
      </c>
      <c r="N540" s="12">
        <v>0</v>
      </c>
      <c r="O540" s="8" t="s">
        <v>26</v>
      </c>
      <c r="P540" s="13"/>
      <c r="Q540" s="13"/>
      <c r="R540" s="14">
        <f>IF(AND(P540&gt;0,Q540&gt;0),ROUND((1-Q540/P540)*100,0),0)</f>
        <v>0</v>
      </c>
    </row>
    <row r="541" ht="20" customHeight="1" spans="1:18" x14ac:dyDescent="0.25">
      <c r="A541" s="15" t="s">
        <v>1698</v>
      </c>
      <c r="B541" s="16" t="s">
        <v>1699</v>
      </c>
      <c r="C541" s="16" t="s">
        <v>1700</v>
      </c>
      <c r="D541" s="16" t="s">
        <v>26</v>
      </c>
      <c r="E541" s="17" t="s">
        <v>26</v>
      </c>
      <c r="F541" s="17" t="s">
        <v>26</v>
      </c>
      <c r="G541" s="17" t="s">
        <v>26</v>
      </c>
      <c r="H541" s="17" t="s">
        <v>26</v>
      </c>
      <c r="I541" s="16" t="s">
        <v>26</v>
      </c>
      <c r="J541" s="16" t="s">
        <v>26</v>
      </c>
      <c r="K541" s="16" t="s">
        <v>26</v>
      </c>
      <c r="L541" s="18" t="s">
        <v>28</v>
      </c>
      <c r="M541" s="18" t="s">
        <v>28</v>
      </c>
      <c r="N541" s="20">
        <v>0</v>
      </c>
      <c r="O541" s="16" t="s">
        <v>26</v>
      </c>
      <c r="P541" s="13"/>
      <c r="Q541" s="13"/>
      <c r="R541" s="14">
        <f>IF(AND(P541&gt;0,Q541&gt;0),ROUND((1-Q541/P541)*100,0),0)</f>
        <v>0</v>
      </c>
    </row>
    <row r="542" ht="20" customHeight="1" spans="1:18" x14ac:dyDescent="0.25">
      <c r="A542" s="7" t="s">
        <v>1701</v>
      </c>
      <c r="B542" s="8" t="s">
        <v>1702</v>
      </c>
      <c r="C542" s="8" t="s">
        <v>1703</v>
      </c>
      <c r="D542" s="8" t="s">
        <v>26</v>
      </c>
      <c r="E542" s="9" t="s">
        <v>26</v>
      </c>
      <c r="F542" s="9" t="s">
        <v>26</v>
      </c>
      <c r="G542" s="9" t="s">
        <v>26</v>
      </c>
      <c r="H542" s="9" t="s">
        <v>26</v>
      </c>
      <c r="I542" s="8" t="s">
        <v>26</v>
      </c>
      <c r="J542" s="8" t="s">
        <v>26</v>
      </c>
      <c r="K542" s="8" t="s">
        <v>26</v>
      </c>
      <c r="L542" s="10" t="s">
        <v>28</v>
      </c>
      <c r="M542" s="10" t="s">
        <v>28</v>
      </c>
      <c r="N542" s="12">
        <v>0</v>
      </c>
      <c r="O542" s="8" t="s">
        <v>26</v>
      </c>
      <c r="P542" s="13"/>
      <c r="Q542" s="13"/>
      <c r="R542" s="14">
        <f>IF(AND(P542&gt;0,Q542&gt;0),ROUND((1-Q542/P542)*100,0),0)</f>
        <v>0</v>
      </c>
    </row>
    <row r="543" ht="20" customHeight="1" spans="1:18" x14ac:dyDescent="0.25">
      <c r="A543" s="15" t="s">
        <v>1704</v>
      </c>
      <c r="B543" s="16" t="s">
        <v>1705</v>
      </c>
      <c r="C543" s="16" t="s">
        <v>1706</v>
      </c>
      <c r="D543" s="16" t="s">
        <v>26</v>
      </c>
      <c r="E543" s="17" t="s">
        <v>26</v>
      </c>
      <c r="F543" s="17" t="s">
        <v>26</v>
      </c>
      <c r="G543" s="17" t="s">
        <v>26</v>
      </c>
      <c r="H543" s="17" t="s">
        <v>26</v>
      </c>
      <c r="I543" s="16" t="s">
        <v>26</v>
      </c>
      <c r="J543" s="16" t="s">
        <v>26</v>
      </c>
      <c r="K543" s="16" t="s">
        <v>26</v>
      </c>
      <c r="L543" s="18" t="s">
        <v>28</v>
      </c>
      <c r="M543" s="18" t="s">
        <v>28</v>
      </c>
      <c r="N543" s="20">
        <v>0</v>
      </c>
      <c r="O543" s="16" t="s">
        <v>26</v>
      </c>
      <c r="P543" s="13"/>
      <c r="Q543" s="13"/>
      <c r="R543" s="14">
        <f>IF(AND(P543&gt;0,Q543&gt;0),ROUND((1-Q543/P543)*100,0),0)</f>
        <v>0</v>
      </c>
    </row>
    <row r="544" ht="20" customHeight="1" spans="1:18" x14ac:dyDescent="0.25">
      <c r="A544" s="7" t="s">
        <v>1707</v>
      </c>
      <c r="B544" s="8" t="s">
        <v>1708</v>
      </c>
      <c r="C544" s="8" t="s">
        <v>1709</v>
      </c>
      <c r="D544" s="8" t="s">
        <v>26</v>
      </c>
      <c r="E544" s="9" t="s">
        <v>26</v>
      </c>
      <c r="F544" s="9" t="s">
        <v>26</v>
      </c>
      <c r="G544" s="9" t="s">
        <v>26</v>
      </c>
      <c r="H544" s="9" t="s">
        <v>26</v>
      </c>
      <c r="I544" s="8" t="s">
        <v>26</v>
      </c>
      <c r="J544" s="8" t="s">
        <v>26</v>
      </c>
      <c r="K544" s="8" t="s">
        <v>26</v>
      </c>
      <c r="L544" s="10" t="s">
        <v>28</v>
      </c>
      <c r="M544" s="10" t="s">
        <v>28</v>
      </c>
      <c r="N544" s="12">
        <v>0</v>
      </c>
      <c r="O544" s="8" t="s">
        <v>26</v>
      </c>
      <c r="P544" s="13"/>
      <c r="Q544" s="13"/>
      <c r="R544" s="14">
        <f>IF(AND(P544&gt;0,Q544&gt;0),ROUND((1-Q544/P544)*100,0),0)</f>
        <v>0</v>
      </c>
    </row>
    <row r="545" ht="20" customHeight="1" spans="1:18" x14ac:dyDescent="0.25">
      <c r="A545" s="15" t="s">
        <v>1710</v>
      </c>
      <c r="B545" s="16" t="s">
        <v>1711</v>
      </c>
      <c r="C545" s="16" t="s">
        <v>1712</v>
      </c>
      <c r="D545" s="16" t="s">
        <v>26</v>
      </c>
      <c r="E545" s="17" t="s">
        <v>26</v>
      </c>
      <c r="F545" s="17" t="s">
        <v>26</v>
      </c>
      <c r="G545" s="17" t="s">
        <v>26</v>
      </c>
      <c r="H545" s="17" t="s">
        <v>26</v>
      </c>
      <c r="I545" s="16" t="s">
        <v>26</v>
      </c>
      <c r="J545" s="16" t="s">
        <v>26</v>
      </c>
      <c r="K545" s="16" t="s">
        <v>26</v>
      </c>
      <c r="L545" s="18" t="s">
        <v>28</v>
      </c>
      <c r="M545" s="18" t="s">
        <v>28</v>
      </c>
      <c r="N545" s="20">
        <v>0</v>
      </c>
      <c r="O545" s="16" t="s">
        <v>26</v>
      </c>
      <c r="P545" s="13"/>
      <c r="Q545" s="13"/>
      <c r="R545" s="14">
        <f>IF(AND(P545&gt;0,Q545&gt;0),ROUND((1-Q545/P545)*100,0),0)</f>
        <v>0</v>
      </c>
    </row>
    <row r="546" ht="20" customHeight="1" spans="1:18" x14ac:dyDescent="0.25">
      <c r="A546" s="7" t="s">
        <v>1713</v>
      </c>
      <c r="B546" s="8" t="s">
        <v>1714</v>
      </c>
      <c r="C546" s="8" t="s">
        <v>1715</v>
      </c>
      <c r="D546" s="8" t="s">
        <v>26</v>
      </c>
      <c r="E546" s="9" t="s">
        <v>26</v>
      </c>
      <c r="F546" s="9" t="s">
        <v>26</v>
      </c>
      <c r="G546" s="9" t="s">
        <v>26</v>
      </c>
      <c r="H546" s="9" t="s">
        <v>26</v>
      </c>
      <c r="I546" s="8" t="s">
        <v>26</v>
      </c>
      <c r="J546" s="8" t="s">
        <v>26</v>
      </c>
      <c r="K546" s="8" t="s">
        <v>26</v>
      </c>
      <c r="L546" s="10" t="s">
        <v>28</v>
      </c>
      <c r="M546" s="10" t="s">
        <v>28</v>
      </c>
      <c r="N546" s="12">
        <v>0</v>
      </c>
      <c r="O546" s="8" t="s">
        <v>26</v>
      </c>
      <c r="P546" s="13"/>
      <c r="Q546" s="13"/>
      <c r="R546" s="14">
        <f>IF(AND(P546&gt;0,Q546&gt;0),ROUND((1-Q546/P546)*100,0),0)</f>
        <v>0</v>
      </c>
    </row>
    <row r="547" ht="20" customHeight="1" spans="1:18" x14ac:dyDescent="0.25">
      <c r="A547" s="15" t="s">
        <v>1716</v>
      </c>
      <c r="B547" s="16" t="s">
        <v>1717</v>
      </c>
      <c r="C547" s="16" t="s">
        <v>1718</v>
      </c>
      <c r="D547" s="16" t="s">
        <v>26</v>
      </c>
      <c r="E547" s="17" t="s">
        <v>26</v>
      </c>
      <c r="F547" s="17" t="s">
        <v>26</v>
      </c>
      <c r="G547" s="17" t="s">
        <v>26</v>
      </c>
      <c r="H547" s="17" t="s">
        <v>26</v>
      </c>
      <c r="I547" s="16" t="s">
        <v>26</v>
      </c>
      <c r="J547" s="16" t="s">
        <v>26</v>
      </c>
      <c r="K547" s="16" t="s">
        <v>26</v>
      </c>
      <c r="L547" s="18" t="s">
        <v>28</v>
      </c>
      <c r="M547" s="18" t="s">
        <v>28</v>
      </c>
      <c r="N547" s="20">
        <v>0</v>
      </c>
      <c r="O547" s="16" t="s">
        <v>26</v>
      </c>
      <c r="P547" s="13"/>
      <c r="Q547" s="13"/>
      <c r="R547" s="14">
        <f>IF(AND(P547&gt;0,Q547&gt;0),ROUND((1-Q547/P547)*100,0),0)</f>
        <v>0</v>
      </c>
    </row>
    <row r="548" ht="20" customHeight="1" spans="1:18" x14ac:dyDescent="0.25">
      <c r="A548" s="7" t="s">
        <v>1719</v>
      </c>
      <c r="B548" s="8" t="s">
        <v>1720</v>
      </c>
      <c r="C548" s="8" t="s">
        <v>1721</v>
      </c>
      <c r="D548" s="8" t="s">
        <v>26</v>
      </c>
      <c r="E548" s="9" t="s">
        <v>26</v>
      </c>
      <c r="F548" s="9" t="s">
        <v>26</v>
      </c>
      <c r="G548" s="9" t="s">
        <v>26</v>
      </c>
      <c r="H548" s="9" t="s">
        <v>26</v>
      </c>
      <c r="I548" s="8" t="s">
        <v>26</v>
      </c>
      <c r="J548" s="8" t="s">
        <v>26</v>
      </c>
      <c r="K548" s="8" t="s">
        <v>26</v>
      </c>
      <c r="L548" s="10" t="s">
        <v>28</v>
      </c>
      <c r="M548" s="10" t="s">
        <v>28</v>
      </c>
      <c r="N548" s="12">
        <v>0</v>
      </c>
      <c r="O548" s="8" t="s">
        <v>26</v>
      </c>
      <c r="P548" s="13"/>
      <c r="Q548" s="13"/>
      <c r="R548" s="14">
        <f>IF(AND(P548&gt;0,Q548&gt;0),ROUND((1-Q548/P548)*100,0),0)</f>
        <v>0</v>
      </c>
    </row>
    <row r="549" ht="20" customHeight="1" spans="1:18" x14ac:dyDescent="0.25">
      <c r="A549" s="15" t="s">
        <v>1722</v>
      </c>
      <c r="B549" s="16" t="s">
        <v>1723</v>
      </c>
      <c r="C549" s="16" t="s">
        <v>1724</v>
      </c>
      <c r="D549" s="16" t="s">
        <v>26</v>
      </c>
      <c r="E549" s="17" t="s">
        <v>26</v>
      </c>
      <c r="F549" s="17" t="s">
        <v>26</v>
      </c>
      <c r="G549" s="17" t="s">
        <v>26</v>
      </c>
      <c r="H549" s="17" t="s">
        <v>26</v>
      </c>
      <c r="I549" s="16" t="s">
        <v>26</v>
      </c>
      <c r="J549" s="16" t="s">
        <v>26</v>
      </c>
      <c r="K549" s="16" t="s">
        <v>26</v>
      </c>
      <c r="L549" s="18" t="s">
        <v>28</v>
      </c>
      <c r="M549" s="18" t="s">
        <v>28</v>
      </c>
      <c r="N549" s="20">
        <v>0</v>
      </c>
      <c r="O549" s="16" t="s">
        <v>26</v>
      </c>
      <c r="P549" s="13"/>
      <c r="Q549" s="13"/>
      <c r="R549" s="14">
        <f>IF(AND(P549&gt;0,Q549&gt;0),ROUND((1-Q549/P549)*100,0),0)</f>
        <v>0</v>
      </c>
    </row>
    <row r="550" ht="20" customHeight="1" spans="1:18" x14ac:dyDescent="0.25">
      <c r="A550" s="7" t="s">
        <v>1725</v>
      </c>
      <c r="B550" s="8" t="s">
        <v>1726</v>
      </c>
      <c r="C550" s="8" t="s">
        <v>1727</v>
      </c>
      <c r="D550" s="8" t="s">
        <v>26</v>
      </c>
      <c r="E550" s="9" t="s">
        <v>26</v>
      </c>
      <c r="F550" s="9" t="s">
        <v>26</v>
      </c>
      <c r="G550" s="9" t="s">
        <v>26</v>
      </c>
      <c r="H550" s="9" t="s">
        <v>26</v>
      </c>
      <c r="I550" s="8" t="s">
        <v>26</v>
      </c>
      <c r="J550" s="8" t="s">
        <v>26</v>
      </c>
      <c r="K550" s="8" t="s">
        <v>26</v>
      </c>
      <c r="L550" s="10" t="s">
        <v>28</v>
      </c>
      <c r="M550" s="10" t="s">
        <v>28</v>
      </c>
      <c r="N550" s="12">
        <v>0</v>
      </c>
      <c r="O550" s="8" t="s">
        <v>26</v>
      </c>
      <c r="P550" s="13"/>
      <c r="Q550" s="13"/>
      <c r="R550" s="14">
        <f>IF(AND(P550&gt;0,Q550&gt;0),ROUND((1-Q550/P550)*100,0),0)</f>
        <v>0</v>
      </c>
    </row>
    <row r="551" ht="20" customHeight="1" spans="1:18" x14ac:dyDescent="0.25">
      <c r="A551" s="15" t="s">
        <v>1728</v>
      </c>
      <c r="B551" s="16" t="s">
        <v>1729</v>
      </c>
      <c r="C551" s="16" t="s">
        <v>1730</v>
      </c>
      <c r="D551" s="16" t="s">
        <v>26</v>
      </c>
      <c r="E551" s="17" t="s">
        <v>26</v>
      </c>
      <c r="F551" s="17" t="s">
        <v>26</v>
      </c>
      <c r="G551" s="17" t="s">
        <v>26</v>
      </c>
      <c r="H551" s="17" t="s">
        <v>26</v>
      </c>
      <c r="I551" s="16" t="s">
        <v>26</v>
      </c>
      <c r="J551" s="16" t="s">
        <v>26</v>
      </c>
      <c r="K551" s="16" t="s">
        <v>26</v>
      </c>
      <c r="L551" s="18" t="s">
        <v>28</v>
      </c>
      <c r="M551" s="18" t="s">
        <v>28</v>
      </c>
      <c r="N551" s="20">
        <v>0</v>
      </c>
      <c r="O551" s="16" t="s">
        <v>26</v>
      </c>
      <c r="P551" s="13"/>
      <c r="Q551" s="13"/>
      <c r="R551" s="14">
        <f>IF(AND(P551&gt;0,Q551&gt;0),ROUND((1-Q551/P551)*100,0),0)</f>
        <v>0</v>
      </c>
    </row>
    <row r="552" ht="20" customHeight="1" spans="1:18" x14ac:dyDescent="0.25">
      <c r="A552" s="7" t="s">
        <v>1731</v>
      </c>
      <c r="B552" s="8" t="s">
        <v>1732</v>
      </c>
      <c r="C552" s="8" t="s">
        <v>1733</v>
      </c>
      <c r="D552" s="8" t="s">
        <v>26</v>
      </c>
      <c r="E552" s="9" t="s">
        <v>26</v>
      </c>
      <c r="F552" s="9" t="s">
        <v>26</v>
      </c>
      <c r="G552" s="9" t="s">
        <v>26</v>
      </c>
      <c r="H552" s="9" t="s">
        <v>26</v>
      </c>
      <c r="I552" s="8" t="s">
        <v>26</v>
      </c>
      <c r="J552" s="8" t="s">
        <v>26</v>
      </c>
      <c r="K552" s="8" t="s">
        <v>26</v>
      </c>
      <c r="L552" s="10" t="s">
        <v>28</v>
      </c>
      <c r="M552" s="10" t="s">
        <v>28</v>
      </c>
      <c r="N552" s="12">
        <v>0</v>
      </c>
      <c r="O552" s="8" t="s">
        <v>26</v>
      </c>
      <c r="P552" s="13"/>
      <c r="Q552" s="13"/>
      <c r="R552" s="14">
        <f>IF(AND(P552&gt;0,Q552&gt;0),ROUND((1-Q552/P552)*100,0),0)</f>
        <v>0</v>
      </c>
    </row>
    <row r="553" ht="20" customHeight="1" spans="1:18" x14ac:dyDescent="0.25">
      <c r="A553" s="15" t="s">
        <v>1734</v>
      </c>
      <c r="B553" s="16" t="s">
        <v>1735</v>
      </c>
      <c r="C553" s="16" t="s">
        <v>1736</v>
      </c>
      <c r="D553" s="16" t="s">
        <v>26</v>
      </c>
      <c r="E553" s="17" t="s">
        <v>26</v>
      </c>
      <c r="F553" s="17" t="s">
        <v>26</v>
      </c>
      <c r="G553" s="17" t="s">
        <v>26</v>
      </c>
      <c r="H553" s="17" t="s">
        <v>26</v>
      </c>
      <c r="I553" s="16" t="s">
        <v>26</v>
      </c>
      <c r="J553" s="16" t="s">
        <v>26</v>
      </c>
      <c r="K553" s="16" t="s">
        <v>26</v>
      </c>
      <c r="L553" s="18" t="s">
        <v>28</v>
      </c>
      <c r="M553" s="18" t="s">
        <v>28</v>
      </c>
      <c r="N553" s="20">
        <v>0</v>
      </c>
      <c r="O553" s="16" t="s">
        <v>26</v>
      </c>
      <c r="P553" s="13"/>
      <c r="Q553" s="13"/>
      <c r="R553" s="14">
        <f>IF(AND(P553&gt;0,Q553&gt;0),ROUND((1-Q553/P553)*100,0),0)</f>
        <v>0</v>
      </c>
    </row>
    <row r="554" ht="20" customHeight="1" spans="1:18" x14ac:dyDescent="0.25">
      <c r="A554" s="7" t="s">
        <v>1737</v>
      </c>
      <c r="B554" s="8" t="s">
        <v>1738</v>
      </c>
      <c r="C554" s="8" t="s">
        <v>1739</v>
      </c>
      <c r="D554" s="8" t="s">
        <v>26</v>
      </c>
      <c r="E554" s="9" t="s">
        <v>26</v>
      </c>
      <c r="F554" s="9" t="s">
        <v>26</v>
      </c>
      <c r="G554" s="9" t="s">
        <v>26</v>
      </c>
      <c r="H554" s="9" t="s">
        <v>26</v>
      </c>
      <c r="I554" s="8" t="s">
        <v>26</v>
      </c>
      <c r="J554" s="8" t="s">
        <v>26</v>
      </c>
      <c r="K554" s="8" t="s">
        <v>26</v>
      </c>
      <c r="L554" s="10" t="s">
        <v>28</v>
      </c>
      <c r="M554" s="10" t="s">
        <v>28</v>
      </c>
      <c r="N554" s="12">
        <v>0</v>
      </c>
      <c r="O554" s="8" t="s">
        <v>26</v>
      </c>
      <c r="P554" s="13"/>
      <c r="Q554" s="13"/>
      <c r="R554" s="14">
        <f>IF(AND(P554&gt;0,Q554&gt;0),ROUND((1-Q554/P554)*100,0),0)</f>
        <v>0</v>
      </c>
    </row>
    <row r="555" ht="20" customHeight="1" spans="1:18" x14ac:dyDescent="0.25">
      <c r="A555" s="15" t="s">
        <v>1740</v>
      </c>
      <c r="B555" s="16" t="s">
        <v>1741</v>
      </c>
      <c r="C555" s="16" t="s">
        <v>1742</v>
      </c>
      <c r="D555" s="16" t="s">
        <v>26</v>
      </c>
      <c r="E555" s="17" t="s">
        <v>26</v>
      </c>
      <c r="F555" s="17" t="s">
        <v>26</v>
      </c>
      <c r="G555" s="17" t="s">
        <v>26</v>
      </c>
      <c r="H555" s="17" t="s">
        <v>26</v>
      </c>
      <c r="I555" s="16" t="s">
        <v>26</v>
      </c>
      <c r="J555" s="16" t="s">
        <v>26</v>
      </c>
      <c r="K555" s="16" t="s">
        <v>26</v>
      </c>
      <c r="L555" s="18" t="s">
        <v>28</v>
      </c>
      <c r="M555" s="18" t="s">
        <v>28</v>
      </c>
      <c r="N555" s="20">
        <v>0</v>
      </c>
      <c r="O555" s="16" t="s">
        <v>26</v>
      </c>
      <c r="P555" s="13"/>
      <c r="Q555" s="13"/>
      <c r="R555" s="14">
        <f>IF(AND(P555&gt;0,Q555&gt;0),ROUND((1-Q555/P555)*100,0),0)</f>
        <v>0</v>
      </c>
    </row>
    <row r="556" ht="20" customHeight="1" spans="1:18" x14ac:dyDescent="0.25">
      <c r="A556" s="7" t="s">
        <v>1743</v>
      </c>
      <c r="B556" s="8" t="s">
        <v>1744</v>
      </c>
      <c r="C556" s="8" t="s">
        <v>1745</v>
      </c>
      <c r="D556" s="8" t="s">
        <v>26</v>
      </c>
      <c r="E556" s="9" t="s">
        <v>26</v>
      </c>
      <c r="F556" s="9" t="s">
        <v>26</v>
      </c>
      <c r="G556" s="9" t="s">
        <v>26</v>
      </c>
      <c r="H556" s="9" t="s">
        <v>26</v>
      </c>
      <c r="I556" s="8" t="s">
        <v>26</v>
      </c>
      <c r="J556" s="8" t="s">
        <v>26</v>
      </c>
      <c r="K556" s="8" t="s">
        <v>26</v>
      </c>
      <c r="L556" s="10" t="s">
        <v>28</v>
      </c>
      <c r="M556" s="10" t="s">
        <v>28</v>
      </c>
      <c r="N556" s="12">
        <v>0</v>
      </c>
      <c r="O556" s="8" t="s">
        <v>26</v>
      </c>
      <c r="P556" s="13"/>
      <c r="Q556" s="13"/>
      <c r="R556" s="14">
        <f>IF(AND(P556&gt;0,Q556&gt;0),ROUND((1-Q556/P556)*100,0),0)</f>
        <v>0</v>
      </c>
    </row>
    <row r="557" ht="20" customHeight="1" spans="1:18" x14ac:dyDescent="0.25">
      <c r="A557" s="15" t="s">
        <v>1746</v>
      </c>
      <c r="B557" s="16" t="s">
        <v>1747</v>
      </c>
      <c r="C557" s="16" t="s">
        <v>1748</v>
      </c>
      <c r="D557" s="16" t="s">
        <v>26</v>
      </c>
      <c r="E557" s="17" t="s">
        <v>26</v>
      </c>
      <c r="F557" s="17" t="s">
        <v>26</v>
      </c>
      <c r="G557" s="17" t="s">
        <v>26</v>
      </c>
      <c r="H557" s="17" t="s">
        <v>26</v>
      </c>
      <c r="I557" s="16" t="s">
        <v>26</v>
      </c>
      <c r="J557" s="16" t="s">
        <v>26</v>
      </c>
      <c r="K557" s="16" t="s">
        <v>26</v>
      </c>
      <c r="L557" s="18" t="s">
        <v>28</v>
      </c>
      <c r="M557" s="18" t="s">
        <v>28</v>
      </c>
      <c r="N557" s="20">
        <v>0</v>
      </c>
      <c r="O557" s="16" t="s">
        <v>26</v>
      </c>
      <c r="P557" s="13"/>
      <c r="Q557" s="13"/>
      <c r="R557" s="14">
        <f>IF(AND(P557&gt;0,Q557&gt;0),ROUND((1-Q557/P557)*100,0),0)</f>
        <v>0</v>
      </c>
    </row>
    <row r="558" ht="20" customHeight="1" spans="1:18" x14ac:dyDescent="0.25">
      <c r="A558" s="7" t="s">
        <v>1749</v>
      </c>
      <c r="B558" s="8" t="s">
        <v>1750</v>
      </c>
      <c r="C558" s="8" t="s">
        <v>1751</v>
      </c>
      <c r="D558" s="8" t="s">
        <v>26</v>
      </c>
      <c r="E558" s="9" t="s">
        <v>26</v>
      </c>
      <c r="F558" s="9" t="s">
        <v>26</v>
      </c>
      <c r="G558" s="9" t="s">
        <v>26</v>
      </c>
      <c r="H558" s="9" t="s">
        <v>26</v>
      </c>
      <c r="I558" s="8" t="s">
        <v>26</v>
      </c>
      <c r="J558" s="8" t="s">
        <v>26</v>
      </c>
      <c r="K558" s="8" t="s">
        <v>26</v>
      </c>
      <c r="L558" s="10" t="s">
        <v>28</v>
      </c>
      <c r="M558" s="10" t="s">
        <v>28</v>
      </c>
      <c r="N558" s="12">
        <v>0</v>
      </c>
      <c r="O558" s="8" t="s">
        <v>26</v>
      </c>
      <c r="P558" s="13"/>
      <c r="Q558" s="13"/>
      <c r="R558" s="14">
        <f>IF(AND(P558&gt;0,Q558&gt;0),ROUND((1-Q558/P558)*100,0),0)</f>
        <v>0</v>
      </c>
    </row>
    <row r="559" ht="20" customHeight="1" spans="1:18" x14ac:dyDescent="0.25">
      <c r="A559" s="15" t="s">
        <v>1752</v>
      </c>
      <c r="B559" s="16" t="s">
        <v>1753</v>
      </c>
      <c r="C559" s="16" t="s">
        <v>1754</v>
      </c>
      <c r="D559" s="16" t="s">
        <v>26</v>
      </c>
      <c r="E559" s="17" t="s">
        <v>26</v>
      </c>
      <c r="F559" s="17" t="s">
        <v>26</v>
      </c>
      <c r="G559" s="17" t="s">
        <v>26</v>
      </c>
      <c r="H559" s="17" t="s">
        <v>26</v>
      </c>
      <c r="I559" s="16" t="s">
        <v>26</v>
      </c>
      <c r="J559" s="16" t="s">
        <v>26</v>
      </c>
      <c r="K559" s="16" t="s">
        <v>26</v>
      </c>
      <c r="L559" s="18" t="s">
        <v>28</v>
      </c>
      <c r="M559" s="18" t="s">
        <v>28</v>
      </c>
      <c r="N559" s="20">
        <v>0</v>
      </c>
      <c r="O559" s="16" t="s">
        <v>26</v>
      </c>
      <c r="P559" s="13"/>
      <c r="Q559" s="13"/>
      <c r="R559" s="14">
        <f>IF(AND(P559&gt;0,Q559&gt;0),ROUND((1-Q559/P559)*100,0),0)</f>
        <v>0</v>
      </c>
    </row>
    <row r="560" ht="20" customHeight="1" spans="1:18" x14ac:dyDescent="0.25">
      <c r="A560" s="7" t="s">
        <v>1755</v>
      </c>
      <c r="B560" s="8" t="s">
        <v>1756</v>
      </c>
      <c r="C560" s="8" t="s">
        <v>1757</v>
      </c>
      <c r="D560" s="8" t="s">
        <v>26</v>
      </c>
      <c r="E560" s="9" t="s">
        <v>26</v>
      </c>
      <c r="F560" s="9" t="s">
        <v>26</v>
      </c>
      <c r="G560" s="9" t="s">
        <v>26</v>
      </c>
      <c r="H560" s="9" t="s">
        <v>26</v>
      </c>
      <c r="I560" s="8" t="s">
        <v>26</v>
      </c>
      <c r="J560" s="8" t="s">
        <v>26</v>
      </c>
      <c r="K560" s="8" t="s">
        <v>26</v>
      </c>
      <c r="L560" s="10" t="s">
        <v>28</v>
      </c>
      <c r="M560" s="10" t="s">
        <v>28</v>
      </c>
      <c r="N560" s="12">
        <v>0</v>
      </c>
      <c r="O560" s="8" t="s">
        <v>26</v>
      </c>
      <c r="P560" s="13"/>
      <c r="Q560" s="13"/>
      <c r="R560" s="14">
        <f>IF(AND(P560&gt;0,Q560&gt;0),ROUND((1-Q560/P560)*100,0),0)</f>
        <v>0</v>
      </c>
    </row>
    <row r="561" ht="20" customHeight="1" spans="1:18" x14ac:dyDescent="0.25">
      <c r="A561" s="15" t="s">
        <v>1758</v>
      </c>
      <c r="B561" s="16" t="s">
        <v>1759</v>
      </c>
      <c r="C561" s="16" t="s">
        <v>1760</v>
      </c>
      <c r="D561" s="16" t="s">
        <v>26</v>
      </c>
      <c r="E561" s="17" t="s">
        <v>26</v>
      </c>
      <c r="F561" s="17" t="s">
        <v>26</v>
      </c>
      <c r="G561" s="17" t="s">
        <v>26</v>
      </c>
      <c r="H561" s="17" t="s">
        <v>26</v>
      </c>
      <c r="I561" s="16" t="s">
        <v>26</v>
      </c>
      <c r="J561" s="16" t="s">
        <v>26</v>
      </c>
      <c r="K561" s="16" t="s">
        <v>26</v>
      </c>
      <c r="L561" s="18" t="s">
        <v>28</v>
      </c>
      <c r="M561" s="18" t="s">
        <v>28</v>
      </c>
      <c r="N561" s="20">
        <v>0</v>
      </c>
      <c r="O561" s="16" t="s">
        <v>26</v>
      </c>
      <c r="P561" s="13"/>
      <c r="Q561" s="13"/>
      <c r="R561" s="14">
        <f>IF(AND(P561&gt;0,Q561&gt;0),ROUND((1-Q561/P561)*100,0),0)</f>
        <v>0</v>
      </c>
    </row>
    <row r="562" ht="20" customHeight="1" spans="1:18" x14ac:dyDescent="0.25">
      <c r="A562" s="7" t="s">
        <v>1761</v>
      </c>
      <c r="B562" s="8" t="s">
        <v>1762</v>
      </c>
      <c r="C562" s="8" t="s">
        <v>1763</v>
      </c>
      <c r="D562" s="8" t="s">
        <v>26</v>
      </c>
      <c r="E562" s="9" t="s">
        <v>26</v>
      </c>
      <c r="F562" s="9" t="s">
        <v>26</v>
      </c>
      <c r="G562" s="9" t="s">
        <v>26</v>
      </c>
      <c r="H562" s="9" t="s">
        <v>26</v>
      </c>
      <c r="I562" s="8" t="s">
        <v>26</v>
      </c>
      <c r="J562" s="8" t="s">
        <v>26</v>
      </c>
      <c r="K562" s="8" t="s">
        <v>26</v>
      </c>
      <c r="L562" s="10" t="s">
        <v>28</v>
      </c>
      <c r="M562" s="10" t="s">
        <v>28</v>
      </c>
      <c r="N562" s="12">
        <v>0</v>
      </c>
      <c r="O562" s="8" t="s">
        <v>26</v>
      </c>
      <c r="P562" s="13"/>
      <c r="Q562" s="13"/>
      <c r="R562" s="14">
        <f>IF(AND(P562&gt;0,Q562&gt;0),ROUND((1-Q562/P562)*100,0),0)</f>
        <v>0</v>
      </c>
    </row>
    <row r="563" ht="20" customHeight="1" spans="1:18" x14ac:dyDescent="0.25">
      <c r="A563" s="15" t="s">
        <v>1764</v>
      </c>
      <c r="B563" s="16" t="s">
        <v>1765</v>
      </c>
      <c r="C563" s="16" t="s">
        <v>1766</v>
      </c>
      <c r="D563" s="16" t="s">
        <v>26</v>
      </c>
      <c r="E563" s="17" t="s">
        <v>26</v>
      </c>
      <c r="F563" s="17" t="s">
        <v>26</v>
      </c>
      <c r="G563" s="17" t="s">
        <v>26</v>
      </c>
      <c r="H563" s="17" t="s">
        <v>26</v>
      </c>
      <c r="I563" s="16" t="s">
        <v>26</v>
      </c>
      <c r="J563" s="16" t="s">
        <v>26</v>
      </c>
      <c r="K563" s="16" t="s">
        <v>26</v>
      </c>
      <c r="L563" s="18" t="s">
        <v>28</v>
      </c>
      <c r="M563" s="18" t="s">
        <v>28</v>
      </c>
      <c r="N563" s="20">
        <v>0</v>
      </c>
      <c r="O563" s="16" t="s">
        <v>26</v>
      </c>
      <c r="P563" s="13"/>
      <c r="Q563" s="13"/>
      <c r="R563" s="14">
        <f>IF(AND(P563&gt;0,Q563&gt;0),ROUND((1-Q563/P563)*100,0),0)</f>
        <v>0</v>
      </c>
    </row>
    <row r="564" ht="20" customHeight="1" spans="1:18" x14ac:dyDescent="0.25">
      <c r="A564" s="7" t="s">
        <v>1767</v>
      </c>
      <c r="B564" s="8" t="s">
        <v>1768</v>
      </c>
      <c r="C564" s="8" t="s">
        <v>1769</v>
      </c>
      <c r="D564" s="8" t="s">
        <v>26</v>
      </c>
      <c r="E564" s="9" t="s">
        <v>26</v>
      </c>
      <c r="F564" s="9" t="s">
        <v>26</v>
      </c>
      <c r="G564" s="9" t="s">
        <v>26</v>
      </c>
      <c r="H564" s="9" t="s">
        <v>26</v>
      </c>
      <c r="I564" s="8" t="s">
        <v>26</v>
      </c>
      <c r="J564" s="8" t="s">
        <v>26</v>
      </c>
      <c r="K564" s="8" t="s">
        <v>26</v>
      </c>
      <c r="L564" s="10" t="s">
        <v>28</v>
      </c>
      <c r="M564" s="10" t="s">
        <v>28</v>
      </c>
      <c r="N564" s="12">
        <v>0</v>
      </c>
      <c r="O564" s="8" t="s">
        <v>26</v>
      </c>
      <c r="P564" s="13"/>
      <c r="Q564" s="13"/>
      <c r="R564" s="14">
        <f>IF(AND(P564&gt;0,Q564&gt;0),ROUND((1-Q564/P564)*100,0),0)</f>
        <v>0</v>
      </c>
    </row>
    <row r="565" ht="20" customHeight="1" spans="1:18" x14ac:dyDescent="0.25">
      <c r="A565" s="15" t="s">
        <v>1770</v>
      </c>
      <c r="B565" s="16" t="s">
        <v>1771</v>
      </c>
      <c r="C565" s="16" t="s">
        <v>1772</v>
      </c>
      <c r="D565" s="16" t="s">
        <v>26</v>
      </c>
      <c r="E565" s="17" t="s">
        <v>26</v>
      </c>
      <c r="F565" s="17" t="s">
        <v>26</v>
      </c>
      <c r="G565" s="17" t="s">
        <v>26</v>
      </c>
      <c r="H565" s="17" t="s">
        <v>26</v>
      </c>
      <c r="I565" s="16" t="s">
        <v>26</v>
      </c>
      <c r="J565" s="16" t="s">
        <v>26</v>
      </c>
      <c r="K565" s="16" t="s">
        <v>26</v>
      </c>
      <c r="L565" s="18" t="s">
        <v>28</v>
      </c>
      <c r="M565" s="18" t="s">
        <v>28</v>
      </c>
      <c r="N565" s="20">
        <v>0</v>
      </c>
      <c r="O565" s="16" t="s">
        <v>26</v>
      </c>
      <c r="P565" s="13"/>
      <c r="Q565" s="13"/>
      <c r="R565" s="14">
        <f>IF(AND(P565&gt;0,Q565&gt;0),ROUND((1-Q565/P565)*100,0),0)</f>
        <v>0</v>
      </c>
    </row>
    <row r="566" ht="20" customHeight="1" spans="1:18" x14ac:dyDescent="0.25">
      <c r="A566" s="7" t="s">
        <v>1773</v>
      </c>
      <c r="B566" s="8" t="s">
        <v>1774</v>
      </c>
      <c r="C566" s="8" t="s">
        <v>1775</v>
      </c>
      <c r="D566" s="8" t="s">
        <v>26</v>
      </c>
      <c r="E566" s="9" t="s">
        <v>26</v>
      </c>
      <c r="F566" s="9" t="s">
        <v>26</v>
      </c>
      <c r="G566" s="9" t="s">
        <v>26</v>
      </c>
      <c r="H566" s="9" t="s">
        <v>26</v>
      </c>
      <c r="I566" s="8" t="s">
        <v>26</v>
      </c>
      <c r="J566" s="8" t="s">
        <v>26</v>
      </c>
      <c r="K566" s="8" t="s">
        <v>26</v>
      </c>
      <c r="L566" s="10" t="s">
        <v>28</v>
      </c>
      <c r="M566" s="10" t="s">
        <v>28</v>
      </c>
      <c r="N566" s="12">
        <v>0</v>
      </c>
      <c r="O566" s="8" t="s">
        <v>26</v>
      </c>
      <c r="P566" s="13"/>
      <c r="Q566" s="13"/>
      <c r="R566" s="14">
        <f>IF(AND(P566&gt;0,Q566&gt;0),ROUND((1-Q566/P566)*100,0),0)</f>
        <v>0</v>
      </c>
    </row>
    <row r="567" ht="20" customHeight="1" spans="1:18" x14ac:dyDescent="0.25">
      <c r="A567" s="15" t="s">
        <v>1776</v>
      </c>
      <c r="B567" s="16" t="s">
        <v>1777</v>
      </c>
      <c r="C567" s="16" t="s">
        <v>1778</v>
      </c>
      <c r="D567" s="16" t="s">
        <v>26</v>
      </c>
      <c r="E567" s="17" t="s">
        <v>26</v>
      </c>
      <c r="F567" s="17" t="s">
        <v>26</v>
      </c>
      <c r="G567" s="17" t="s">
        <v>26</v>
      </c>
      <c r="H567" s="17" t="s">
        <v>26</v>
      </c>
      <c r="I567" s="16" t="s">
        <v>26</v>
      </c>
      <c r="J567" s="16" t="s">
        <v>26</v>
      </c>
      <c r="K567" s="16" t="s">
        <v>26</v>
      </c>
      <c r="L567" s="18" t="s">
        <v>28</v>
      </c>
      <c r="M567" s="18" t="s">
        <v>28</v>
      </c>
      <c r="N567" s="20">
        <v>0</v>
      </c>
      <c r="O567" s="16" t="s">
        <v>26</v>
      </c>
      <c r="P567" s="13"/>
      <c r="Q567" s="13"/>
      <c r="R567" s="14">
        <f>IF(AND(P567&gt;0,Q567&gt;0),ROUND((1-Q567/P567)*100,0),0)</f>
        <v>0</v>
      </c>
    </row>
    <row r="568" ht="20" customHeight="1" spans="1:18" x14ac:dyDescent="0.25">
      <c r="A568" s="7" t="s">
        <v>1779</v>
      </c>
      <c r="B568" s="8" t="s">
        <v>1780</v>
      </c>
      <c r="C568" s="8" t="s">
        <v>1781</v>
      </c>
      <c r="D568" s="8" t="s">
        <v>26</v>
      </c>
      <c r="E568" s="9" t="s">
        <v>26</v>
      </c>
      <c r="F568" s="9" t="s">
        <v>26</v>
      </c>
      <c r="G568" s="9" t="s">
        <v>26</v>
      </c>
      <c r="H568" s="9" t="s">
        <v>26</v>
      </c>
      <c r="I568" s="8" t="s">
        <v>26</v>
      </c>
      <c r="J568" s="8" t="s">
        <v>26</v>
      </c>
      <c r="K568" s="8" t="s">
        <v>26</v>
      </c>
      <c r="L568" s="10" t="s">
        <v>28</v>
      </c>
      <c r="M568" s="10" t="s">
        <v>28</v>
      </c>
      <c r="N568" s="12">
        <v>0</v>
      </c>
      <c r="O568" s="8" t="s">
        <v>26</v>
      </c>
      <c r="P568" s="13"/>
      <c r="Q568" s="13"/>
      <c r="R568" s="14">
        <f>IF(AND(P568&gt;0,Q568&gt;0),ROUND((1-Q568/P568)*100,0),0)</f>
        <v>0</v>
      </c>
    </row>
    <row r="569" ht="20" customHeight="1" spans="1:18" x14ac:dyDescent="0.25">
      <c r="A569" s="15" t="s">
        <v>1782</v>
      </c>
      <c r="B569" s="16" t="s">
        <v>1783</v>
      </c>
      <c r="C569" s="16" t="s">
        <v>1784</v>
      </c>
      <c r="D569" s="16" t="s">
        <v>26</v>
      </c>
      <c r="E569" s="17" t="s">
        <v>26</v>
      </c>
      <c r="F569" s="17" t="s">
        <v>26</v>
      </c>
      <c r="G569" s="17" t="s">
        <v>26</v>
      </c>
      <c r="H569" s="17" t="s">
        <v>26</v>
      </c>
      <c r="I569" s="16" t="s">
        <v>26</v>
      </c>
      <c r="J569" s="16" t="s">
        <v>26</v>
      </c>
      <c r="K569" s="16" t="s">
        <v>26</v>
      </c>
      <c r="L569" s="18" t="s">
        <v>28</v>
      </c>
      <c r="M569" s="18" t="s">
        <v>28</v>
      </c>
      <c r="N569" s="20">
        <v>0</v>
      </c>
      <c r="O569" s="16" t="s">
        <v>26</v>
      </c>
      <c r="P569" s="13"/>
      <c r="Q569" s="13"/>
      <c r="R569" s="14">
        <f>IF(AND(P569&gt;0,Q569&gt;0),ROUND((1-Q569/P569)*100,0),0)</f>
        <v>0</v>
      </c>
    </row>
    <row r="570" ht="20" customHeight="1" spans="1:18" x14ac:dyDescent="0.25">
      <c r="A570" s="7" t="s">
        <v>1785</v>
      </c>
      <c r="B570" s="8" t="s">
        <v>1786</v>
      </c>
      <c r="C570" s="8" t="s">
        <v>1787</v>
      </c>
      <c r="D570" s="8" t="s">
        <v>26</v>
      </c>
      <c r="E570" s="9" t="s">
        <v>26</v>
      </c>
      <c r="F570" s="9" t="s">
        <v>26</v>
      </c>
      <c r="G570" s="9" t="s">
        <v>26</v>
      </c>
      <c r="H570" s="9" t="s">
        <v>26</v>
      </c>
      <c r="I570" s="8" t="s">
        <v>26</v>
      </c>
      <c r="J570" s="8" t="s">
        <v>26</v>
      </c>
      <c r="K570" s="8" t="s">
        <v>26</v>
      </c>
      <c r="L570" s="10" t="s">
        <v>28</v>
      </c>
      <c r="M570" s="10" t="s">
        <v>28</v>
      </c>
      <c r="N570" s="12">
        <v>0</v>
      </c>
      <c r="O570" s="8" t="s">
        <v>26</v>
      </c>
      <c r="P570" s="13"/>
      <c r="Q570" s="13"/>
      <c r="R570" s="14">
        <f>IF(AND(P570&gt;0,Q570&gt;0),ROUND((1-Q570/P570)*100,0),0)</f>
        <v>0</v>
      </c>
    </row>
    <row r="571" ht="20" customHeight="1" spans="1:18" x14ac:dyDescent="0.25">
      <c r="A571" s="15" t="s">
        <v>1788</v>
      </c>
      <c r="B571" s="16" t="s">
        <v>1789</v>
      </c>
      <c r="C571" s="16" t="s">
        <v>1790</v>
      </c>
      <c r="D571" s="16" t="s">
        <v>26</v>
      </c>
      <c r="E571" s="17" t="s">
        <v>26</v>
      </c>
      <c r="F571" s="17" t="s">
        <v>26</v>
      </c>
      <c r="G571" s="17" t="s">
        <v>26</v>
      </c>
      <c r="H571" s="17" t="s">
        <v>26</v>
      </c>
      <c r="I571" s="16" t="s">
        <v>26</v>
      </c>
      <c r="J571" s="16" t="s">
        <v>26</v>
      </c>
      <c r="K571" s="16" t="s">
        <v>26</v>
      </c>
      <c r="L571" s="18" t="s">
        <v>28</v>
      </c>
      <c r="M571" s="18" t="s">
        <v>28</v>
      </c>
      <c r="N571" s="20">
        <v>0</v>
      </c>
      <c r="O571" s="16" t="s">
        <v>26</v>
      </c>
      <c r="P571" s="13"/>
      <c r="Q571" s="13"/>
      <c r="R571" s="14">
        <f>IF(AND(P571&gt;0,Q571&gt;0),ROUND((1-Q571/P571)*100,0),0)</f>
        <v>0</v>
      </c>
    </row>
    <row r="572" ht="20" customHeight="1" spans="1:18" x14ac:dyDescent="0.25">
      <c r="A572" s="7" t="s">
        <v>1791</v>
      </c>
      <c r="B572" s="8" t="s">
        <v>1792</v>
      </c>
      <c r="C572" s="8" t="s">
        <v>1793</v>
      </c>
      <c r="D572" s="8" t="s">
        <v>26</v>
      </c>
      <c r="E572" s="9" t="s">
        <v>26</v>
      </c>
      <c r="F572" s="9" t="s">
        <v>26</v>
      </c>
      <c r="G572" s="9" t="s">
        <v>26</v>
      </c>
      <c r="H572" s="9" t="s">
        <v>26</v>
      </c>
      <c r="I572" s="8" t="s">
        <v>26</v>
      </c>
      <c r="J572" s="8" t="s">
        <v>26</v>
      </c>
      <c r="K572" s="8" t="s">
        <v>26</v>
      </c>
      <c r="L572" s="10" t="s">
        <v>28</v>
      </c>
      <c r="M572" s="10" t="s">
        <v>28</v>
      </c>
      <c r="N572" s="12">
        <v>0</v>
      </c>
      <c r="O572" s="8" t="s">
        <v>26</v>
      </c>
      <c r="P572" s="13"/>
      <c r="Q572" s="13"/>
      <c r="R572" s="14">
        <f>IF(AND(P572&gt;0,Q572&gt;0),ROUND((1-Q572/P572)*100,0),0)</f>
        <v>0</v>
      </c>
    </row>
    <row r="573" ht="20" customHeight="1" spans="1:18" x14ac:dyDescent="0.25">
      <c r="A573" s="15" t="s">
        <v>1794</v>
      </c>
      <c r="B573" s="16" t="s">
        <v>1795</v>
      </c>
      <c r="C573" s="16" t="s">
        <v>1796</v>
      </c>
      <c r="D573" s="16" t="s">
        <v>26</v>
      </c>
      <c r="E573" s="17" t="s">
        <v>26</v>
      </c>
      <c r="F573" s="17" t="s">
        <v>26</v>
      </c>
      <c r="G573" s="17" t="s">
        <v>26</v>
      </c>
      <c r="H573" s="17" t="s">
        <v>26</v>
      </c>
      <c r="I573" s="16" t="s">
        <v>26</v>
      </c>
      <c r="J573" s="16" t="s">
        <v>26</v>
      </c>
      <c r="K573" s="16" t="s">
        <v>26</v>
      </c>
      <c r="L573" s="18" t="s">
        <v>28</v>
      </c>
      <c r="M573" s="18" t="s">
        <v>28</v>
      </c>
      <c r="N573" s="20">
        <v>0</v>
      </c>
      <c r="O573" s="16" t="s">
        <v>26</v>
      </c>
      <c r="P573" s="13"/>
      <c r="Q573" s="13"/>
      <c r="R573" s="14">
        <f>IF(AND(P573&gt;0,Q573&gt;0),ROUND((1-Q573/P573)*100,0),0)</f>
        <v>0</v>
      </c>
    </row>
    <row r="574" ht="20" customHeight="1" spans="1:18" x14ac:dyDescent="0.25">
      <c r="A574" s="7" t="s">
        <v>1797</v>
      </c>
      <c r="B574" s="8" t="s">
        <v>1798</v>
      </c>
      <c r="C574" s="8" t="s">
        <v>1799</v>
      </c>
      <c r="D574" s="8" t="s">
        <v>26</v>
      </c>
      <c r="E574" s="9" t="s">
        <v>26</v>
      </c>
      <c r="F574" s="9" t="s">
        <v>26</v>
      </c>
      <c r="G574" s="9" t="s">
        <v>26</v>
      </c>
      <c r="H574" s="9" t="s">
        <v>26</v>
      </c>
      <c r="I574" s="8" t="s">
        <v>26</v>
      </c>
      <c r="J574" s="8" t="s">
        <v>26</v>
      </c>
      <c r="K574" s="8" t="s">
        <v>26</v>
      </c>
      <c r="L574" s="10" t="s">
        <v>28</v>
      </c>
      <c r="M574" s="10" t="s">
        <v>28</v>
      </c>
      <c r="N574" s="12">
        <v>0</v>
      </c>
      <c r="O574" s="8" t="s">
        <v>26</v>
      </c>
      <c r="P574" s="13"/>
      <c r="Q574" s="13"/>
      <c r="R574" s="14">
        <f>IF(AND(P574&gt;0,Q574&gt;0),ROUND((1-Q574/P574)*100,0),0)</f>
        <v>0</v>
      </c>
    </row>
    <row r="575" ht="20" customHeight="1" spans="1:18" x14ac:dyDescent="0.25">
      <c r="A575" s="15" t="s">
        <v>1800</v>
      </c>
      <c r="B575" s="16" t="s">
        <v>1801</v>
      </c>
      <c r="C575" s="16" t="s">
        <v>1802</v>
      </c>
      <c r="D575" s="16" t="s">
        <v>26</v>
      </c>
      <c r="E575" s="17" t="s">
        <v>26</v>
      </c>
      <c r="F575" s="17" t="s">
        <v>26</v>
      </c>
      <c r="G575" s="17" t="s">
        <v>26</v>
      </c>
      <c r="H575" s="17" t="s">
        <v>26</v>
      </c>
      <c r="I575" s="16" t="s">
        <v>26</v>
      </c>
      <c r="J575" s="16" t="s">
        <v>26</v>
      </c>
      <c r="K575" s="16" t="s">
        <v>26</v>
      </c>
      <c r="L575" s="18" t="s">
        <v>28</v>
      </c>
      <c r="M575" s="18" t="s">
        <v>28</v>
      </c>
      <c r="N575" s="20">
        <v>0</v>
      </c>
      <c r="O575" s="16" t="s">
        <v>26</v>
      </c>
      <c r="P575" s="13"/>
      <c r="Q575" s="13"/>
      <c r="R575" s="14">
        <f>IF(AND(P575&gt;0,Q575&gt;0),ROUND((1-Q575/P575)*100,0),0)</f>
        <v>0</v>
      </c>
    </row>
    <row r="576" ht="20" customHeight="1" spans="1:18" x14ac:dyDescent="0.25">
      <c r="A576" s="7" t="s">
        <v>1803</v>
      </c>
      <c r="B576" s="8" t="s">
        <v>1804</v>
      </c>
      <c r="C576" s="8" t="s">
        <v>1805</v>
      </c>
      <c r="D576" s="8" t="s">
        <v>26</v>
      </c>
      <c r="E576" s="9" t="s">
        <v>26</v>
      </c>
      <c r="F576" s="9" t="s">
        <v>26</v>
      </c>
      <c r="G576" s="9" t="s">
        <v>26</v>
      </c>
      <c r="H576" s="9" t="s">
        <v>26</v>
      </c>
      <c r="I576" s="8" t="s">
        <v>26</v>
      </c>
      <c r="J576" s="8" t="s">
        <v>26</v>
      </c>
      <c r="K576" s="8" t="s">
        <v>26</v>
      </c>
      <c r="L576" s="10" t="s">
        <v>28</v>
      </c>
      <c r="M576" s="10" t="s">
        <v>28</v>
      </c>
      <c r="N576" s="12">
        <v>0</v>
      </c>
      <c r="O576" s="8" t="s">
        <v>26</v>
      </c>
      <c r="P576" s="13"/>
      <c r="Q576" s="13"/>
      <c r="R576" s="14">
        <f>IF(AND(P576&gt;0,Q576&gt;0),ROUND((1-Q576/P576)*100,0),0)</f>
        <v>0</v>
      </c>
    </row>
    <row r="577" ht="20" customHeight="1" spans="1:18" x14ac:dyDescent="0.25">
      <c r="A577" s="15" t="s">
        <v>1806</v>
      </c>
      <c r="B577" s="16" t="s">
        <v>1807</v>
      </c>
      <c r="C577" s="16" t="s">
        <v>1808</v>
      </c>
      <c r="D577" s="16" t="s">
        <v>26</v>
      </c>
      <c r="E577" s="17" t="s">
        <v>26</v>
      </c>
      <c r="F577" s="17" t="s">
        <v>26</v>
      </c>
      <c r="G577" s="17" t="s">
        <v>26</v>
      </c>
      <c r="H577" s="17" t="s">
        <v>26</v>
      </c>
      <c r="I577" s="16" t="s">
        <v>26</v>
      </c>
      <c r="J577" s="16" t="s">
        <v>26</v>
      </c>
      <c r="K577" s="16" t="s">
        <v>26</v>
      </c>
      <c r="L577" s="18" t="s">
        <v>28</v>
      </c>
      <c r="M577" s="18" t="s">
        <v>28</v>
      </c>
      <c r="N577" s="20">
        <v>0</v>
      </c>
      <c r="O577" s="16" t="s">
        <v>26</v>
      </c>
      <c r="P577" s="13"/>
      <c r="Q577" s="13"/>
      <c r="R577" s="14">
        <f>IF(AND(P577&gt;0,Q577&gt;0),ROUND((1-Q577/P577)*100,0),0)</f>
        <v>0</v>
      </c>
    </row>
    <row r="578" ht="20" customHeight="1" spans="1:18" x14ac:dyDescent="0.25">
      <c r="A578" s="7" t="s">
        <v>1809</v>
      </c>
      <c r="B578" s="8" t="s">
        <v>1810</v>
      </c>
      <c r="C578" s="8" t="s">
        <v>1811</v>
      </c>
      <c r="D578" s="8" t="s">
        <v>26</v>
      </c>
      <c r="E578" s="9" t="s">
        <v>26</v>
      </c>
      <c r="F578" s="9" t="s">
        <v>26</v>
      </c>
      <c r="G578" s="9" t="s">
        <v>26</v>
      </c>
      <c r="H578" s="9" t="s">
        <v>26</v>
      </c>
      <c r="I578" s="8" t="s">
        <v>26</v>
      </c>
      <c r="J578" s="8" t="s">
        <v>26</v>
      </c>
      <c r="K578" s="8" t="s">
        <v>26</v>
      </c>
      <c r="L578" s="10" t="s">
        <v>28</v>
      </c>
      <c r="M578" s="10" t="s">
        <v>28</v>
      </c>
      <c r="N578" s="12">
        <v>0</v>
      </c>
      <c r="O578" s="8" t="s">
        <v>26</v>
      </c>
      <c r="P578" s="13"/>
      <c r="Q578" s="13"/>
      <c r="R578" s="14">
        <f>IF(AND(P578&gt;0,Q578&gt;0),ROUND((1-Q578/P578)*100,0),0)</f>
        <v>0</v>
      </c>
    </row>
    <row r="579" ht="20" customHeight="1" spans="1:18" x14ac:dyDescent="0.25">
      <c r="A579" s="15" t="s">
        <v>1812</v>
      </c>
      <c r="B579" s="16" t="s">
        <v>1813</v>
      </c>
      <c r="C579" s="16" t="s">
        <v>1814</v>
      </c>
      <c r="D579" s="16" t="s">
        <v>26</v>
      </c>
      <c r="E579" s="17" t="s">
        <v>26</v>
      </c>
      <c r="F579" s="17" t="s">
        <v>26</v>
      </c>
      <c r="G579" s="17" t="s">
        <v>26</v>
      </c>
      <c r="H579" s="17" t="s">
        <v>26</v>
      </c>
      <c r="I579" s="16" t="s">
        <v>26</v>
      </c>
      <c r="J579" s="16" t="s">
        <v>26</v>
      </c>
      <c r="K579" s="16" t="s">
        <v>26</v>
      </c>
      <c r="L579" s="18" t="s">
        <v>28</v>
      </c>
      <c r="M579" s="18" t="s">
        <v>28</v>
      </c>
      <c r="N579" s="20">
        <v>0</v>
      </c>
      <c r="O579" s="16" t="s">
        <v>26</v>
      </c>
      <c r="P579" s="13"/>
      <c r="Q579" s="13"/>
      <c r="R579" s="14">
        <f>IF(AND(P579&gt;0,Q579&gt;0),ROUND((1-Q579/P579)*100,0),0)</f>
        <v>0</v>
      </c>
    </row>
    <row r="580" ht="20" customHeight="1" spans="1:18" x14ac:dyDescent="0.25">
      <c r="A580" s="7" t="s">
        <v>1815</v>
      </c>
      <c r="B580" s="8" t="s">
        <v>1816</v>
      </c>
      <c r="C580" s="8" t="s">
        <v>1817</v>
      </c>
      <c r="D580" s="8" t="s">
        <v>26</v>
      </c>
      <c r="E580" s="9" t="s">
        <v>26</v>
      </c>
      <c r="F580" s="9" t="s">
        <v>26</v>
      </c>
      <c r="G580" s="9" t="s">
        <v>26</v>
      </c>
      <c r="H580" s="9" t="s">
        <v>26</v>
      </c>
      <c r="I580" s="8" t="s">
        <v>26</v>
      </c>
      <c r="J580" s="8" t="s">
        <v>26</v>
      </c>
      <c r="K580" s="8" t="s">
        <v>26</v>
      </c>
      <c r="L580" s="10" t="s">
        <v>28</v>
      </c>
      <c r="M580" s="10" t="s">
        <v>28</v>
      </c>
      <c r="N580" s="12">
        <v>0</v>
      </c>
      <c r="O580" s="8" t="s">
        <v>26</v>
      </c>
      <c r="P580" s="13"/>
      <c r="Q580" s="13"/>
      <c r="R580" s="14">
        <f>IF(AND(P580&gt;0,Q580&gt;0),ROUND((1-Q580/P580)*100,0),0)</f>
        <v>0</v>
      </c>
    </row>
    <row r="581" ht="20" customHeight="1" spans="1:18" x14ac:dyDescent="0.25">
      <c r="A581" s="15" t="s">
        <v>1818</v>
      </c>
      <c r="B581" s="16" t="s">
        <v>1819</v>
      </c>
      <c r="C581" s="16" t="s">
        <v>1820</v>
      </c>
      <c r="D581" s="16" t="s">
        <v>26</v>
      </c>
      <c r="E581" s="17" t="s">
        <v>26</v>
      </c>
      <c r="F581" s="17" t="s">
        <v>26</v>
      </c>
      <c r="G581" s="17" t="s">
        <v>26</v>
      </c>
      <c r="H581" s="17" t="s">
        <v>26</v>
      </c>
      <c r="I581" s="16" t="s">
        <v>26</v>
      </c>
      <c r="J581" s="16" t="s">
        <v>26</v>
      </c>
      <c r="K581" s="16" t="s">
        <v>26</v>
      </c>
      <c r="L581" s="18" t="s">
        <v>28</v>
      </c>
      <c r="M581" s="18" t="s">
        <v>28</v>
      </c>
      <c r="N581" s="20">
        <v>0</v>
      </c>
      <c r="O581" s="16" t="s">
        <v>26</v>
      </c>
      <c r="P581" s="13"/>
      <c r="Q581" s="13"/>
      <c r="R581" s="14">
        <f>IF(AND(P581&gt;0,Q581&gt;0),ROUND((1-Q581/P581)*100,0),0)</f>
        <v>0</v>
      </c>
    </row>
    <row r="582" ht="20" customHeight="1" spans="1:18" x14ac:dyDescent="0.25">
      <c r="A582" s="7" t="s">
        <v>1821</v>
      </c>
      <c r="B582" s="8" t="s">
        <v>1822</v>
      </c>
      <c r="C582" s="8" t="s">
        <v>1823</v>
      </c>
      <c r="D582" s="8" t="s">
        <v>26</v>
      </c>
      <c r="E582" s="9" t="s">
        <v>26</v>
      </c>
      <c r="F582" s="9" t="s">
        <v>26</v>
      </c>
      <c r="G582" s="9" t="s">
        <v>26</v>
      </c>
      <c r="H582" s="9" t="s">
        <v>26</v>
      </c>
      <c r="I582" s="8" t="s">
        <v>26</v>
      </c>
      <c r="J582" s="8" t="s">
        <v>26</v>
      </c>
      <c r="K582" s="8" t="s">
        <v>26</v>
      </c>
      <c r="L582" s="10" t="s">
        <v>28</v>
      </c>
      <c r="M582" s="10" t="s">
        <v>28</v>
      </c>
      <c r="N582" s="12">
        <v>0</v>
      </c>
      <c r="O582" s="8" t="s">
        <v>26</v>
      </c>
      <c r="P582" s="13"/>
      <c r="Q582" s="13"/>
      <c r="R582" s="14">
        <f>IF(AND(P582&gt;0,Q582&gt;0),ROUND((1-Q582/P582)*100,0),0)</f>
        <v>0</v>
      </c>
    </row>
    <row r="583" ht="20" customHeight="1" spans="1:18" x14ac:dyDescent="0.25">
      <c r="A583" s="15" t="s">
        <v>1824</v>
      </c>
      <c r="B583" s="16" t="s">
        <v>1825</v>
      </c>
      <c r="C583" s="16" t="s">
        <v>1826</v>
      </c>
      <c r="D583" s="16" t="s">
        <v>26</v>
      </c>
      <c r="E583" s="17" t="s">
        <v>26</v>
      </c>
      <c r="F583" s="17" t="s">
        <v>26</v>
      </c>
      <c r="G583" s="17" t="s">
        <v>26</v>
      </c>
      <c r="H583" s="17" t="s">
        <v>26</v>
      </c>
      <c r="I583" s="16" t="s">
        <v>26</v>
      </c>
      <c r="J583" s="16" t="s">
        <v>26</v>
      </c>
      <c r="K583" s="16" t="s">
        <v>26</v>
      </c>
      <c r="L583" s="18" t="s">
        <v>28</v>
      </c>
      <c r="M583" s="18" t="s">
        <v>28</v>
      </c>
      <c r="N583" s="20">
        <v>0</v>
      </c>
      <c r="O583" s="16" t="s">
        <v>26</v>
      </c>
      <c r="P583" s="13"/>
      <c r="Q583" s="13"/>
      <c r="R583" s="14">
        <f>IF(AND(P583&gt;0,Q583&gt;0),ROUND((1-Q583/P583)*100,0),0)</f>
        <v>0</v>
      </c>
    </row>
    <row r="584" ht="20" customHeight="1" spans="1:18" x14ac:dyDescent="0.25">
      <c r="A584" s="7" t="s">
        <v>1827</v>
      </c>
      <c r="B584" s="8" t="s">
        <v>1828</v>
      </c>
      <c r="C584" s="8" t="s">
        <v>1829</v>
      </c>
      <c r="D584" s="8" t="s">
        <v>26</v>
      </c>
      <c r="E584" s="9" t="s">
        <v>26</v>
      </c>
      <c r="F584" s="9" t="s">
        <v>26</v>
      </c>
      <c r="G584" s="9" t="s">
        <v>26</v>
      </c>
      <c r="H584" s="9" t="s">
        <v>26</v>
      </c>
      <c r="I584" s="8" t="s">
        <v>26</v>
      </c>
      <c r="J584" s="8" t="s">
        <v>26</v>
      </c>
      <c r="K584" s="8" t="s">
        <v>26</v>
      </c>
      <c r="L584" s="10" t="s">
        <v>28</v>
      </c>
      <c r="M584" s="10" t="s">
        <v>28</v>
      </c>
      <c r="N584" s="12">
        <v>0</v>
      </c>
      <c r="O584" s="8" t="s">
        <v>26</v>
      </c>
      <c r="P584" s="13"/>
      <c r="Q584" s="13"/>
      <c r="R584" s="14">
        <f>IF(AND(P584&gt;0,Q584&gt;0),ROUND((1-Q584/P584)*100,0),0)</f>
        <v>0</v>
      </c>
    </row>
    <row r="585" ht="20" customHeight="1" spans="1:18" x14ac:dyDescent="0.25">
      <c r="A585" s="15" t="s">
        <v>1830</v>
      </c>
      <c r="B585" s="16" t="s">
        <v>1831</v>
      </c>
      <c r="C585" s="16" t="s">
        <v>1832</v>
      </c>
      <c r="D585" s="16" t="s">
        <v>26</v>
      </c>
      <c r="E585" s="17" t="s">
        <v>26</v>
      </c>
      <c r="F585" s="17" t="s">
        <v>26</v>
      </c>
      <c r="G585" s="17" t="s">
        <v>26</v>
      </c>
      <c r="H585" s="17" t="s">
        <v>26</v>
      </c>
      <c r="I585" s="16" t="s">
        <v>26</v>
      </c>
      <c r="J585" s="16" t="s">
        <v>26</v>
      </c>
      <c r="K585" s="16" t="s">
        <v>26</v>
      </c>
      <c r="L585" s="18" t="s">
        <v>28</v>
      </c>
      <c r="M585" s="18" t="s">
        <v>28</v>
      </c>
      <c r="N585" s="20">
        <v>0</v>
      </c>
      <c r="O585" s="16" t="s">
        <v>26</v>
      </c>
      <c r="P585" s="13"/>
      <c r="Q585" s="13"/>
      <c r="R585" s="14">
        <f>IF(AND(P585&gt;0,Q585&gt;0),ROUND((1-Q585/P585)*100,0),0)</f>
        <v>0</v>
      </c>
    </row>
    <row r="586" ht="20" customHeight="1" spans="1:18" x14ac:dyDescent="0.25">
      <c r="A586" s="7" t="s">
        <v>1833</v>
      </c>
      <c r="B586" s="8" t="s">
        <v>1834</v>
      </c>
      <c r="C586" s="8" t="s">
        <v>1835</v>
      </c>
      <c r="D586" s="8" t="s">
        <v>26</v>
      </c>
      <c r="E586" s="9" t="s">
        <v>26</v>
      </c>
      <c r="F586" s="9" t="s">
        <v>26</v>
      </c>
      <c r="G586" s="9" t="s">
        <v>26</v>
      </c>
      <c r="H586" s="9" t="s">
        <v>26</v>
      </c>
      <c r="I586" s="8" t="s">
        <v>26</v>
      </c>
      <c r="J586" s="8" t="s">
        <v>26</v>
      </c>
      <c r="K586" s="8" t="s">
        <v>26</v>
      </c>
      <c r="L586" s="10" t="s">
        <v>28</v>
      </c>
      <c r="M586" s="10" t="s">
        <v>28</v>
      </c>
      <c r="N586" s="12">
        <v>0</v>
      </c>
      <c r="O586" s="8" t="s">
        <v>26</v>
      </c>
      <c r="P586" s="13"/>
      <c r="Q586" s="13"/>
      <c r="R586" s="14">
        <f>IF(AND(P586&gt;0,Q586&gt;0),ROUND((1-Q586/P586)*100,0),0)</f>
        <v>0</v>
      </c>
    </row>
    <row r="587" ht="20" customHeight="1" spans="1:18" x14ac:dyDescent="0.25">
      <c r="A587" s="15" t="s">
        <v>1836</v>
      </c>
      <c r="B587" s="16" t="s">
        <v>1837</v>
      </c>
      <c r="C587" s="16" t="s">
        <v>1838</v>
      </c>
      <c r="D587" s="16" t="s">
        <v>26</v>
      </c>
      <c r="E587" s="17" t="s">
        <v>26</v>
      </c>
      <c r="F587" s="17" t="s">
        <v>26</v>
      </c>
      <c r="G587" s="17" t="s">
        <v>26</v>
      </c>
      <c r="H587" s="17" t="s">
        <v>26</v>
      </c>
      <c r="I587" s="16" t="s">
        <v>26</v>
      </c>
      <c r="J587" s="16" t="s">
        <v>26</v>
      </c>
      <c r="K587" s="16" t="s">
        <v>26</v>
      </c>
      <c r="L587" s="18" t="s">
        <v>28</v>
      </c>
      <c r="M587" s="18" t="s">
        <v>28</v>
      </c>
      <c r="N587" s="20">
        <v>0</v>
      </c>
      <c r="O587" s="16" t="s">
        <v>26</v>
      </c>
      <c r="P587" s="13"/>
      <c r="Q587" s="13"/>
      <c r="R587" s="14">
        <f>IF(AND(P587&gt;0,Q587&gt;0),ROUND((1-Q587/P587)*100,0),0)</f>
        <v>0</v>
      </c>
    </row>
    <row r="588" ht="20" customHeight="1" spans="1:18" x14ac:dyDescent="0.25">
      <c r="A588" s="7" t="s">
        <v>1839</v>
      </c>
      <c r="B588" s="8" t="s">
        <v>1840</v>
      </c>
      <c r="C588" s="8" t="s">
        <v>1841</v>
      </c>
      <c r="D588" s="8" t="s">
        <v>26</v>
      </c>
      <c r="E588" s="9" t="s">
        <v>26</v>
      </c>
      <c r="F588" s="9" t="s">
        <v>26</v>
      </c>
      <c r="G588" s="9" t="s">
        <v>26</v>
      </c>
      <c r="H588" s="9" t="s">
        <v>26</v>
      </c>
      <c r="I588" s="8" t="s">
        <v>26</v>
      </c>
      <c r="J588" s="8" t="s">
        <v>26</v>
      </c>
      <c r="K588" s="8" t="s">
        <v>26</v>
      </c>
      <c r="L588" s="10" t="s">
        <v>28</v>
      </c>
      <c r="M588" s="10" t="s">
        <v>28</v>
      </c>
      <c r="N588" s="12">
        <v>0</v>
      </c>
      <c r="O588" s="8" t="s">
        <v>26</v>
      </c>
      <c r="P588" s="13"/>
      <c r="Q588" s="13"/>
      <c r="R588" s="14">
        <f>IF(AND(P588&gt;0,Q588&gt;0),ROUND((1-Q588/P588)*100,0),0)</f>
        <v>0</v>
      </c>
    </row>
    <row r="589" ht="20" customHeight="1" spans="1:18" x14ac:dyDescent="0.25">
      <c r="A589" s="15" t="s">
        <v>1842</v>
      </c>
      <c r="B589" s="16" t="s">
        <v>1843</v>
      </c>
      <c r="C589" s="16" t="s">
        <v>1844</v>
      </c>
      <c r="D589" s="16" t="s">
        <v>26</v>
      </c>
      <c r="E589" s="17" t="s">
        <v>26</v>
      </c>
      <c r="F589" s="17" t="s">
        <v>26</v>
      </c>
      <c r="G589" s="17" t="s">
        <v>26</v>
      </c>
      <c r="H589" s="17" t="s">
        <v>26</v>
      </c>
      <c r="I589" s="16" t="s">
        <v>26</v>
      </c>
      <c r="J589" s="16" t="s">
        <v>26</v>
      </c>
      <c r="K589" s="16" t="s">
        <v>26</v>
      </c>
      <c r="L589" s="18" t="s">
        <v>28</v>
      </c>
      <c r="M589" s="18" t="s">
        <v>28</v>
      </c>
      <c r="N589" s="20">
        <v>0</v>
      </c>
      <c r="O589" s="16" t="s">
        <v>26</v>
      </c>
      <c r="P589" s="13"/>
      <c r="Q589" s="13"/>
      <c r="R589" s="14">
        <f>IF(AND(P589&gt;0,Q589&gt;0),ROUND((1-Q589/P589)*100,0),0)</f>
        <v>0</v>
      </c>
    </row>
    <row r="590" ht="20" customHeight="1" spans="1:18" x14ac:dyDescent="0.25">
      <c r="A590" s="7" t="s">
        <v>1845</v>
      </c>
      <c r="B590" s="8" t="s">
        <v>1846</v>
      </c>
      <c r="C590" s="8" t="s">
        <v>1847</v>
      </c>
      <c r="D590" s="8" t="s">
        <v>26</v>
      </c>
      <c r="E590" s="9" t="s">
        <v>26</v>
      </c>
      <c r="F590" s="9" t="s">
        <v>26</v>
      </c>
      <c r="G590" s="9" t="s">
        <v>26</v>
      </c>
      <c r="H590" s="9" t="s">
        <v>26</v>
      </c>
      <c r="I590" s="8" t="s">
        <v>26</v>
      </c>
      <c r="J590" s="8" t="s">
        <v>26</v>
      </c>
      <c r="K590" s="8" t="s">
        <v>26</v>
      </c>
      <c r="L590" s="10" t="s">
        <v>28</v>
      </c>
      <c r="M590" s="10" t="s">
        <v>28</v>
      </c>
      <c r="N590" s="12">
        <v>0</v>
      </c>
      <c r="O590" s="8" t="s">
        <v>26</v>
      </c>
      <c r="P590" s="13"/>
      <c r="Q590" s="13"/>
      <c r="R590" s="14">
        <f>IF(AND(P590&gt;0,Q590&gt;0),ROUND((1-Q590/P590)*100,0),0)</f>
        <v>0</v>
      </c>
    </row>
    <row r="591" ht="20" customHeight="1" spans="1:18" x14ac:dyDescent="0.25">
      <c r="A591" s="15" t="s">
        <v>1848</v>
      </c>
      <c r="B591" s="16" t="s">
        <v>1849</v>
      </c>
      <c r="C591" s="16" t="s">
        <v>1850</v>
      </c>
      <c r="D591" s="16" t="s">
        <v>26</v>
      </c>
      <c r="E591" s="17" t="s">
        <v>26</v>
      </c>
      <c r="F591" s="17" t="s">
        <v>26</v>
      </c>
      <c r="G591" s="17" t="s">
        <v>26</v>
      </c>
      <c r="H591" s="17" t="s">
        <v>26</v>
      </c>
      <c r="I591" s="16" t="s">
        <v>26</v>
      </c>
      <c r="J591" s="16" t="s">
        <v>26</v>
      </c>
      <c r="K591" s="16" t="s">
        <v>26</v>
      </c>
      <c r="L591" s="18" t="s">
        <v>28</v>
      </c>
      <c r="M591" s="18" t="s">
        <v>28</v>
      </c>
      <c r="N591" s="20">
        <v>0</v>
      </c>
      <c r="O591" s="16" t="s">
        <v>26</v>
      </c>
      <c r="P591" s="13"/>
      <c r="Q591" s="13"/>
      <c r="R591" s="14">
        <f>IF(AND(P591&gt;0,Q591&gt;0),ROUND((1-Q591/P591)*100,0),0)</f>
        <v>0</v>
      </c>
    </row>
    <row r="592" ht="20" customHeight="1" spans="1:18" x14ac:dyDescent="0.25">
      <c r="A592" s="7" t="s">
        <v>1851</v>
      </c>
      <c r="B592" s="8" t="s">
        <v>1852</v>
      </c>
      <c r="C592" s="8" t="s">
        <v>1853</v>
      </c>
      <c r="D592" s="8" t="s">
        <v>26</v>
      </c>
      <c r="E592" s="9" t="s">
        <v>26</v>
      </c>
      <c r="F592" s="9" t="s">
        <v>26</v>
      </c>
      <c r="G592" s="9" t="s">
        <v>26</v>
      </c>
      <c r="H592" s="9" t="s">
        <v>26</v>
      </c>
      <c r="I592" s="8" t="s">
        <v>26</v>
      </c>
      <c r="J592" s="8" t="s">
        <v>26</v>
      </c>
      <c r="K592" s="8" t="s">
        <v>26</v>
      </c>
      <c r="L592" s="10" t="s">
        <v>28</v>
      </c>
      <c r="M592" s="10" t="s">
        <v>28</v>
      </c>
      <c r="N592" s="12">
        <v>0</v>
      </c>
      <c r="O592" s="8" t="s">
        <v>26</v>
      </c>
      <c r="P592" s="13"/>
      <c r="Q592" s="13"/>
      <c r="R592" s="14">
        <f>IF(AND(P592&gt;0,Q592&gt;0),ROUND((1-Q592/P592)*100,0),0)</f>
        <v>0</v>
      </c>
    </row>
    <row r="593" ht="20" customHeight="1" spans="1:18" x14ac:dyDescent="0.25">
      <c r="A593" s="15" t="s">
        <v>1854</v>
      </c>
      <c r="B593" s="16" t="s">
        <v>1855</v>
      </c>
      <c r="C593" s="16" t="s">
        <v>1856</v>
      </c>
      <c r="D593" s="16" t="s">
        <v>26</v>
      </c>
      <c r="E593" s="17" t="s">
        <v>26</v>
      </c>
      <c r="F593" s="17" t="s">
        <v>26</v>
      </c>
      <c r="G593" s="17" t="s">
        <v>26</v>
      </c>
      <c r="H593" s="17" t="s">
        <v>26</v>
      </c>
      <c r="I593" s="16" t="s">
        <v>26</v>
      </c>
      <c r="J593" s="16" t="s">
        <v>26</v>
      </c>
      <c r="K593" s="16" t="s">
        <v>26</v>
      </c>
      <c r="L593" s="18" t="s">
        <v>28</v>
      </c>
      <c r="M593" s="18" t="s">
        <v>28</v>
      </c>
      <c r="N593" s="20">
        <v>0</v>
      </c>
      <c r="O593" s="16" t="s">
        <v>26</v>
      </c>
      <c r="P593" s="13"/>
      <c r="Q593" s="13"/>
      <c r="R593" s="14">
        <f>IF(AND(P593&gt;0,Q593&gt;0),ROUND((1-Q593/P593)*100,0),0)</f>
        <v>0</v>
      </c>
    </row>
    <row r="594" ht="20" customHeight="1" spans="1:18" x14ac:dyDescent="0.25">
      <c r="A594" s="7" t="s">
        <v>1857</v>
      </c>
      <c r="B594" s="8" t="s">
        <v>1858</v>
      </c>
      <c r="C594" s="8" t="s">
        <v>1859</v>
      </c>
      <c r="D594" s="8" t="s">
        <v>26</v>
      </c>
      <c r="E594" s="9" t="s">
        <v>26</v>
      </c>
      <c r="F594" s="9" t="s">
        <v>26</v>
      </c>
      <c r="G594" s="9" t="s">
        <v>26</v>
      </c>
      <c r="H594" s="9" t="s">
        <v>26</v>
      </c>
      <c r="I594" s="8" t="s">
        <v>26</v>
      </c>
      <c r="J594" s="8" t="s">
        <v>26</v>
      </c>
      <c r="K594" s="8" t="s">
        <v>26</v>
      </c>
      <c r="L594" s="10" t="s">
        <v>28</v>
      </c>
      <c r="M594" s="10" t="s">
        <v>28</v>
      </c>
      <c r="N594" s="12">
        <v>0</v>
      </c>
      <c r="O594" s="8" t="s">
        <v>26</v>
      </c>
      <c r="P594" s="13"/>
      <c r="Q594" s="13"/>
      <c r="R594" s="14">
        <f>IF(AND(P594&gt;0,Q594&gt;0),ROUND((1-Q594/P594)*100,0),0)</f>
        <v>0</v>
      </c>
    </row>
    <row r="595" ht="20" customHeight="1" spans="1:18" x14ac:dyDescent="0.25">
      <c r="A595" s="15" t="s">
        <v>1860</v>
      </c>
      <c r="B595" s="16" t="s">
        <v>1861</v>
      </c>
      <c r="C595" s="16" t="s">
        <v>1862</v>
      </c>
      <c r="D595" s="16" t="s">
        <v>26</v>
      </c>
      <c r="E595" s="17" t="s">
        <v>26</v>
      </c>
      <c r="F595" s="17" t="s">
        <v>26</v>
      </c>
      <c r="G595" s="17" t="s">
        <v>26</v>
      </c>
      <c r="H595" s="17" t="s">
        <v>26</v>
      </c>
      <c r="I595" s="16" t="s">
        <v>26</v>
      </c>
      <c r="J595" s="16" t="s">
        <v>26</v>
      </c>
      <c r="K595" s="16" t="s">
        <v>26</v>
      </c>
      <c r="L595" s="18" t="s">
        <v>28</v>
      </c>
      <c r="M595" s="18" t="s">
        <v>28</v>
      </c>
      <c r="N595" s="20">
        <v>0</v>
      </c>
      <c r="O595" s="16" t="s">
        <v>26</v>
      </c>
      <c r="P595" s="13"/>
      <c r="Q595" s="13"/>
      <c r="R595" s="14">
        <f>IF(AND(P595&gt;0,Q595&gt;0),ROUND((1-Q595/P595)*100,0),0)</f>
        <v>0</v>
      </c>
    </row>
    <row r="596" ht="20" customHeight="1" spans="1:18" x14ac:dyDescent="0.25">
      <c r="A596" s="7" t="s">
        <v>1863</v>
      </c>
      <c r="B596" s="8" t="s">
        <v>1864</v>
      </c>
      <c r="C596" s="8" t="s">
        <v>1865</v>
      </c>
      <c r="D596" s="8" t="s">
        <v>26</v>
      </c>
      <c r="E596" s="9" t="s">
        <v>26</v>
      </c>
      <c r="F596" s="9" t="s">
        <v>26</v>
      </c>
      <c r="G596" s="9" t="s">
        <v>26</v>
      </c>
      <c r="H596" s="9" t="s">
        <v>26</v>
      </c>
      <c r="I596" s="8" t="s">
        <v>26</v>
      </c>
      <c r="J596" s="8" t="s">
        <v>26</v>
      </c>
      <c r="K596" s="8" t="s">
        <v>26</v>
      </c>
      <c r="L596" s="10" t="s">
        <v>28</v>
      </c>
      <c r="M596" s="10" t="s">
        <v>28</v>
      </c>
      <c r="N596" s="12">
        <v>0</v>
      </c>
      <c r="O596" s="8" t="s">
        <v>26</v>
      </c>
      <c r="P596" s="13"/>
      <c r="Q596" s="13"/>
      <c r="R596" s="14">
        <f>IF(AND(P596&gt;0,Q596&gt;0),ROUND((1-Q596/P596)*100,0),0)</f>
        <v>0</v>
      </c>
    </row>
    <row r="597" ht="20" customHeight="1" spans="1:18" x14ac:dyDescent="0.25">
      <c r="A597" s="15" t="s">
        <v>1866</v>
      </c>
      <c r="B597" s="16" t="s">
        <v>1867</v>
      </c>
      <c r="C597" s="16" t="s">
        <v>1868</v>
      </c>
      <c r="D597" s="16" t="s">
        <v>26</v>
      </c>
      <c r="E597" s="17" t="s">
        <v>26</v>
      </c>
      <c r="F597" s="17" t="s">
        <v>26</v>
      </c>
      <c r="G597" s="17" t="s">
        <v>26</v>
      </c>
      <c r="H597" s="17" t="s">
        <v>26</v>
      </c>
      <c r="I597" s="16" t="s">
        <v>26</v>
      </c>
      <c r="J597" s="16" t="s">
        <v>26</v>
      </c>
      <c r="K597" s="16" t="s">
        <v>26</v>
      </c>
      <c r="L597" s="18" t="s">
        <v>28</v>
      </c>
      <c r="M597" s="18" t="s">
        <v>28</v>
      </c>
      <c r="N597" s="20">
        <v>0</v>
      </c>
      <c r="O597" s="16" t="s">
        <v>26</v>
      </c>
      <c r="P597" s="13"/>
      <c r="Q597" s="13"/>
      <c r="R597" s="14">
        <f>IF(AND(P597&gt;0,Q597&gt;0),ROUND((1-Q597/P597)*100,0),0)</f>
        <v>0</v>
      </c>
    </row>
    <row r="598" ht="20" customHeight="1" spans="1:18" x14ac:dyDescent="0.25">
      <c r="A598" s="7" t="s">
        <v>1869</v>
      </c>
      <c r="B598" s="8" t="s">
        <v>1870</v>
      </c>
      <c r="C598" s="8" t="s">
        <v>1871</v>
      </c>
      <c r="D598" s="8" t="s">
        <v>26</v>
      </c>
      <c r="E598" s="9" t="s">
        <v>26</v>
      </c>
      <c r="F598" s="9" t="s">
        <v>26</v>
      </c>
      <c r="G598" s="9" t="s">
        <v>26</v>
      </c>
      <c r="H598" s="9" t="s">
        <v>26</v>
      </c>
      <c r="I598" s="8" t="s">
        <v>26</v>
      </c>
      <c r="J598" s="8" t="s">
        <v>26</v>
      </c>
      <c r="K598" s="8" t="s">
        <v>26</v>
      </c>
      <c r="L598" s="10" t="s">
        <v>28</v>
      </c>
      <c r="M598" s="10" t="s">
        <v>28</v>
      </c>
      <c r="N598" s="12">
        <v>0</v>
      </c>
      <c r="O598" s="8" t="s">
        <v>26</v>
      </c>
      <c r="P598" s="13"/>
      <c r="Q598" s="13"/>
      <c r="R598" s="14">
        <f>IF(AND(P598&gt;0,Q598&gt;0),ROUND((1-Q598/P598)*100,0),0)</f>
        <v>0</v>
      </c>
    </row>
    <row r="599" ht="20" customHeight="1" spans="1:18" x14ac:dyDescent="0.25">
      <c r="A599" s="15" t="s">
        <v>1872</v>
      </c>
      <c r="B599" s="16" t="s">
        <v>1873</v>
      </c>
      <c r="C599" s="16" t="s">
        <v>1874</v>
      </c>
      <c r="D599" s="16" t="s">
        <v>26</v>
      </c>
      <c r="E599" s="17" t="s">
        <v>26</v>
      </c>
      <c r="F599" s="17" t="s">
        <v>26</v>
      </c>
      <c r="G599" s="17" t="s">
        <v>26</v>
      </c>
      <c r="H599" s="17" t="s">
        <v>26</v>
      </c>
      <c r="I599" s="16" t="s">
        <v>26</v>
      </c>
      <c r="J599" s="16" t="s">
        <v>26</v>
      </c>
      <c r="K599" s="16" t="s">
        <v>26</v>
      </c>
      <c r="L599" s="18" t="s">
        <v>28</v>
      </c>
      <c r="M599" s="18" t="s">
        <v>28</v>
      </c>
      <c r="N599" s="20">
        <v>0</v>
      </c>
      <c r="O599" s="16" t="s">
        <v>26</v>
      </c>
      <c r="P599" s="13"/>
      <c r="Q599" s="13"/>
      <c r="R599" s="14">
        <f>IF(AND(P599&gt;0,Q599&gt;0),ROUND((1-Q599/P599)*100,0),0)</f>
        <v>0</v>
      </c>
    </row>
    <row r="600" ht="20" customHeight="1" spans="1:18" x14ac:dyDescent="0.25">
      <c r="A600" s="7" t="s">
        <v>1875</v>
      </c>
      <c r="B600" s="8" t="s">
        <v>1876</v>
      </c>
      <c r="C600" s="8" t="s">
        <v>1877</v>
      </c>
      <c r="D600" s="8" t="s">
        <v>26</v>
      </c>
      <c r="E600" s="9" t="s">
        <v>26</v>
      </c>
      <c r="F600" s="9" t="s">
        <v>26</v>
      </c>
      <c r="G600" s="9" t="s">
        <v>26</v>
      </c>
      <c r="H600" s="9" t="s">
        <v>26</v>
      </c>
      <c r="I600" s="8" t="s">
        <v>26</v>
      </c>
      <c r="J600" s="8" t="s">
        <v>26</v>
      </c>
      <c r="K600" s="8" t="s">
        <v>26</v>
      </c>
      <c r="L600" s="10" t="s">
        <v>28</v>
      </c>
      <c r="M600" s="10" t="s">
        <v>28</v>
      </c>
      <c r="N600" s="12">
        <v>0</v>
      </c>
      <c r="O600" s="8" t="s">
        <v>26</v>
      </c>
      <c r="P600" s="13"/>
      <c r="Q600" s="13"/>
      <c r="R600" s="14">
        <f>IF(AND(P600&gt;0,Q600&gt;0),ROUND((1-Q600/P600)*100,0),0)</f>
        <v>0</v>
      </c>
    </row>
  </sheetData>
  <mergeCells count="2">
    <mergeCell ref="A1:R1"/>
    <mergeCell ref="A2:R2"/>
  </mergeCells>
  <dataValidations count="6">
    <dataValidation type="list" allowBlank="1" sqref="E4:E900">
      <formula1>Listas!$A$2:$A$3</formula1>
    </dataValidation>
    <dataValidation type="list" allowBlank="1" sqref="F4:F900">
      <formula1>Listas!$B$2:$B$10</formula1>
    </dataValidation>
    <dataValidation type="list" allowBlank="1" sqref="G4:G900">
      <formula1>Listas!$C$2:$C$44</formula1>
    </dataValidation>
    <dataValidation type="list" allowBlank="1" sqref="H4:H900">
      <formula1>Listas!$D$2:$D$94</formula1>
    </dataValidation>
    <dataValidation type="list" allowBlank="1" sqref="L4:L900">
      <formula1>Listas!$F$2:$F$3</formula1>
    </dataValidation>
    <dataValidation type="list" allowBlank="1" sqref="M4:M900">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876"/>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1878</v>
      </c>
      <c r="B1" s="21"/>
      <c r="C1" s="21"/>
      <c r="D1" s="21"/>
      <c r="E1" s="21"/>
      <c r="F1" s="21"/>
      <c r="G1" s="21"/>
      <c r="H1" s="21"/>
      <c r="I1" s="21"/>
      <c r="J1" s="21"/>
      <c r="K1" s="21"/>
      <c r="L1" s="21"/>
    </row>
    <row r="2" ht="28" customHeight="1" spans="1:12" x14ac:dyDescent="0.25">
      <c r="A2" s="2" t="s">
        <v>1879</v>
      </c>
      <c r="B2" s="2"/>
      <c r="C2" s="2"/>
      <c r="D2" s="2"/>
      <c r="E2" s="2"/>
      <c r="F2" s="2"/>
      <c r="G2" s="2"/>
      <c r="H2" s="2"/>
      <c r="I2" s="2"/>
      <c r="J2" s="2"/>
      <c r="K2" s="2"/>
      <c r="L2" s="2"/>
    </row>
    <row r="3" ht="30" customHeight="1" spans="1:12" x14ac:dyDescent="0.25">
      <c r="A3" s="22" t="s">
        <v>1880</v>
      </c>
      <c r="B3" s="22" t="s">
        <v>1881</v>
      </c>
      <c r="C3" s="6" t="s">
        <v>1882</v>
      </c>
      <c r="D3" s="5" t="s">
        <v>3</v>
      </c>
      <c r="E3" s="5" t="s">
        <v>1883</v>
      </c>
      <c r="F3" s="5" t="s">
        <v>15</v>
      </c>
      <c r="G3" s="22" t="s">
        <v>17</v>
      </c>
      <c r="H3" s="5" t="s">
        <v>18</v>
      </c>
      <c r="I3" s="6" t="s">
        <v>19</v>
      </c>
      <c r="J3" s="5" t="s">
        <v>13</v>
      </c>
      <c r="K3" s="5" t="s">
        <v>1884</v>
      </c>
      <c r="L3" s="23" t="s">
        <v>1885</v>
      </c>
    </row>
    <row r="4" ht="20" customHeight="1" spans="1:12" x14ac:dyDescent="0.25">
      <c r="A4" s="7" t="s">
        <v>1886</v>
      </c>
      <c r="B4" s="7" t="s">
        <v>20</v>
      </c>
      <c r="C4" s="24">
        <f>IF(B4&lt;&gt;"",IFERROR(VLOOKUP(B4,'📦 Productos'!A:C,3,FALSE),IFERROR(VLOOKUP(B4&amp;"",'📦 Productos'!A:C,3,FALSE),IFERROR(VLOOKUP(VALUE(B4),'📦 Productos'!A:C,3,FALSE),""))),"")</f>
      </c>
      <c r="D4" s="7" t="s">
        <v>21</v>
      </c>
      <c r="E4" s="8" t="s">
        <v>1887</v>
      </c>
      <c r="F4" s="12">
        <v>0</v>
      </c>
      <c r="G4" s="25">
        <v>196000</v>
      </c>
      <c r="H4" s="26"/>
      <c r="I4" s="14">
        <f>IF(AND(G4&gt;0,H4&gt;0),ROUND((1-H4/G4)*100,0),0)</f>
        <v>0</v>
      </c>
      <c r="J4" s="27" t="s">
        <v>29</v>
      </c>
      <c r="K4" s="12" t="s">
        <v>1888</v>
      </c>
      <c r="L4" s="8" t="s">
        <v>26</v>
      </c>
    </row>
    <row r="5" ht="20" customHeight="1" spans="1:12" x14ac:dyDescent="0.25">
      <c r="A5" s="28" t="s">
        <v>1889</v>
      </c>
      <c r="B5" s="28" t="s">
        <v>20</v>
      </c>
      <c r="C5" s="24">
        <f>IF(B5&lt;&gt;"",IFERROR(VLOOKUP(B5,'📦 Productos'!A:C,3,FALSE),IFERROR(VLOOKUP(B5&amp;"",'📦 Productos'!A:C,3,FALSE),IFERROR(VLOOKUP(VALUE(B5),'📦 Productos'!A:C,3,FALSE),""))),"")</f>
      </c>
      <c r="D5" s="28" t="s">
        <v>1890</v>
      </c>
      <c r="E5" s="29" t="s">
        <v>1891</v>
      </c>
      <c r="F5" s="30">
        <v>0</v>
      </c>
      <c r="G5" s="31">
        <v>258000</v>
      </c>
      <c r="H5" s="32"/>
      <c r="I5" s="14">
        <f>IF(AND(G5&gt;0,H5&gt;0),ROUND((1-H5/G5)*100,0),0)</f>
        <v>0</v>
      </c>
      <c r="J5" s="33" t="s">
        <v>29</v>
      </c>
      <c r="K5" s="30" t="s">
        <v>1888</v>
      </c>
      <c r="L5" s="29" t="s">
        <v>26</v>
      </c>
    </row>
    <row r="6" ht="20" customHeight="1" spans="1:12" x14ac:dyDescent="0.25">
      <c r="A6" s="7" t="s">
        <v>1892</v>
      </c>
      <c r="B6" s="7" t="s">
        <v>31</v>
      </c>
      <c r="C6" s="24">
        <f>IF(B6&lt;&gt;"",IFERROR(VLOOKUP(B6,'📦 Productos'!A:C,3,FALSE),IFERROR(VLOOKUP(B6&amp;"",'📦 Productos'!A:C,3,FALSE),IFERROR(VLOOKUP(VALUE(B6),'📦 Productos'!A:C,3,FALSE),""))),"")</f>
      </c>
      <c r="D6" s="7" t="s">
        <v>32</v>
      </c>
      <c r="E6" s="8" t="s">
        <v>1893</v>
      </c>
      <c r="F6" s="12">
        <v>0</v>
      </c>
      <c r="G6" s="25">
        <v>105000</v>
      </c>
      <c r="H6" s="26"/>
      <c r="I6" s="14">
        <f>IF(AND(G6&gt;0,H6&gt;0),ROUND((1-H6/G6)*100,0),0)</f>
        <v>0</v>
      </c>
      <c r="J6" s="27" t="s">
        <v>29</v>
      </c>
      <c r="K6" s="12" t="s">
        <v>1888</v>
      </c>
      <c r="L6" s="8" t="s">
        <v>26</v>
      </c>
    </row>
    <row r="7" ht="20" customHeight="1" spans="1:12" x14ac:dyDescent="0.25">
      <c r="A7" s="28" t="s">
        <v>1894</v>
      </c>
      <c r="B7" s="28" t="s">
        <v>31</v>
      </c>
      <c r="C7" s="24">
        <f>IF(B7&lt;&gt;"",IFERROR(VLOOKUP(B7,'📦 Productos'!A:C,3,FALSE),IFERROR(VLOOKUP(B7&amp;"",'📦 Productos'!A:C,3,FALSE),IFERROR(VLOOKUP(VALUE(B7),'📦 Productos'!A:C,3,FALSE),""))),"")</f>
      </c>
      <c r="D7" s="28" t="s">
        <v>1895</v>
      </c>
      <c r="E7" s="29" t="s">
        <v>1896</v>
      </c>
      <c r="F7" s="30">
        <v>0</v>
      </c>
      <c r="G7" s="31">
        <v>218000</v>
      </c>
      <c r="H7" s="32"/>
      <c r="I7" s="14">
        <f>IF(AND(G7&gt;0,H7&gt;0),ROUND((1-H7/G7)*100,0),0)</f>
        <v>0</v>
      </c>
      <c r="J7" s="33" t="s">
        <v>29</v>
      </c>
      <c r="K7" s="30" t="s">
        <v>1888</v>
      </c>
      <c r="L7" s="29" t="s">
        <v>26</v>
      </c>
    </row>
    <row r="8" ht="20" customHeight="1" spans="1:12" x14ac:dyDescent="0.25">
      <c r="A8" s="7" t="s">
        <v>1897</v>
      </c>
      <c r="B8" s="7" t="s">
        <v>31</v>
      </c>
      <c r="C8" s="24">
        <f>IF(B8&lt;&gt;"",IFERROR(VLOOKUP(B8,'📦 Productos'!A:C,3,FALSE),IFERROR(VLOOKUP(B8&amp;"",'📦 Productos'!A:C,3,FALSE),IFERROR(VLOOKUP(VALUE(B8),'📦 Productos'!A:C,3,FALSE),""))),"")</f>
      </c>
      <c r="D8" s="7" t="s">
        <v>1898</v>
      </c>
      <c r="E8" s="8" t="s">
        <v>1899</v>
      </c>
      <c r="F8" s="12">
        <v>0</v>
      </c>
      <c r="G8" s="25">
        <v>150000</v>
      </c>
      <c r="H8" s="26"/>
      <c r="I8" s="14">
        <f>IF(AND(G8&gt;0,H8&gt;0),ROUND((1-H8/G8)*100,0),0)</f>
        <v>0</v>
      </c>
      <c r="J8" s="27" t="s">
        <v>29</v>
      </c>
      <c r="K8" s="12" t="s">
        <v>1888</v>
      </c>
      <c r="L8" s="8" t="s">
        <v>26</v>
      </c>
    </row>
    <row r="9" ht="20" customHeight="1" spans="1:12" x14ac:dyDescent="0.25">
      <c r="A9" s="28" t="s">
        <v>1900</v>
      </c>
      <c r="B9" s="28" t="s">
        <v>36</v>
      </c>
      <c r="C9" s="24">
        <f>IF(B9&lt;&gt;"",IFERROR(VLOOKUP(B9,'📦 Productos'!A:C,3,FALSE),IFERROR(VLOOKUP(B9&amp;"",'📦 Productos'!A:C,3,FALSE),IFERROR(VLOOKUP(VALUE(B9),'📦 Productos'!A:C,3,FALSE),""))),"")</f>
      </c>
      <c r="D9" s="28" t="s">
        <v>37</v>
      </c>
      <c r="E9" s="29" t="s">
        <v>1896</v>
      </c>
      <c r="F9" s="30">
        <v>0</v>
      </c>
      <c r="G9" s="31">
        <v>218000</v>
      </c>
      <c r="H9" s="32"/>
      <c r="I9" s="14">
        <f>IF(AND(G9&gt;0,H9&gt;0),ROUND((1-H9/G9)*100,0),0)</f>
        <v>0</v>
      </c>
      <c r="J9" s="33" t="s">
        <v>29</v>
      </c>
      <c r="K9" s="30" t="s">
        <v>1888</v>
      </c>
      <c r="L9" s="29" t="s">
        <v>26</v>
      </c>
    </row>
    <row r="10" ht="20" customHeight="1" spans="1:12" x14ac:dyDescent="0.25">
      <c r="A10" s="7" t="s">
        <v>1901</v>
      </c>
      <c r="B10" s="7" t="s">
        <v>36</v>
      </c>
      <c r="C10" s="24">
        <f>IF(B10&lt;&gt;"",IFERROR(VLOOKUP(B10,'📦 Productos'!A:C,3,FALSE),IFERROR(VLOOKUP(B10&amp;"",'📦 Productos'!A:C,3,FALSE),IFERROR(VLOOKUP(VALUE(B10),'📦 Productos'!A:C,3,FALSE),""))),"")</f>
      </c>
      <c r="D10" s="7" t="s">
        <v>1902</v>
      </c>
      <c r="E10" s="8" t="s">
        <v>1893</v>
      </c>
      <c r="F10" s="12">
        <v>0</v>
      </c>
      <c r="G10" s="25">
        <v>105000</v>
      </c>
      <c r="H10" s="26"/>
      <c r="I10" s="14">
        <f>IF(AND(G10&gt;0,H10&gt;0),ROUND((1-H10/G10)*100,0),0)</f>
        <v>0</v>
      </c>
      <c r="J10" s="27" t="s">
        <v>29</v>
      </c>
      <c r="K10" s="12" t="s">
        <v>1888</v>
      </c>
      <c r="L10" s="8" t="s">
        <v>26</v>
      </c>
    </row>
    <row r="11" ht="20" customHeight="1" spans="1:12" x14ac:dyDescent="0.25">
      <c r="A11" s="28" t="s">
        <v>1903</v>
      </c>
      <c r="B11" s="28" t="s">
        <v>36</v>
      </c>
      <c r="C11" s="24">
        <f>IF(B11&lt;&gt;"",IFERROR(VLOOKUP(B11,'📦 Productos'!A:C,3,FALSE),IFERROR(VLOOKUP(B11&amp;"",'📦 Productos'!A:C,3,FALSE),IFERROR(VLOOKUP(VALUE(B11),'📦 Productos'!A:C,3,FALSE),""))),"")</f>
      </c>
      <c r="D11" s="28" t="s">
        <v>1904</v>
      </c>
      <c r="E11" s="29" t="s">
        <v>1899</v>
      </c>
      <c r="F11" s="30">
        <v>0</v>
      </c>
      <c r="G11" s="31">
        <v>150000</v>
      </c>
      <c r="H11" s="32"/>
      <c r="I11" s="14">
        <f>IF(AND(G11&gt;0,H11&gt;0),ROUND((1-H11/G11)*100,0),0)</f>
        <v>0</v>
      </c>
      <c r="J11" s="33" t="s">
        <v>29</v>
      </c>
      <c r="K11" s="30" t="s">
        <v>1888</v>
      </c>
      <c r="L11" s="29" t="s">
        <v>26</v>
      </c>
    </row>
    <row r="12" ht="20" customHeight="1" spans="1:12" x14ac:dyDescent="0.25">
      <c r="A12" s="7" t="s">
        <v>1905</v>
      </c>
      <c r="B12" s="7" t="s">
        <v>40</v>
      </c>
      <c r="C12" s="24">
        <f>IF(B12&lt;&gt;"",IFERROR(VLOOKUP(B12,'📦 Productos'!A:C,3,FALSE),IFERROR(VLOOKUP(B12&amp;"",'📦 Productos'!A:C,3,FALSE),IFERROR(VLOOKUP(VALUE(B12),'📦 Productos'!A:C,3,FALSE),""))),"")</f>
      </c>
      <c r="D12" s="7" t="s">
        <v>41</v>
      </c>
      <c r="E12" s="8" t="s">
        <v>1906</v>
      </c>
      <c r="F12" s="12">
        <v>0</v>
      </c>
      <c r="G12" s="25">
        <v>268000</v>
      </c>
      <c r="H12" s="26">
        <v>166160</v>
      </c>
      <c r="I12" s="14">
        <f>IF(AND(G12&gt;0,H12&gt;0),ROUND((1-H12/G12)*100,0),0)</f>
        <v>38</v>
      </c>
      <c r="J12" s="27" t="s">
        <v>29</v>
      </c>
      <c r="K12" s="12" t="s">
        <v>1888</v>
      </c>
      <c r="L12" s="8" t="s">
        <v>26</v>
      </c>
    </row>
    <row r="13" ht="20" customHeight="1" spans="1:12" x14ac:dyDescent="0.25">
      <c r="A13" s="28" t="s">
        <v>1907</v>
      </c>
      <c r="B13" s="28" t="s">
        <v>44</v>
      </c>
      <c r="C13" s="24">
        <f>IF(B13&lt;&gt;"",IFERROR(VLOOKUP(B13,'📦 Productos'!A:C,3,FALSE),IFERROR(VLOOKUP(B13&amp;"",'📦 Productos'!A:C,3,FALSE),IFERROR(VLOOKUP(VALUE(B13),'📦 Productos'!A:C,3,FALSE),""))),"")</f>
      </c>
      <c r="D13" s="28" t="s">
        <v>45</v>
      </c>
      <c r="E13" s="29" t="s">
        <v>1896</v>
      </c>
      <c r="F13" s="30">
        <v>0</v>
      </c>
      <c r="G13" s="31">
        <v>301000</v>
      </c>
      <c r="H13" s="32"/>
      <c r="I13" s="14">
        <f>IF(AND(G13&gt;0,H13&gt;0),ROUND((1-H13/G13)*100,0),0)</f>
        <v>0</v>
      </c>
      <c r="J13" s="33" t="s">
        <v>29</v>
      </c>
      <c r="K13" s="30" t="s">
        <v>1888</v>
      </c>
      <c r="L13" s="29" t="s">
        <v>26</v>
      </c>
    </row>
    <row r="14" ht="20" customHeight="1" spans="1:12" x14ac:dyDescent="0.25">
      <c r="A14" s="7" t="s">
        <v>1908</v>
      </c>
      <c r="B14" s="7" t="s">
        <v>44</v>
      </c>
      <c r="C14" s="24">
        <f>IF(B14&lt;&gt;"",IFERROR(VLOOKUP(B14,'📦 Productos'!A:C,3,FALSE),IFERROR(VLOOKUP(B14&amp;"",'📦 Productos'!A:C,3,FALSE),IFERROR(VLOOKUP(VALUE(B14),'📦 Productos'!A:C,3,FALSE),""))),"")</f>
      </c>
      <c r="D14" s="7" t="s">
        <v>1909</v>
      </c>
      <c r="E14" s="8" t="s">
        <v>1893</v>
      </c>
      <c r="F14" s="12">
        <v>0</v>
      </c>
      <c r="G14" s="25">
        <v>162000</v>
      </c>
      <c r="H14" s="26"/>
      <c r="I14" s="14">
        <f>IF(AND(G14&gt;0,H14&gt;0),ROUND((1-H14/G14)*100,0),0)</f>
        <v>0</v>
      </c>
      <c r="J14" s="27" t="s">
        <v>29</v>
      </c>
      <c r="K14" s="12" t="s">
        <v>1888</v>
      </c>
      <c r="L14" s="8" t="s">
        <v>26</v>
      </c>
    </row>
    <row r="15" ht="20" customHeight="1" spans="1:12" x14ac:dyDescent="0.25">
      <c r="A15" s="28" t="s">
        <v>1910</v>
      </c>
      <c r="B15" s="28" t="s">
        <v>44</v>
      </c>
      <c r="C15" s="24">
        <f>IF(B15&lt;&gt;"",IFERROR(VLOOKUP(B15,'📦 Productos'!A:C,3,FALSE),IFERROR(VLOOKUP(B15&amp;"",'📦 Productos'!A:C,3,FALSE),IFERROR(VLOOKUP(VALUE(B15),'📦 Productos'!A:C,3,FALSE),""))),"")</f>
      </c>
      <c r="D15" s="28" t="s">
        <v>1911</v>
      </c>
      <c r="E15" s="29" t="s">
        <v>1899</v>
      </c>
      <c r="F15" s="30">
        <v>0</v>
      </c>
      <c r="G15" s="31">
        <v>231000</v>
      </c>
      <c r="H15" s="32"/>
      <c r="I15" s="14">
        <f>IF(AND(G15&gt;0,H15&gt;0),ROUND((1-H15/G15)*100,0),0)</f>
        <v>0</v>
      </c>
      <c r="J15" s="33" t="s">
        <v>29</v>
      </c>
      <c r="K15" s="30" t="s">
        <v>1888</v>
      </c>
      <c r="L15" s="29" t="s">
        <v>26</v>
      </c>
    </row>
    <row r="16" ht="20" customHeight="1" spans="1:12" x14ac:dyDescent="0.25">
      <c r="A16" s="7" t="s">
        <v>1912</v>
      </c>
      <c r="B16" s="7" t="s">
        <v>44</v>
      </c>
      <c r="C16" s="24">
        <f>IF(B16&lt;&gt;"",IFERROR(VLOOKUP(B16,'📦 Productos'!A:C,3,FALSE),IFERROR(VLOOKUP(B16&amp;"",'📦 Productos'!A:C,3,FALSE),IFERROR(VLOOKUP(VALUE(B16),'📦 Productos'!A:C,3,FALSE),""))),"")</f>
      </c>
      <c r="D16" s="7" t="s">
        <v>1913</v>
      </c>
      <c r="E16" s="8" t="s">
        <v>1893</v>
      </c>
      <c r="F16" s="12">
        <v>0</v>
      </c>
      <c r="G16" s="25">
        <v>162000</v>
      </c>
      <c r="H16" s="26">
        <v>119880</v>
      </c>
      <c r="I16" s="14">
        <f>IF(AND(G16&gt;0,H16&gt;0),ROUND((1-H16/G16)*100,0),0)</f>
        <v>26</v>
      </c>
      <c r="J16" s="27" t="s">
        <v>29</v>
      </c>
      <c r="K16" s="12" t="s">
        <v>1888</v>
      </c>
      <c r="L16" s="8" t="s">
        <v>26</v>
      </c>
    </row>
    <row r="17" ht="20" customHeight="1" spans="1:12" x14ac:dyDescent="0.25">
      <c r="A17" s="28" t="s">
        <v>1914</v>
      </c>
      <c r="B17" s="28" t="s">
        <v>44</v>
      </c>
      <c r="C17" s="24">
        <f>IF(B17&lt;&gt;"",IFERROR(VLOOKUP(B17,'📦 Productos'!A:C,3,FALSE),IFERROR(VLOOKUP(B17&amp;"",'📦 Productos'!A:C,3,FALSE),IFERROR(VLOOKUP(VALUE(B17),'📦 Productos'!A:C,3,FALSE),""))),"")</f>
      </c>
      <c r="D17" s="28" t="s">
        <v>1915</v>
      </c>
      <c r="E17" s="29" t="s">
        <v>1899</v>
      </c>
      <c r="F17" s="30">
        <v>0</v>
      </c>
      <c r="G17" s="31">
        <v>231000</v>
      </c>
      <c r="H17" s="32"/>
      <c r="I17" s="14">
        <f>IF(AND(G17&gt;0,H17&gt;0),ROUND((1-H17/G17)*100,0),0)</f>
        <v>0</v>
      </c>
      <c r="J17" s="33" t="s">
        <v>29</v>
      </c>
      <c r="K17" s="30" t="s">
        <v>1888</v>
      </c>
      <c r="L17" s="29" t="s">
        <v>26</v>
      </c>
    </row>
    <row r="18" ht="20" customHeight="1" spans="1:12" x14ac:dyDescent="0.25">
      <c r="A18" s="7" t="s">
        <v>1916</v>
      </c>
      <c r="B18" s="7" t="s">
        <v>48</v>
      </c>
      <c r="C18" s="24">
        <f>IF(B18&lt;&gt;"",IFERROR(VLOOKUP(B18,'📦 Productos'!A:C,3,FALSE),IFERROR(VLOOKUP(B18&amp;"",'📦 Productos'!A:C,3,FALSE),IFERROR(VLOOKUP(VALUE(B18),'📦 Productos'!A:C,3,FALSE),""))),"")</f>
      </c>
      <c r="D18" s="7" t="s">
        <v>49</v>
      </c>
      <c r="E18" s="8" t="s">
        <v>1899</v>
      </c>
      <c r="F18" s="12">
        <v>0</v>
      </c>
      <c r="G18" s="25">
        <v>151500</v>
      </c>
      <c r="H18" s="26">
        <v>121200</v>
      </c>
      <c r="I18" s="14">
        <f>IF(AND(G18&gt;0,H18&gt;0),ROUND((1-H18/G18)*100,0),0)</f>
        <v>20</v>
      </c>
      <c r="J18" s="27" t="s">
        <v>29</v>
      </c>
      <c r="K18" s="12" t="s">
        <v>1888</v>
      </c>
      <c r="L18" s="8" t="s">
        <v>26</v>
      </c>
    </row>
    <row r="19" ht="20" customHeight="1" spans="1:12" x14ac:dyDescent="0.25">
      <c r="A19" s="28" t="s">
        <v>1917</v>
      </c>
      <c r="B19" s="28" t="s">
        <v>52</v>
      </c>
      <c r="C19" s="24">
        <f>IF(B19&lt;&gt;"",IFERROR(VLOOKUP(B19,'📦 Productos'!A:C,3,FALSE),IFERROR(VLOOKUP(B19&amp;"",'📦 Productos'!A:C,3,FALSE),IFERROR(VLOOKUP(VALUE(B19),'📦 Productos'!A:C,3,FALSE),""))),"")</f>
      </c>
      <c r="D19" s="28" t="s">
        <v>53</v>
      </c>
      <c r="E19" s="29" t="s">
        <v>1896</v>
      </c>
      <c r="F19" s="30">
        <v>0</v>
      </c>
      <c r="G19" s="31">
        <v>247700</v>
      </c>
      <c r="H19" s="32"/>
      <c r="I19" s="14">
        <f>IF(AND(G19&gt;0,H19&gt;0),ROUND((1-H19/G19)*100,0),0)</f>
        <v>0</v>
      </c>
      <c r="J19" s="33" t="s">
        <v>29</v>
      </c>
      <c r="K19" s="30" t="s">
        <v>1888</v>
      </c>
      <c r="L19" s="29" t="s">
        <v>26</v>
      </c>
    </row>
    <row r="20" ht="20" customHeight="1" spans="1:12" x14ac:dyDescent="0.25">
      <c r="A20" s="7" t="s">
        <v>1918</v>
      </c>
      <c r="B20" s="7" t="s">
        <v>52</v>
      </c>
      <c r="C20" s="24">
        <f>IF(B20&lt;&gt;"",IFERROR(VLOOKUP(B20,'📦 Productos'!A:C,3,FALSE),IFERROR(VLOOKUP(B20&amp;"",'📦 Productos'!A:C,3,FALSE),IFERROR(VLOOKUP(VALUE(B20),'📦 Productos'!A:C,3,FALSE),""))),"")</f>
      </c>
      <c r="D20" s="7" t="s">
        <v>1919</v>
      </c>
      <c r="E20" s="8" t="s">
        <v>1893</v>
      </c>
      <c r="F20" s="12">
        <v>0</v>
      </c>
      <c r="G20" s="25">
        <v>141000</v>
      </c>
      <c r="H20" s="26"/>
      <c r="I20" s="14">
        <f>IF(AND(G20&gt;0,H20&gt;0),ROUND((1-H20/G20)*100,0),0)</f>
        <v>0</v>
      </c>
      <c r="J20" s="27" t="s">
        <v>29</v>
      </c>
      <c r="K20" s="12" t="s">
        <v>1888</v>
      </c>
      <c r="L20" s="8" t="s">
        <v>26</v>
      </c>
    </row>
    <row r="21" ht="20" customHeight="1" spans="1:12" x14ac:dyDescent="0.25">
      <c r="A21" s="28" t="s">
        <v>1920</v>
      </c>
      <c r="B21" s="28" t="s">
        <v>52</v>
      </c>
      <c r="C21" s="24">
        <f>IF(B21&lt;&gt;"",IFERROR(VLOOKUP(B21,'📦 Productos'!A:C,3,FALSE),IFERROR(VLOOKUP(B21&amp;"",'📦 Productos'!A:C,3,FALSE),IFERROR(VLOOKUP(VALUE(B21),'📦 Productos'!A:C,3,FALSE),""))),"")</f>
      </c>
      <c r="D21" s="28" t="s">
        <v>1921</v>
      </c>
      <c r="E21" s="29" t="s">
        <v>1899</v>
      </c>
      <c r="F21" s="30">
        <v>0</v>
      </c>
      <c r="G21" s="31">
        <v>196400</v>
      </c>
      <c r="H21" s="32"/>
      <c r="I21" s="14">
        <f>IF(AND(G21&gt;0,H21&gt;0),ROUND((1-H21/G21)*100,0),0)</f>
        <v>0</v>
      </c>
      <c r="J21" s="33" t="s">
        <v>29</v>
      </c>
      <c r="K21" s="30" t="s">
        <v>1888</v>
      </c>
      <c r="L21" s="29" t="s">
        <v>26</v>
      </c>
    </row>
    <row r="22" ht="20" customHeight="1" spans="1:12" x14ac:dyDescent="0.25">
      <c r="A22" s="7" t="s">
        <v>1922</v>
      </c>
      <c r="B22" s="7" t="s">
        <v>56</v>
      </c>
      <c r="C22" s="24">
        <f>IF(B22&lt;&gt;"",IFERROR(VLOOKUP(B22,'📦 Productos'!A:C,3,FALSE),IFERROR(VLOOKUP(B22&amp;"",'📦 Productos'!A:C,3,FALSE),IFERROR(VLOOKUP(VALUE(B22),'📦 Productos'!A:C,3,FALSE),""))),"")</f>
      </c>
      <c r="D22" s="7" t="s">
        <v>57</v>
      </c>
      <c r="E22" s="8" t="s">
        <v>1896</v>
      </c>
      <c r="F22" s="12">
        <v>0</v>
      </c>
      <c r="G22" s="25">
        <v>240000</v>
      </c>
      <c r="H22" s="26"/>
      <c r="I22" s="14">
        <f>IF(AND(G22&gt;0,H22&gt;0),ROUND((1-H22/G22)*100,0),0)</f>
        <v>0</v>
      </c>
      <c r="J22" s="27" t="s">
        <v>29</v>
      </c>
      <c r="K22" s="12" t="s">
        <v>1888</v>
      </c>
      <c r="L22" s="8" t="s">
        <v>26</v>
      </c>
    </row>
    <row r="23" ht="20" customHeight="1" spans="1:12" x14ac:dyDescent="0.25">
      <c r="A23" s="28" t="s">
        <v>1923</v>
      </c>
      <c r="B23" s="28" t="s">
        <v>56</v>
      </c>
      <c r="C23" s="24">
        <f>IF(B23&lt;&gt;"",IFERROR(VLOOKUP(B23,'📦 Productos'!A:C,3,FALSE),IFERROR(VLOOKUP(B23&amp;"",'📦 Productos'!A:C,3,FALSE),IFERROR(VLOOKUP(VALUE(B23),'📦 Productos'!A:C,3,FALSE),""))),"")</f>
      </c>
      <c r="D23" s="28" t="s">
        <v>1924</v>
      </c>
      <c r="E23" s="29" t="s">
        <v>1893</v>
      </c>
      <c r="F23" s="30">
        <v>0</v>
      </c>
      <c r="G23" s="31">
        <v>130000</v>
      </c>
      <c r="H23" s="32"/>
      <c r="I23" s="14">
        <f>IF(AND(G23&gt;0,H23&gt;0),ROUND((1-H23/G23)*100,0),0)</f>
        <v>0</v>
      </c>
      <c r="J23" s="33" t="s">
        <v>29</v>
      </c>
      <c r="K23" s="30" t="s">
        <v>1888</v>
      </c>
      <c r="L23" s="29" t="s">
        <v>26</v>
      </c>
    </row>
    <row r="24" ht="20" customHeight="1" spans="1:12" x14ac:dyDescent="0.25">
      <c r="A24" s="7" t="s">
        <v>1925</v>
      </c>
      <c r="B24" s="7" t="s">
        <v>56</v>
      </c>
      <c r="C24" s="24">
        <f>IF(B24&lt;&gt;"",IFERROR(VLOOKUP(B24,'📦 Productos'!A:C,3,FALSE),IFERROR(VLOOKUP(B24&amp;"",'📦 Productos'!A:C,3,FALSE),IFERROR(VLOOKUP(VALUE(B24),'📦 Productos'!A:C,3,FALSE),""))),"")</f>
      </c>
      <c r="D24" s="7" t="s">
        <v>1926</v>
      </c>
      <c r="E24" s="8" t="s">
        <v>1899</v>
      </c>
      <c r="F24" s="12">
        <v>0</v>
      </c>
      <c r="G24" s="25">
        <v>183000</v>
      </c>
      <c r="H24" s="26"/>
      <c r="I24" s="14">
        <f>IF(AND(G24&gt;0,H24&gt;0),ROUND((1-H24/G24)*100,0),0)</f>
        <v>0</v>
      </c>
      <c r="J24" s="27" t="s">
        <v>29</v>
      </c>
      <c r="K24" s="12" t="s">
        <v>1888</v>
      </c>
      <c r="L24" s="8" t="s">
        <v>26</v>
      </c>
    </row>
    <row r="25" ht="20" customHeight="1" spans="1:12" x14ac:dyDescent="0.25">
      <c r="A25" s="28" t="s">
        <v>1927</v>
      </c>
      <c r="B25" s="28" t="s">
        <v>60</v>
      </c>
      <c r="C25" s="24">
        <f>IF(B25&lt;&gt;"",IFERROR(VLOOKUP(B25,'📦 Productos'!A:C,3,FALSE),IFERROR(VLOOKUP(B25&amp;"",'📦 Productos'!A:C,3,FALSE),IFERROR(VLOOKUP(VALUE(B25),'📦 Productos'!A:C,3,FALSE),""))),"")</f>
      </c>
      <c r="D25" s="28" t="s">
        <v>61</v>
      </c>
      <c r="E25" s="29" t="s">
        <v>26</v>
      </c>
      <c r="F25" s="30">
        <v>0</v>
      </c>
      <c r="G25" s="31">
        <v>299000</v>
      </c>
      <c r="H25" s="32"/>
      <c r="I25" s="14">
        <f>IF(AND(G25&gt;0,H25&gt;0),ROUND((1-H25/G25)*100,0),0)</f>
        <v>0</v>
      </c>
      <c r="J25" s="33" t="s">
        <v>29</v>
      </c>
      <c r="K25" s="30" t="s">
        <v>1888</v>
      </c>
      <c r="L25" s="29" t="s">
        <v>26</v>
      </c>
    </row>
    <row r="26" ht="20" customHeight="1" spans="1:12" x14ac:dyDescent="0.25">
      <c r="A26" s="7" t="s">
        <v>1928</v>
      </c>
      <c r="B26" s="7" t="s">
        <v>64</v>
      </c>
      <c r="C26" s="24">
        <f>IF(B26&lt;&gt;"",IFERROR(VLOOKUP(B26,'📦 Productos'!A:C,3,FALSE),IFERROR(VLOOKUP(B26&amp;"",'📦 Productos'!A:C,3,FALSE),IFERROR(VLOOKUP(VALUE(B26),'📦 Productos'!A:C,3,FALSE),""))),"")</f>
      </c>
      <c r="D26" s="7" t="s">
        <v>65</v>
      </c>
      <c r="E26" s="8" t="s">
        <v>26</v>
      </c>
      <c r="F26" s="12">
        <v>0</v>
      </c>
      <c r="G26" s="25">
        <v>299000</v>
      </c>
      <c r="H26" s="26"/>
      <c r="I26" s="14">
        <f>IF(AND(G26&gt;0,H26&gt;0),ROUND((1-H26/G26)*100,0),0)</f>
        <v>0</v>
      </c>
      <c r="J26" s="27" t="s">
        <v>29</v>
      </c>
      <c r="K26" s="12" t="s">
        <v>1888</v>
      </c>
      <c r="L26" s="8" t="s">
        <v>26</v>
      </c>
    </row>
    <row r="27" ht="20" customHeight="1" spans="1:12" x14ac:dyDescent="0.25">
      <c r="A27" s="28" t="s">
        <v>1929</v>
      </c>
      <c r="B27" s="28" t="s">
        <v>67</v>
      </c>
      <c r="C27" s="24">
        <f>IF(B27&lt;&gt;"",IFERROR(VLOOKUP(B27,'📦 Productos'!A:C,3,FALSE),IFERROR(VLOOKUP(B27&amp;"",'📦 Productos'!A:C,3,FALSE),IFERROR(VLOOKUP(VALUE(B27),'📦 Productos'!A:C,3,FALSE),""))),"")</f>
      </c>
      <c r="D27" s="28" t="s">
        <v>68</v>
      </c>
      <c r="E27" s="29" t="s">
        <v>1930</v>
      </c>
      <c r="F27" s="30">
        <v>0</v>
      </c>
      <c r="G27" s="31">
        <v>299000</v>
      </c>
      <c r="H27" s="32"/>
      <c r="I27" s="14">
        <f>IF(AND(G27&gt;0,H27&gt;0),ROUND((1-H27/G27)*100,0),0)</f>
        <v>0</v>
      </c>
      <c r="J27" s="33" t="s">
        <v>29</v>
      </c>
      <c r="K27" s="30" t="s">
        <v>1888</v>
      </c>
      <c r="L27" s="29" t="s">
        <v>26</v>
      </c>
    </row>
    <row r="28" ht="20" customHeight="1" spans="1:12" x14ac:dyDescent="0.25">
      <c r="A28" s="7" t="s">
        <v>1931</v>
      </c>
      <c r="B28" s="7" t="s">
        <v>70</v>
      </c>
      <c r="C28" s="24">
        <f>IF(B28&lt;&gt;"",IFERROR(VLOOKUP(B28,'📦 Productos'!A:C,3,FALSE),IFERROR(VLOOKUP(B28&amp;"",'📦 Productos'!A:C,3,FALSE),IFERROR(VLOOKUP(VALUE(B28),'📦 Productos'!A:C,3,FALSE),""))),"")</f>
      </c>
      <c r="D28" s="7" t="s">
        <v>71</v>
      </c>
      <c r="E28" s="8" t="s">
        <v>26</v>
      </c>
      <c r="F28" s="12">
        <v>0</v>
      </c>
      <c r="G28" s="25">
        <v>315000</v>
      </c>
      <c r="H28" s="26"/>
      <c r="I28" s="14">
        <f>IF(AND(G28&gt;0,H28&gt;0),ROUND((1-H28/G28)*100,0),0)</f>
        <v>0</v>
      </c>
      <c r="J28" s="27" t="s">
        <v>29</v>
      </c>
      <c r="K28" s="12" t="s">
        <v>1888</v>
      </c>
      <c r="L28" s="8" t="s">
        <v>26</v>
      </c>
    </row>
    <row r="29" ht="20" customHeight="1" spans="1:12" x14ac:dyDescent="0.25">
      <c r="A29" s="28" t="s">
        <v>1932</v>
      </c>
      <c r="B29" s="28" t="s">
        <v>73</v>
      </c>
      <c r="C29" s="24">
        <f>IF(B29&lt;&gt;"",IFERROR(VLOOKUP(B29,'📦 Productos'!A:C,3,FALSE),IFERROR(VLOOKUP(B29&amp;"",'📦 Productos'!A:C,3,FALSE),IFERROR(VLOOKUP(VALUE(B29),'📦 Productos'!A:C,3,FALSE),""))),"")</f>
      </c>
      <c r="D29" s="28" t="s">
        <v>74</v>
      </c>
      <c r="E29" s="29" t="s">
        <v>1899</v>
      </c>
      <c r="F29" s="30">
        <v>0</v>
      </c>
      <c r="G29" s="31">
        <v>230000</v>
      </c>
      <c r="H29" s="32"/>
      <c r="I29" s="14">
        <f>IF(AND(G29&gt;0,H29&gt;0),ROUND((1-H29/G29)*100,0),0)</f>
        <v>0</v>
      </c>
      <c r="J29" s="33" t="s">
        <v>29</v>
      </c>
      <c r="K29" s="30" t="s">
        <v>1888</v>
      </c>
      <c r="L29" s="29" t="s">
        <v>26</v>
      </c>
    </row>
    <row r="30" ht="20" customHeight="1" spans="1:12" x14ac:dyDescent="0.25">
      <c r="A30" s="7" t="s">
        <v>1933</v>
      </c>
      <c r="B30" s="7" t="s">
        <v>73</v>
      </c>
      <c r="C30" s="24">
        <f>IF(B30&lt;&gt;"",IFERROR(VLOOKUP(B30,'📦 Productos'!A:C,3,FALSE),IFERROR(VLOOKUP(B30&amp;"",'📦 Productos'!A:C,3,FALSE),IFERROR(VLOOKUP(VALUE(B30),'📦 Productos'!A:C,3,FALSE),""))),"")</f>
      </c>
      <c r="D30" s="7" t="s">
        <v>1934</v>
      </c>
      <c r="E30" s="8" t="s">
        <v>1893</v>
      </c>
      <c r="F30" s="12">
        <v>0</v>
      </c>
      <c r="G30" s="25">
        <v>162000</v>
      </c>
      <c r="H30" s="26"/>
      <c r="I30" s="14">
        <f>IF(AND(G30&gt;0,H30&gt;0),ROUND((1-H30/G30)*100,0),0)</f>
        <v>0</v>
      </c>
      <c r="J30" s="27" t="s">
        <v>29</v>
      </c>
      <c r="K30" s="12" t="s">
        <v>1888</v>
      </c>
      <c r="L30" s="8" t="s">
        <v>26</v>
      </c>
    </row>
    <row r="31" ht="20" customHeight="1" spans="1:12" x14ac:dyDescent="0.25">
      <c r="A31" s="28" t="s">
        <v>1935</v>
      </c>
      <c r="B31" s="28" t="s">
        <v>76</v>
      </c>
      <c r="C31" s="24">
        <f>IF(B31&lt;&gt;"",IFERROR(VLOOKUP(B31,'📦 Productos'!A:C,3,FALSE),IFERROR(VLOOKUP(B31&amp;"",'📦 Productos'!A:C,3,FALSE),IFERROR(VLOOKUP(VALUE(B31),'📦 Productos'!A:C,3,FALSE),""))),"")</f>
      </c>
      <c r="D31" s="28" t="s">
        <v>77</v>
      </c>
      <c r="E31" s="29" t="s">
        <v>1930</v>
      </c>
      <c r="F31" s="30">
        <v>0</v>
      </c>
      <c r="G31" s="31">
        <v>230000</v>
      </c>
      <c r="H31" s="32"/>
      <c r="I31" s="14">
        <f>IF(AND(G31&gt;0,H31&gt;0),ROUND((1-H31/G31)*100,0),0)</f>
        <v>0</v>
      </c>
      <c r="J31" s="33" t="s">
        <v>29</v>
      </c>
      <c r="K31" s="30" t="s">
        <v>1888</v>
      </c>
      <c r="L31" s="29" t="s">
        <v>26</v>
      </c>
    </row>
    <row r="32" ht="20" customHeight="1" spans="1:12" x14ac:dyDescent="0.25">
      <c r="A32" s="7" t="s">
        <v>1936</v>
      </c>
      <c r="B32" s="7" t="s">
        <v>79</v>
      </c>
      <c r="C32" s="24">
        <f>IF(B32&lt;&gt;"",IFERROR(VLOOKUP(B32,'📦 Productos'!A:C,3,FALSE),IFERROR(VLOOKUP(B32&amp;"",'📦 Productos'!A:C,3,FALSE),IFERROR(VLOOKUP(VALUE(B32),'📦 Productos'!A:C,3,FALSE),""))),"")</f>
      </c>
      <c r="D32" s="7" t="s">
        <v>80</v>
      </c>
      <c r="E32" s="8" t="s">
        <v>1896</v>
      </c>
      <c r="F32" s="12">
        <v>0</v>
      </c>
      <c r="G32" s="25">
        <v>194500</v>
      </c>
      <c r="H32" s="26">
        <v>155600</v>
      </c>
      <c r="I32" s="14">
        <f>IF(AND(G32&gt;0,H32&gt;0),ROUND((1-H32/G32)*100,0),0)</f>
        <v>20</v>
      </c>
      <c r="J32" s="27" t="s">
        <v>29</v>
      </c>
      <c r="K32" s="12" t="s">
        <v>1888</v>
      </c>
      <c r="L32" s="8" t="s">
        <v>26</v>
      </c>
    </row>
    <row r="33" ht="20" customHeight="1" spans="1:12" x14ac:dyDescent="0.25">
      <c r="A33" s="28" t="s">
        <v>1937</v>
      </c>
      <c r="B33" s="28" t="s">
        <v>79</v>
      </c>
      <c r="C33" s="24">
        <f>IF(B33&lt;&gt;"",IFERROR(VLOOKUP(B33,'📦 Productos'!A:C,3,FALSE),IFERROR(VLOOKUP(B33&amp;"",'📦 Productos'!A:C,3,FALSE),IFERROR(VLOOKUP(VALUE(B33),'📦 Productos'!A:C,3,FALSE),""))),"")</f>
      </c>
      <c r="D33" s="28" t="s">
        <v>1938</v>
      </c>
      <c r="E33" s="29" t="s">
        <v>1899</v>
      </c>
      <c r="F33" s="30">
        <v>0</v>
      </c>
      <c r="G33" s="31">
        <v>151500</v>
      </c>
      <c r="H33" s="32">
        <v>121200</v>
      </c>
      <c r="I33" s="14">
        <f>IF(AND(G33&gt;0,H33&gt;0),ROUND((1-H33/G33)*100,0),0)</f>
        <v>20</v>
      </c>
      <c r="J33" s="33" t="s">
        <v>29</v>
      </c>
      <c r="K33" s="30" t="s">
        <v>1888</v>
      </c>
      <c r="L33" s="29" t="s">
        <v>26</v>
      </c>
    </row>
    <row r="34" ht="20" customHeight="1" spans="1:12" x14ac:dyDescent="0.25">
      <c r="A34" s="7" t="s">
        <v>1939</v>
      </c>
      <c r="B34" s="7" t="s">
        <v>83</v>
      </c>
      <c r="C34" s="24">
        <f>IF(B34&lt;&gt;"",IFERROR(VLOOKUP(B34,'📦 Productos'!A:C,3,FALSE),IFERROR(VLOOKUP(B34&amp;"",'📦 Productos'!A:C,3,FALSE),IFERROR(VLOOKUP(VALUE(B34),'📦 Productos'!A:C,3,FALSE),""))),"")</f>
      </c>
      <c r="D34" s="7" t="s">
        <v>84</v>
      </c>
      <c r="E34" s="8" t="s">
        <v>1940</v>
      </c>
      <c r="F34" s="12">
        <v>0</v>
      </c>
      <c r="G34" s="25">
        <v>210000</v>
      </c>
      <c r="H34" s="26"/>
      <c r="I34" s="14">
        <f>IF(AND(G34&gt;0,H34&gt;0),ROUND((1-H34/G34)*100,0),0)</f>
        <v>0</v>
      </c>
      <c r="J34" s="27" t="s">
        <v>29</v>
      </c>
      <c r="K34" s="12" t="s">
        <v>1888</v>
      </c>
      <c r="L34" s="8" t="s">
        <v>26</v>
      </c>
    </row>
    <row r="35" ht="20" customHeight="1" spans="1:12" x14ac:dyDescent="0.25">
      <c r="A35" s="28" t="s">
        <v>1941</v>
      </c>
      <c r="B35" s="28" t="s">
        <v>83</v>
      </c>
      <c r="C35" s="24">
        <f>IF(B35&lt;&gt;"",IFERROR(VLOOKUP(B35,'📦 Productos'!A:C,3,FALSE),IFERROR(VLOOKUP(B35&amp;"",'📦 Productos'!A:C,3,FALSE),IFERROR(VLOOKUP(VALUE(B35),'📦 Productos'!A:C,3,FALSE),""))),"")</f>
      </c>
      <c r="D35" s="28" t="s">
        <v>1942</v>
      </c>
      <c r="E35" s="29" t="s">
        <v>1943</v>
      </c>
      <c r="F35" s="30">
        <v>0</v>
      </c>
      <c r="G35" s="31">
        <v>257000</v>
      </c>
      <c r="H35" s="32"/>
      <c r="I35" s="14">
        <f>IF(AND(G35&gt;0,H35&gt;0),ROUND((1-H35/G35)*100,0),0)</f>
        <v>0</v>
      </c>
      <c r="J35" s="33" t="s">
        <v>29</v>
      </c>
      <c r="K35" s="30" t="s">
        <v>1888</v>
      </c>
      <c r="L35" s="29" t="s">
        <v>26</v>
      </c>
    </row>
    <row r="36" ht="20" customHeight="1" spans="1:12" x14ac:dyDescent="0.25">
      <c r="A36" s="7" t="s">
        <v>1944</v>
      </c>
      <c r="B36" s="7" t="s">
        <v>87</v>
      </c>
      <c r="C36" s="24">
        <f>IF(B36&lt;&gt;"",IFERROR(VLOOKUP(B36,'📦 Productos'!A:C,3,FALSE),IFERROR(VLOOKUP(B36&amp;"",'📦 Productos'!A:C,3,FALSE),IFERROR(VLOOKUP(VALUE(B36),'📦 Productos'!A:C,3,FALSE),""))),"")</f>
      </c>
      <c r="D36" s="7" t="s">
        <v>88</v>
      </c>
      <c r="E36" s="8" t="s">
        <v>1940</v>
      </c>
      <c r="F36" s="12">
        <v>0</v>
      </c>
      <c r="G36" s="25">
        <v>210000</v>
      </c>
      <c r="H36" s="26">
        <v>144900</v>
      </c>
      <c r="I36" s="14">
        <f>IF(AND(G36&gt;0,H36&gt;0),ROUND((1-H36/G36)*100,0),0)</f>
        <v>31</v>
      </c>
      <c r="J36" s="27" t="s">
        <v>29</v>
      </c>
      <c r="K36" s="12" t="s">
        <v>1888</v>
      </c>
      <c r="L36" s="8" t="s">
        <v>26</v>
      </c>
    </row>
    <row r="37" ht="20" customHeight="1" spans="1:12" x14ac:dyDescent="0.25">
      <c r="A37" s="28" t="s">
        <v>1945</v>
      </c>
      <c r="B37" s="28" t="s">
        <v>87</v>
      </c>
      <c r="C37" s="24">
        <f>IF(B37&lt;&gt;"",IFERROR(VLOOKUP(B37,'📦 Productos'!A:C,3,FALSE),IFERROR(VLOOKUP(B37&amp;"",'📦 Productos'!A:C,3,FALSE),IFERROR(VLOOKUP(VALUE(B37),'📦 Productos'!A:C,3,FALSE),""))),"")</f>
      </c>
      <c r="D37" s="28" t="s">
        <v>1946</v>
      </c>
      <c r="E37" s="29" t="s">
        <v>1943</v>
      </c>
      <c r="F37" s="30">
        <v>0</v>
      </c>
      <c r="G37" s="31">
        <v>257000</v>
      </c>
      <c r="H37" s="32">
        <v>174760</v>
      </c>
      <c r="I37" s="14">
        <f>IF(AND(G37&gt;0,H37&gt;0),ROUND((1-H37/G37)*100,0),0)</f>
        <v>32</v>
      </c>
      <c r="J37" s="33" t="s">
        <v>29</v>
      </c>
      <c r="K37" s="30" t="s">
        <v>1888</v>
      </c>
      <c r="L37" s="29" t="s">
        <v>26</v>
      </c>
    </row>
    <row r="38" ht="20" customHeight="1" spans="1:12" x14ac:dyDescent="0.25">
      <c r="A38" s="7" t="s">
        <v>1947</v>
      </c>
      <c r="B38" s="7" t="s">
        <v>91</v>
      </c>
      <c r="C38" s="24">
        <f>IF(B38&lt;&gt;"",IFERROR(VLOOKUP(B38,'📦 Productos'!A:C,3,FALSE),IFERROR(VLOOKUP(B38&amp;"",'📦 Productos'!A:C,3,FALSE),IFERROR(VLOOKUP(VALUE(B38),'📦 Productos'!A:C,3,FALSE),""))),"")</f>
      </c>
      <c r="D38" s="7" t="s">
        <v>92</v>
      </c>
      <c r="E38" s="8" t="s">
        <v>1930</v>
      </c>
      <c r="F38" s="12">
        <v>0</v>
      </c>
      <c r="G38" s="25">
        <v>257000</v>
      </c>
      <c r="H38" s="26"/>
      <c r="I38" s="14">
        <f>IF(AND(G38&gt;0,H38&gt;0),ROUND((1-H38/G38)*100,0),0)</f>
        <v>0</v>
      </c>
      <c r="J38" s="27" t="s">
        <v>29</v>
      </c>
      <c r="K38" s="12" t="s">
        <v>1888</v>
      </c>
      <c r="L38" s="8" t="s">
        <v>26</v>
      </c>
    </row>
    <row r="39" ht="20" customHeight="1" spans="1:12" x14ac:dyDescent="0.25">
      <c r="A39" s="28" t="s">
        <v>1948</v>
      </c>
      <c r="B39" s="28" t="s">
        <v>94</v>
      </c>
      <c r="C39" s="24">
        <f>IF(B39&lt;&gt;"",IFERROR(VLOOKUP(B39,'📦 Productos'!A:C,3,FALSE),IFERROR(VLOOKUP(B39&amp;"",'📦 Productos'!A:C,3,FALSE),IFERROR(VLOOKUP(VALUE(B39),'📦 Productos'!A:C,3,FALSE),""))),"")</f>
      </c>
      <c r="D39" s="28" t="s">
        <v>95</v>
      </c>
      <c r="E39" s="29" t="s">
        <v>1930</v>
      </c>
      <c r="F39" s="30">
        <v>0</v>
      </c>
      <c r="G39" s="31">
        <v>257000</v>
      </c>
      <c r="H39" s="32"/>
      <c r="I39" s="14">
        <f>IF(AND(G39&gt;0,H39&gt;0),ROUND((1-H39/G39)*100,0),0)</f>
        <v>0</v>
      </c>
      <c r="J39" s="33" t="s">
        <v>29</v>
      </c>
      <c r="K39" s="30" t="s">
        <v>1888</v>
      </c>
      <c r="L39" s="29" t="s">
        <v>26</v>
      </c>
    </row>
    <row r="40" ht="20" customHeight="1" spans="1:12" x14ac:dyDescent="0.25">
      <c r="A40" s="7" t="s">
        <v>1949</v>
      </c>
      <c r="B40" s="7" t="s">
        <v>97</v>
      </c>
      <c r="C40" s="24">
        <f>IF(B40&lt;&gt;"",IFERROR(VLOOKUP(B40,'📦 Productos'!A:C,3,FALSE),IFERROR(VLOOKUP(B40&amp;"",'📦 Productos'!A:C,3,FALSE),IFERROR(VLOOKUP(VALUE(B40),'📦 Productos'!A:C,3,FALSE),""))),"")</f>
      </c>
      <c r="D40" s="7" t="s">
        <v>98</v>
      </c>
      <c r="E40" s="8" t="s">
        <v>1940</v>
      </c>
      <c r="F40" s="12">
        <v>0</v>
      </c>
      <c r="G40" s="25">
        <v>210000</v>
      </c>
      <c r="H40" s="26">
        <v>117600</v>
      </c>
      <c r="I40" s="14">
        <f>IF(AND(G40&gt;0,H40&gt;0),ROUND((1-H40/G40)*100,0),0)</f>
        <v>44</v>
      </c>
      <c r="J40" s="27" t="s">
        <v>29</v>
      </c>
      <c r="K40" s="12" t="s">
        <v>1888</v>
      </c>
      <c r="L40" s="8" t="s">
        <v>26</v>
      </c>
    </row>
    <row r="41" ht="20" customHeight="1" spans="1:12" x14ac:dyDescent="0.25">
      <c r="A41" s="28" t="s">
        <v>1950</v>
      </c>
      <c r="B41" s="28" t="s">
        <v>97</v>
      </c>
      <c r="C41" s="24">
        <f>IF(B41&lt;&gt;"",IFERROR(VLOOKUP(B41,'📦 Productos'!A:C,3,FALSE),IFERROR(VLOOKUP(B41&amp;"",'📦 Productos'!A:C,3,FALSE),IFERROR(VLOOKUP(VALUE(B41),'📦 Productos'!A:C,3,FALSE),""))),"")</f>
      </c>
      <c r="D41" s="28" t="s">
        <v>1951</v>
      </c>
      <c r="E41" s="29" t="s">
        <v>1943</v>
      </c>
      <c r="F41" s="30">
        <v>0</v>
      </c>
      <c r="G41" s="31">
        <v>257000</v>
      </c>
      <c r="H41" s="32">
        <v>141350</v>
      </c>
      <c r="I41" s="14">
        <f>IF(AND(G41&gt;0,H41&gt;0),ROUND((1-H41/G41)*100,0),0)</f>
        <v>45</v>
      </c>
      <c r="J41" s="33" t="s">
        <v>29</v>
      </c>
      <c r="K41" s="30" t="s">
        <v>1888</v>
      </c>
      <c r="L41" s="29" t="s">
        <v>26</v>
      </c>
    </row>
    <row r="42" ht="20" customHeight="1" spans="1:12" x14ac:dyDescent="0.25">
      <c r="A42" s="7" t="s">
        <v>1952</v>
      </c>
      <c r="B42" s="7" t="s">
        <v>101</v>
      </c>
      <c r="C42" s="24">
        <f>IF(B42&lt;&gt;"",IFERROR(VLOOKUP(B42,'📦 Productos'!A:C,3,FALSE),IFERROR(VLOOKUP(B42&amp;"",'📦 Productos'!A:C,3,FALSE),IFERROR(VLOOKUP(VALUE(B42),'📦 Productos'!A:C,3,FALSE),""))),"")</f>
      </c>
      <c r="D42" s="7" t="s">
        <v>102</v>
      </c>
      <c r="E42" s="8" t="s">
        <v>1940</v>
      </c>
      <c r="F42" s="12">
        <v>0</v>
      </c>
      <c r="G42" s="25">
        <v>165300</v>
      </c>
      <c r="H42" s="26">
        <v>132240</v>
      </c>
      <c r="I42" s="14">
        <f>IF(AND(G42&gt;0,H42&gt;0),ROUND((1-H42/G42)*100,0),0)</f>
        <v>20</v>
      </c>
      <c r="J42" s="27" t="s">
        <v>29</v>
      </c>
      <c r="K42" s="12" t="s">
        <v>1888</v>
      </c>
      <c r="L42" s="8" t="s">
        <v>26</v>
      </c>
    </row>
    <row r="43" ht="20" customHeight="1" spans="1:12" x14ac:dyDescent="0.25">
      <c r="A43" s="28" t="s">
        <v>1953</v>
      </c>
      <c r="B43" s="28" t="s">
        <v>101</v>
      </c>
      <c r="C43" s="24">
        <f>IF(B43&lt;&gt;"",IFERROR(VLOOKUP(B43,'📦 Productos'!A:C,3,FALSE),IFERROR(VLOOKUP(B43&amp;"",'📦 Productos'!A:C,3,FALSE),IFERROR(VLOOKUP(VALUE(B43),'📦 Productos'!A:C,3,FALSE),""))),"")</f>
      </c>
      <c r="D43" s="28" t="s">
        <v>1954</v>
      </c>
      <c r="E43" s="29" t="s">
        <v>1943</v>
      </c>
      <c r="F43" s="30">
        <v>0</v>
      </c>
      <c r="G43" s="31">
        <v>198500</v>
      </c>
      <c r="H43" s="32"/>
      <c r="I43" s="14">
        <f>IF(AND(G43&gt;0,H43&gt;0),ROUND((1-H43/G43)*100,0),0)</f>
        <v>0</v>
      </c>
      <c r="J43" s="33" t="s">
        <v>29</v>
      </c>
      <c r="K43" s="30" t="s">
        <v>1888</v>
      </c>
      <c r="L43" s="29" t="s">
        <v>26</v>
      </c>
    </row>
    <row r="44" ht="20" customHeight="1" spans="1:12" x14ac:dyDescent="0.25">
      <c r="A44" s="7" t="s">
        <v>1955</v>
      </c>
      <c r="B44" s="7" t="s">
        <v>105</v>
      </c>
      <c r="C44" s="24">
        <f>IF(B44&lt;&gt;"",IFERROR(VLOOKUP(B44,'📦 Productos'!A:C,3,FALSE),IFERROR(VLOOKUP(B44&amp;"",'📦 Productos'!A:C,3,FALSE),IFERROR(VLOOKUP(VALUE(B44),'📦 Productos'!A:C,3,FALSE),""))),"")</f>
      </c>
      <c r="D44" s="7" t="s">
        <v>106</v>
      </c>
      <c r="E44" s="8" t="s">
        <v>1891</v>
      </c>
      <c r="F44" s="12">
        <v>0</v>
      </c>
      <c r="G44" s="25">
        <v>275000</v>
      </c>
      <c r="H44" s="26"/>
      <c r="I44" s="14">
        <f>IF(AND(G44&gt;0,H44&gt;0),ROUND((1-H44/G44)*100,0),0)</f>
        <v>0</v>
      </c>
      <c r="J44" s="27" t="s">
        <v>29</v>
      </c>
      <c r="K44" s="12" t="s">
        <v>1888</v>
      </c>
      <c r="L44" s="8" t="s">
        <v>26</v>
      </c>
    </row>
    <row r="45" ht="20" customHeight="1" spans="1:12" x14ac:dyDescent="0.25">
      <c r="A45" s="28" t="s">
        <v>1956</v>
      </c>
      <c r="B45" s="28" t="s">
        <v>105</v>
      </c>
      <c r="C45" s="24">
        <f>IF(B45&lt;&gt;"",IFERROR(VLOOKUP(B45,'📦 Productos'!A:C,3,FALSE),IFERROR(VLOOKUP(B45&amp;"",'📦 Productos'!A:C,3,FALSE),IFERROR(VLOOKUP(VALUE(B45),'📦 Productos'!A:C,3,FALSE),""))),"")</f>
      </c>
      <c r="D45" s="28" t="s">
        <v>1957</v>
      </c>
      <c r="E45" s="29" t="s">
        <v>1887</v>
      </c>
      <c r="F45" s="30">
        <v>0</v>
      </c>
      <c r="G45" s="31">
        <v>212000</v>
      </c>
      <c r="H45" s="32"/>
      <c r="I45" s="14">
        <f>IF(AND(G45&gt;0,H45&gt;0),ROUND((1-H45/G45)*100,0),0)</f>
        <v>0</v>
      </c>
      <c r="J45" s="33" t="s">
        <v>29</v>
      </c>
      <c r="K45" s="30" t="s">
        <v>1888</v>
      </c>
      <c r="L45" s="29" t="s">
        <v>26</v>
      </c>
    </row>
    <row r="46" ht="20" customHeight="1" spans="1:12" x14ac:dyDescent="0.25">
      <c r="A46" s="7" t="s">
        <v>1958</v>
      </c>
      <c r="B46" s="7" t="s">
        <v>108</v>
      </c>
      <c r="C46" s="24">
        <f>IF(B46&lt;&gt;"",IFERROR(VLOOKUP(B46,'📦 Productos'!A:C,3,FALSE),IFERROR(VLOOKUP(B46&amp;"",'📦 Productos'!A:C,3,FALSE),IFERROR(VLOOKUP(VALUE(B46),'📦 Productos'!A:C,3,FALSE),""))),"")</f>
      </c>
      <c r="D46" s="7" t="s">
        <v>109</v>
      </c>
      <c r="E46" s="8" t="s">
        <v>1891</v>
      </c>
      <c r="F46" s="12">
        <v>0</v>
      </c>
      <c r="G46" s="25">
        <v>258000</v>
      </c>
      <c r="H46" s="26"/>
      <c r="I46" s="14">
        <f>IF(AND(G46&gt;0,H46&gt;0),ROUND((1-H46/G46)*100,0),0)</f>
        <v>0</v>
      </c>
      <c r="J46" s="27" t="s">
        <v>29</v>
      </c>
      <c r="K46" s="12" t="s">
        <v>1888</v>
      </c>
      <c r="L46" s="8" t="s">
        <v>26</v>
      </c>
    </row>
    <row r="47" ht="20" customHeight="1" spans="1:12" x14ac:dyDescent="0.25">
      <c r="A47" s="28" t="s">
        <v>1959</v>
      </c>
      <c r="B47" s="28" t="s">
        <v>108</v>
      </c>
      <c r="C47" s="24">
        <f>IF(B47&lt;&gt;"",IFERROR(VLOOKUP(B47,'📦 Productos'!A:C,3,FALSE),IFERROR(VLOOKUP(B47&amp;"",'📦 Productos'!A:C,3,FALSE),IFERROR(VLOOKUP(VALUE(B47),'📦 Productos'!A:C,3,FALSE),""))),"")</f>
      </c>
      <c r="D47" s="28" t="s">
        <v>1960</v>
      </c>
      <c r="E47" s="29" t="s">
        <v>1887</v>
      </c>
      <c r="F47" s="30">
        <v>0</v>
      </c>
      <c r="G47" s="31">
        <v>196000</v>
      </c>
      <c r="H47" s="32"/>
      <c r="I47" s="14">
        <f>IF(AND(G47&gt;0,H47&gt;0),ROUND((1-H47/G47)*100,0),0)</f>
        <v>0</v>
      </c>
      <c r="J47" s="33" t="s">
        <v>29</v>
      </c>
      <c r="K47" s="30" t="s">
        <v>1888</v>
      </c>
      <c r="L47" s="29" t="s">
        <v>26</v>
      </c>
    </row>
    <row r="48" ht="20" customHeight="1" spans="1:12" x14ac:dyDescent="0.25">
      <c r="A48" s="7" t="s">
        <v>1961</v>
      </c>
      <c r="B48" s="7" t="s">
        <v>108</v>
      </c>
      <c r="C48" s="24">
        <f>IF(B48&lt;&gt;"",IFERROR(VLOOKUP(B48,'📦 Productos'!A:C,3,FALSE),IFERROR(VLOOKUP(B48&amp;"",'📦 Productos'!A:C,3,FALSE),IFERROR(VLOOKUP(VALUE(B48),'📦 Productos'!A:C,3,FALSE),""))),"")</f>
      </c>
      <c r="D48" s="7" t="s">
        <v>1962</v>
      </c>
      <c r="E48" s="8" t="s">
        <v>1940</v>
      </c>
      <c r="F48" s="12">
        <v>0</v>
      </c>
      <c r="G48" s="25">
        <v>140000</v>
      </c>
      <c r="H48" s="26"/>
      <c r="I48" s="14">
        <f>IF(AND(G48&gt;0,H48&gt;0),ROUND((1-H48/G48)*100,0),0)</f>
        <v>0</v>
      </c>
      <c r="J48" s="27" t="s">
        <v>29</v>
      </c>
      <c r="K48" s="12" t="s">
        <v>1888</v>
      </c>
      <c r="L48" s="8" t="s">
        <v>26</v>
      </c>
    </row>
    <row r="49" ht="20" customHeight="1" spans="1:12" x14ac:dyDescent="0.25">
      <c r="A49" s="28" t="s">
        <v>1963</v>
      </c>
      <c r="B49" s="28" t="s">
        <v>112</v>
      </c>
      <c r="C49" s="24">
        <f>IF(B49&lt;&gt;"",IFERROR(VLOOKUP(B49,'📦 Productos'!A:C,3,FALSE),IFERROR(VLOOKUP(B49&amp;"",'📦 Productos'!A:C,3,FALSE),IFERROR(VLOOKUP(VALUE(B49),'📦 Productos'!A:C,3,FALSE),""))),"")</f>
      </c>
      <c r="D49" s="28" t="s">
        <v>113</v>
      </c>
      <c r="E49" s="29" t="s">
        <v>1930</v>
      </c>
      <c r="F49" s="30">
        <v>0</v>
      </c>
      <c r="G49" s="31">
        <v>258000</v>
      </c>
      <c r="H49" s="32"/>
      <c r="I49" s="14">
        <f>IF(AND(G49&gt;0,H49&gt;0),ROUND((1-H49/G49)*100,0),0)</f>
        <v>0</v>
      </c>
      <c r="J49" s="33" t="s">
        <v>29</v>
      </c>
      <c r="K49" s="30" t="s">
        <v>1888</v>
      </c>
      <c r="L49" s="29" t="s">
        <v>26</v>
      </c>
    </row>
    <row r="50" ht="20" customHeight="1" spans="1:12" x14ac:dyDescent="0.25">
      <c r="A50" s="7" t="s">
        <v>1964</v>
      </c>
      <c r="B50" s="7" t="s">
        <v>112</v>
      </c>
      <c r="C50" s="24">
        <f>IF(B50&lt;&gt;"",IFERROR(VLOOKUP(B50,'📦 Productos'!A:C,3,FALSE),IFERROR(VLOOKUP(B50&amp;"",'📦 Productos'!A:C,3,FALSE),IFERROR(VLOOKUP(VALUE(B50),'📦 Productos'!A:C,3,FALSE),""))),"")</f>
      </c>
      <c r="D50" s="7" t="s">
        <v>1965</v>
      </c>
      <c r="E50" s="8" t="s">
        <v>1930</v>
      </c>
      <c r="F50" s="12">
        <v>0</v>
      </c>
      <c r="G50" s="25">
        <v>258000</v>
      </c>
      <c r="H50" s="26"/>
      <c r="I50" s="14">
        <f>IF(AND(G50&gt;0,H50&gt;0),ROUND((1-H50/G50)*100,0),0)</f>
        <v>0</v>
      </c>
      <c r="J50" s="27" t="s">
        <v>29</v>
      </c>
      <c r="K50" s="12" t="s">
        <v>1888</v>
      </c>
      <c r="L50" s="8" t="s">
        <v>26</v>
      </c>
    </row>
    <row r="51" ht="20" customHeight="1" spans="1:12" x14ac:dyDescent="0.25">
      <c r="A51" s="28" t="s">
        <v>1966</v>
      </c>
      <c r="B51" s="28" t="s">
        <v>115</v>
      </c>
      <c r="C51" s="24">
        <f>IF(B51&lt;&gt;"",IFERROR(VLOOKUP(B51,'📦 Productos'!A:C,3,FALSE),IFERROR(VLOOKUP(B51&amp;"",'📦 Productos'!A:C,3,FALSE),IFERROR(VLOOKUP(VALUE(B51),'📦 Productos'!A:C,3,FALSE),""))),"")</f>
      </c>
      <c r="D51" s="28" t="s">
        <v>116</v>
      </c>
      <c r="E51" s="29" t="s">
        <v>1891</v>
      </c>
      <c r="F51" s="30">
        <v>0</v>
      </c>
      <c r="G51" s="31">
        <v>196000</v>
      </c>
      <c r="H51" s="32">
        <v>137200</v>
      </c>
      <c r="I51" s="14">
        <f>IF(AND(G51&gt;0,H51&gt;0),ROUND((1-H51/G51)*100,0),0)</f>
        <v>30</v>
      </c>
      <c r="J51" s="33" t="s">
        <v>29</v>
      </c>
      <c r="K51" s="30" t="s">
        <v>1888</v>
      </c>
      <c r="L51" s="29" t="s">
        <v>26</v>
      </c>
    </row>
    <row r="52" ht="20" customHeight="1" spans="1:12" x14ac:dyDescent="0.25">
      <c r="A52" s="7" t="s">
        <v>1967</v>
      </c>
      <c r="B52" s="7" t="s">
        <v>119</v>
      </c>
      <c r="C52" s="24">
        <f>IF(B52&lt;&gt;"",IFERROR(VLOOKUP(B52,'📦 Productos'!A:C,3,FALSE),IFERROR(VLOOKUP(B52&amp;"",'📦 Productos'!A:C,3,FALSE),IFERROR(VLOOKUP(VALUE(B52),'📦 Productos'!A:C,3,FALSE),""))),"")</f>
      </c>
      <c r="D52" s="7" t="s">
        <v>120</v>
      </c>
      <c r="E52" s="8" t="s">
        <v>1896</v>
      </c>
      <c r="F52" s="12">
        <v>0</v>
      </c>
      <c r="G52" s="25">
        <v>278000</v>
      </c>
      <c r="H52" s="26"/>
      <c r="I52" s="14">
        <f>IF(AND(G52&gt;0,H52&gt;0),ROUND((1-H52/G52)*100,0),0)</f>
        <v>0</v>
      </c>
      <c r="J52" s="27" t="s">
        <v>29</v>
      </c>
      <c r="K52" s="12" t="s">
        <v>1888</v>
      </c>
      <c r="L52" s="8" t="s">
        <v>26</v>
      </c>
    </row>
    <row r="53" ht="20" customHeight="1" spans="1:12" x14ac:dyDescent="0.25">
      <c r="A53" s="28" t="s">
        <v>1968</v>
      </c>
      <c r="B53" s="28" t="s">
        <v>123</v>
      </c>
      <c r="C53" s="24">
        <f>IF(B53&lt;&gt;"",IFERROR(VLOOKUP(B53,'📦 Productos'!A:C,3,FALSE),IFERROR(VLOOKUP(B53&amp;"",'📦 Productos'!A:C,3,FALSE),IFERROR(VLOOKUP(VALUE(B53),'📦 Productos'!A:C,3,FALSE),""))),"")</f>
      </c>
      <c r="D53" s="28" t="s">
        <v>124</v>
      </c>
      <c r="E53" s="29" t="s">
        <v>1896</v>
      </c>
      <c r="F53" s="30">
        <v>0</v>
      </c>
      <c r="G53" s="31">
        <v>218000</v>
      </c>
      <c r="H53" s="32"/>
      <c r="I53" s="14">
        <f>IF(AND(G53&gt;0,H53&gt;0),ROUND((1-H53/G53)*100,0),0)</f>
        <v>0</v>
      </c>
      <c r="J53" s="33" t="s">
        <v>29</v>
      </c>
      <c r="K53" s="30" t="s">
        <v>1888</v>
      </c>
      <c r="L53" s="29" t="s">
        <v>26</v>
      </c>
    </row>
    <row r="54" ht="20" customHeight="1" spans="1:12" x14ac:dyDescent="0.25">
      <c r="A54" s="7" t="s">
        <v>1969</v>
      </c>
      <c r="B54" s="7" t="s">
        <v>126</v>
      </c>
      <c r="C54" s="24">
        <f>IF(B54&lt;&gt;"",IFERROR(VLOOKUP(B54,'📦 Productos'!A:C,3,FALSE),IFERROR(VLOOKUP(B54&amp;"",'📦 Productos'!A:C,3,FALSE),IFERROR(VLOOKUP(VALUE(B54),'📦 Productos'!A:C,3,FALSE),""))),"")</f>
      </c>
      <c r="D54" s="7" t="s">
        <v>127</v>
      </c>
      <c r="E54" s="8" t="s">
        <v>1970</v>
      </c>
      <c r="F54" s="12">
        <v>0</v>
      </c>
      <c r="G54" s="25">
        <v>299000</v>
      </c>
      <c r="H54" s="26"/>
      <c r="I54" s="14">
        <f>IF(AND(G54&gt;0,H54&gt;0),ROUND((1-H54/G54)*100,0),0)</f>
        <v>0</v>
      </c>
      <c r="J54" s="27" t="s">
        <v>29</v>
      </c>
      <c r="K54" s="12" t="s">
        <v>1888</v>
      </c>
      <c r="L54" s="8" t="s">
        <v>26</v>
      </c>
    </row>
    <row r="55" ht="20" customHeight="1" spans="1:12" x14ac:dyDescent="0.25">
      <c r="A55" s="28" t="s">
        <v>1971</v>
      </c>
      <c r="B55" s="28" t="s">
        <v>126</v>
      </c>
      <c r="C55" s="24">
        <f>IF(B55&lt;&gt;"",IFERROR(VLOOKUP(B55,'📦 Productos'!A:C,3,FALSE),IFERROR(VLOOKUP(B55&amp;"",'📦 Productos'!A:C,3,FALSE),IFERROR(VLOOKUP(VALUE(B55),'📦 Productos'!A:C,3,FALSE),""))),"")</f>
      </c>
      <c r="D55" s="28" t="s">
        <v>1972</v>
      </c>
      <c r="E55" s="29" t="s">
        <v>1893</v>
      </c>
      <c r="F55" s="30">
        <v>0</v>
      </c>
      <c r="G55" s="31">
        <v>162000</v>
      </c>
      <c r="H55" s="32"/>
      <c r="I55" s="14">
        <f>IF(AND(G55&gt;0,H55&gt;0),ROUND((1-H55/G55)*100,0),0)</f>
        <v>0</v>
      </c>
      <c r="J55" s="33" t="s">
        <v>29</v>
      </c>
      <c r="K55" s="30" t="s">
        <v>1888</v>
      </c>
      <c r="L55" s="29" t="s">
        <v>26</v>
      </c>
    </row>
    <row r="56" ht="20" customHeight="1" spans="1:12" x14ac:dyDescent="0.25">
      <c r="A56" s="7" t="s">
        <v>1973</v>
      </c>
      <c r="B56" s="7" t="s">
        <v>126</v>
      </c>
      <c r="C56" s="24">
        <f>IF(B56&lt;&gt;"",IFERROR(VLOOKUP(B56,'📦 Productos'!A:C,3,FALSE),IFERROR(VLOOKUP(B56&amp;"",'📦 Productos'!A:C,3,FALSE),IFERROR(VLOOKUP(VALUE(B56),'📦 Productos'!A:C,3,FALSE),""))),"")</f>
      </c>
      <c r="D56" s="7" t="s">
        <v>1974</v>
      </c>
      <c r="E56" s="8" t="s">
        <v>1899</v>
      </c>
      <c r="F56" s="12">
        <v>0</v>
      </c>
      <c r="G56" s="25">
        <v>230000</v>
      </c>
      <c r="H56" s="26"/>
      <c r="I56" s="14">
        <f>IF(AND(G56&gt;0,H56&gt;0),ROUND((1-H56/G56)*100,0),0)</f>
        <v>0</v>
      </c>
      <c r="J56" s="27" t="s">
        <v>29</v>
      </c>
      <c r="K56" s="12" t="s">
        <v>1888</v>
      </c>
      <c r="L56" s="8" t="s">
        <v>26</v>
      </c>
    </row>
    <row r="57" ht="20" customHeight="1" spans="1:12" x14ac:dyDescent="0.25">
      <c r="A57" s="28" t="s">
        <v>1975</v>
      </c>
      <c r="B57" s="28" t="s">
        <v>130</v>
      </c>
      <c r="C57" s="24">
        <f>IF(B57&lt;&gt;"",IFERROR(VLOOKUP(B57,'📦 Productos'!A:C,3,FALSE),IFERROR(VLOOKUP(B57&amp;"",'📦 Productos'!A:C,3,FALSE),IFERROR(VLOOKUP(VALUE(B57),'📦 Productos'!A:C,3,FALSE),""))),"")</f>
      </c>
      <c r="D57" s="28" t="s">
        <v>131</v>
      </c>
      <c r="E57" s="29" t="s">
        <v>1930</v>
      </c>
      <c r="F57" s="30">
        <v>0</v>
      </c>
      <c r="G57" s="31">
        <v>258000</v>
      </c>
      <c r="H57" s="32"/>
      <c r="I57" s="14">
        <f>IF(AND(G57&gt;0,H57&gt;0),ROUND((1-H57/G57)*100,0),0)</f>
        <v>0</v>
      </c>
      <c r="J57" s="33" t="s">
        <v>29</v>
      </c>
      <c r="K57" s="30" t="s">
        <v>1888</v>
      </c>
      <c r="L57" s="29" t="s">
        <v>26</v>
      </c>
    </row>
    <row r="58" ht="20" customHeight="1" spans="1:12" x14ac:dyDescent="0.25">
      <c r="A58" s="7" t="s">
        <v>1976</v>
      </c>
      <c r="B58" s="7" t="s">
        <v>133</v>
      </c>
      <c r="C58" s="24">
        <f>IF(B58&lt;&gt;"",IFERROR(VLOOKUP(B58,'📦 Productos'!A:C,3,FALSE),IFERROR(VLOOKUP(B58&amp;"",'📦 Productos'!A:C,3,FALSE),IFERROR(VLOOKUP(VALUE(B58),'📦 Productos'!A:C,3,FALSE),""))),"")</f>
      </c>
      <c r="D58" s="7" t="s">
        <v>134</v>
      </c>
      <c r="E58" s="8" t="s">
        <v>1887</v>
      </c>
      <c r="F58" s="12">
        <v>0</v>
      </c>
      <c r="G58" s="25">
        <v>186000</v>
      </c>
      <c r="H58" s="26"/>
      <c r="I58" s="14">
        <f>IF(AND(G58&gt;0,H58&gt;0),ROUND((1-H58/G58)*100,0),0)</f>
        <v>0</v>
      </c>
      <c r="J58" s="27" t="s">
        <v>29</v>
      </c>
      <c r="K58" s="12" t="s">
        <v>1888</v>
      </c>
      <c r="L58" s="8" t="s">
        <v>26</v>
      </c>
    </row>
    <row r="59" ht="20" customHeight="1" spans="1:12" x14ac:dyDescent="0.25">
      <c r="A59" s="28" t="s">
        <v>1977</v>
      </c>
      <c r="B59" s="28" t="s">
        <v>133</v>
      </c>
      <c r="C59" s="24">
        <f>IF(B59&lt;&gt;"",IFERROR(VLOOKUP(B59,'📦 Productos'!A:C,3,FALSE),IFERROR(VLOOKUP(B59&amp;"",'📦 Productos'!A:C,3,FALSE),IFERROR(VLOOKUP(VALUE(B59),'📦 Productos'!A:C,3,FALSE),""))),"")</f>
      </c>
      <c r="D59" s="28" t="s">
        <v>1978</v>
      </c>
      <c r="E59" s="29" t="s">
        <v>1891</v>
      </c>
      <c r="F59" s="30">
        <v>0</v>
      </c>
      <c r="G59" s="31">
        <v>245000</v>
      </c>
      <c r="H59" s="32">
        <v>154350</v>
      </c>
      <c r="I59" s="14">
        <f>IF(AND(G59&gt;0,H59&gt;0),ROUND((1-H59/G59)*100,0),0)</f>
        <v>37</v>
      </c>
      <c r="J59" s="33" t="s">
        <v>29</v>
      </c>
      <c r="K59" s="30" t="s">
        <v>1888</v>
      </c>
      <c r="L59" s="29" t="s">
        <v>26</v>
      </c>
    </row>
    <row r="60" ht="20" customHeight="1" spans="1:12" x14ac:dyDescent="0.25">
      <c r="A60" s="7" t="s">
        <v>1979</v>
      </c>
      <c r="B60" s="7" t="s">
        <v>133</v>
      </c>
      <c r="C60" s="24">
        <f>IF(B60&lt;&gt;"",IFERROR(VLOOKUP(B60,'📦 Productos'!A:C,3,FALSE),IFERROR(VLOOKUP(B60&amp;"",'📦 Productos'!A:C,3,FALSE),IFERROR(VLOOKUP(VALUE(B60),'📦 Productos'!A:C,3,FALSE),""))),"")</f>
      </c>
      <c r="D60" s="7" t="s">
        <v>1980</v>
      </c>
      <c r="E60" s="8" t="s">
        <v>1940</v>
      </c>
      <c r="F60" s="12">
        <v>0</v>
      </c>
      <c r="G60" s="25">
        <v>135000</v>
      </c>
      <c r="H60" s="26"/>
      <c r="I60" s="14">
        <f>IF(AND(G60&gt;0,H60&gt;0),ROUND((1-H60/G60)*100,0),0)</f>
        <v>0</v>
      </c>
      <c r="J60" s="27" t="s">
        <v>29</v>
      </c>
      <c r="K60" s="12" t="s">
        <v>1888</v>
      </c>
      <c r="L60" s="8" t="s">
        <v>26</v>
      </c>
    </row>
    <row r="61" ht="20" customHeight="1" spans="1:12" x14ac:dyDescent="0.25">
      <c r="A61" s="28" t="s">
        <v>1981</v>
      </c>
      <c r="B61" s="28" t="s">
        <v>137</v>
      </c>
      <c r="C61" s="24">
        <f>IF(B61&lt;&gt;"",IFERROR(VLOOKUP(B61,'📦 Productos'!A:C,3,FALSE),IFERROR(VLOOKUP(B61&amp;"",'📦 Productos'!A:C,3,FALSE),IFERROR(VLOOKUP(VALUE(B61),'📦 Productos'!A:C,3,FALSE),""))),"")</f>
      </c>
      <c r="D61" s="28" t="s">
        <v>138</v>
      </c>
      <c r="E61" s="29" t="s">
        <v>1930</v>
      </c>
      <c r="F61" s="30">
        <v>0</v>
      </c>
      <c r="G61" s="31">
        <v>245000</v>
      </c>
      <c r="H61" s="32"/>
      <c r="I61" s="14">
        <f>IF(AND(G61&gt;0,H61&gt;0),ROUND((1-H61/G61)*100,0),0)</f>
        <v>0</v>
      </c>
      <c r="J61" s="33" t="s">
        <v>29</v>
      </c>
      <c r="K61" s="30" t="s">
        <v>1888</v>
      </c>
      <c r="L61" s="29" t="s">
        <v>26</v>
      </c>
    </row>
    <row r="62" ht="20" customHeight="1" spans="1:12" x14ac:dyDescent="0.25">
      <c r="A62" s="7" t="s">
        <v>1982</v>
      </c>
      <c r="B62" s="7" t="s">
        <v>137</v>
      </c>
      <c r="C62" s="24">
        <f>IF(B62&lt;&gt;"",IFERROR(VLOOKUP(B62,'📦 Productos'!A:C,3,FALSE),IFERROR(VLOOKUP(B62&amp;"",'📦 Productos'!A:C,3,FALSE),IFERROR(VLOOKUP(VALUE(B62),'📦 Productos'!A:C,3,FALSE),""))),"")</f>
      </c>
      <c r="D62" s="7" t="s">
        <v>1983</v>
      </c>
      <c r="E62" s="8" t="s">
        <v>1930</v>
      </c>
      <c r="F62" s="12">
        <v>0</v>
      </c>
      <c r="G62" s="25">
        <v>245000</v>
      </c>
      <c r="H62" s="26"/>
      <c r="I62" s="14">
        <f>IF(AND(G62&gt;0,H62&gt;0),ROUND((1-H62/G62)*100,0),0)</f>
        <v>0</v>
      </c>
      <c r="J62" s="27" t="s">
        <v>29</v>
      </c>
      <c r="K62" s="12" t="s">
        <v>1888</v>
      </c>
      <c r="L62" s="8" t="s">
        <v>26</v>
      </c>
    </row>
    <row r="63" ht="20" customHeight="1" spans="1:12" x14ac:dyDescent="0.25">
      <c r="A63" s="28" t="s">
        <v>1984</v>
      </c>
      <c r="B63" s="28" t="s">
        <v>140</v>
      </c>
      <c r="C63" s="24">
        <f>IF(B63&lt;&gt;"",IFERROR(VLOOKUP(B63,'📦 Productos'!A:C,3,FALSE),IFERROR(VLOOKUP(B63&amp;"",'📦 Productos'!A:C,3,FALSE),IFERROR(VLOOKUP(VALUE(B63),'📦 Productos'!A:C,3,FALSE),""))),"")</f>
      </c>
      <c r="D63" s="28" t="s">
        <v>141</v>
      </c>
      <c r="E63" s="29" t="s">
        <v>1891</v>
      </c>
      <c r="F63" s="30">
        <v>0</v>
      </c>
      <c r="G63" s="31">
        <v>185900</v>
      </c>
      <c r="H63" s="32">
        <v>130130</v>
      </c>
      <c r="I63" s="14">
        <f>IF(AND(G63&gt;0,H63&gt;0),ROUND((1-H63/G63)*100,0),0)</f>
        <v>30</v>
      </c>
      <c r="J63" s="33" t="s">
        <v>29</v>
      </c>
      <c r="K63" s="30" t="s">
        <v>1888</v>
      </c>
      <c r="L63" s="29" t="s">
        <v>26</v>
      </c>
    </row>
    <row r="64" ht="20" customHeight="1" spans="1:12" x14ac:dyDescent="0.25">
      <c r="A64" s="7" t="s">
        <v>1985</v>
      </c>
      <c r="B64" s="7" t="s">
        <v>140</v>
      </c>
      <c r="C64" s="24">
        <f>IF(B64&lt;&gt;"",IFERROR(VLOOKUP(B64,'📦 Productos'!A:C,3,FALSE),IFERROR(VLOOKUP(B64&amp;"",'📦 Productos'!A:C,3,FALSE),IFERROR(VLOOKUP(VALUE(B64),'📦 Productos'!A:C,3,FALSE),""))),"")</f>
      </c>
      <c r="D64" s="7" t="s">
        <v>1986</v>
      </c>
      <c r="E64" s="8" t="s">
        <v>1887</v>
      </c>
      <c r="F64" s="12">
        <v>0</v>
      </c>
      <c r="G64" s="25">
        <v>143600</v>
      </c>
      <c r="H64" s="26">
        <v>100520</v>
      </c>
      <c r="I64" s="14">
        <f>IF(AND(G64&gt;0,H64&gt;0),ROUND((1-H64/G64)*100,0),0)</f>
        <v>30</v>
      </c>
      <c r="J64" s="27" t="s">
        <v>29</v>
      </c>
      <c r="K64" s="12" t="s">
        <v>1888</v>
      </c>
      <c r="L64" s="8" t="s">
        <v>26</v>
      </c>
    </row>
    <row r="65" ht="20" customHeight="1" spans="1:12" x14ac:dyDescent="0.25">
      <c r="A65" s="28" t="s">
        <v>1987</v>
      </c>
      <c r="B65" s="28" t="s">
        <v>144</v>
      </c>
      <c r="C65" s="24">
        <f>IF(B65&lt;&gt;"",IFERROR(VLOOKUP(B65,'📦 Productos'!A:C,3,FALSE),IFERROR(VLOOKUP(B65&amp;"",'📦 Productos'!A:C,3,FALSE),IFERROR(VLOOKUP(VALUE(B65),'📦 Productos'!A:C,3,FALSE),""))),"")</f>
      </c>
      <c r="D65" s="28" t="s">
        <v>145</v>
      </c>
      <c r="E65" s="29" t="s">
        <v>1899</v>
      </c>
      <c r="F65" s="30">
        <v>0</v>
      </c>
      <c r="G65" s="31">
        <v>200000</v>
      </c>
      <c r="H65" s="32"/>
      <c r="I65" s="14">
        <f>IF(AND(G65&gt;0,H65&gt;0),ROUND((1-H65/G65)*100,0),0)</f>
        <v>0</v>
      </c>
      <c r="J65" s="33" t="s">
        <v>29</v>
      </c>
      <c r="K65" s="30" t="s">
        <v>1888</v>
      </c>
      <c r="L65" s="29" t="s">
        <v>26</v>
      </c>
    </row>
    <row r="66" ht="20" customHeight="1" spans="1:12" x14ac:dyDescent="0.25">
      <c r="A66" s="7" t="s">
        <v>1988</v>
      </c>
      <c r="B66" s="7" t="s">
        <v>144</v>
      </c>
      <c r="C66" s="24">
        <f>IF(B66&lt;&gt;"",IFERROR(VLOOKUP(B66,'📦 Productos'!A:C,3,FALSE),IFERROR(VLOOKUP(B66&amp;"",'📦 Productos'!A:C,3,FALSE),IFERROR(VLOOKUP(VALUE(B66),'📦 Productos'!A:C,3,FALSE),""))),"")</f>
      </c>
      <c r="D66" s="7" t="s">
        <v>1989</v>
      </c>
      <c r="E66" s="8" t="s">
        <v>1943</v>
      </c>
      <c r="F66" s="12">
        <v>0</v>
      </c>
      <c r="G66" s="25">
        <v>272000</v>
      </c>
      <c r="H66" s="26"/>
      <c r="I66" s="14">
        <f>IF(AND(G66&gt;0,H66&gt;0),ROUND((1-H66/G66)*100,0),0)</f>
        <v>0</v>
      </c>
      <c r="J66" s="27" t="s">
        <v>29</v>
      </c>
      <c r="K66" s="12" t="s">
        <v>1888</v>
      </c>
      <c r="L66" s="8" t="s">
        <v>26</v>
      </c>
    </row>
    <row r="67" ht="20" customHeight="1" spans="1:12" x14ac:dyDescent="0.25">
      <c r="A67" s="28" t="s">
        <v>1990</v>
      </c>
      <c r="B67" s="28" t="s">
        <v>148</v>
      </c>
      <c r="C67" s="24">
        <f>IF(B67&lt;&gt;"",IFERROR(VLOOKUP(B67,'📦 Productos'!A:C,3,FALSE),IFERROR(VLOOKUP(B67&amp;"",'📦 Productos'!A:C,3,FALSE),IFERROR(VLOOKUP(VALUE(B67),'📦 Productos'!A:C,3,FALSE),""))),"")</f>
      </c>
      <c r="D67" s="28" t="s">
        <v>149</v>
      </c>
      <c r="E67" s="29" t="s">
        <v>26</v>
      </c>
      <c r="F67" s="30">
        <v>0</v>
      </c>
      <c r="G67" s="31">
        <v>218000</v>
      </c>
      <c r="H67" s="32"/>
      <c r="I67" s="14">
        <f>IF(AND(G67&gt;0,H67&gt;0),ROUND((1-H67/G67)*100,0),0)</f>
        <v>0</v>
      </c>
      <c r="J67" s="33" t="s">
        <v>29</v>
      </c>
      <c r="K67" s="30" t="s">
        <v>1888</v>
      </c>
      <c r="L67" s="29" t="s">
        <v>26</v>
      </c>
    </row>
    <row r="68" ht="20" customHeight="1" spans="1:12" x14ac:dyDescent="0.25">
      <c r="A68" s="7" t="s">
        <v>1991</v>
      </c>
      <c r="B68" s="7" t="s">
        <v>151</v>
      </c>
      <c r="C68" s="24">
        <f>IF(B68&lt;&gt;"",IFERROR(VLOOKUP(B68,'📦 Productos'!A:C,3,FALSE),IFERROR(VLOOKUP(B68&amp;"",'📦 Productos'!A:C,3,FALSE),IFERROR(VLOOKUP(VALUE(B68),'📦 Productos'!A:C,3,FALSE),""))),"")</f>
      </c>
      <c r="D68" s="7" t="s">
        <v>152</v>
      </c>
      <c r="E68" s="8" t="s">
        <v>1893</v>
      </c>
      <c r="F68" s="12">
        <v>0</v>
      </c>
      <c r="G68" s="25">
        <v>105000</v>
      </c>
      <c r="H68" s="26"/>
      <c r="I68" s="14">
        <f>IF(AND(G68&gt;0,H68&gt;0),ROUND((1-H68/G68)*100,0),0)</f>
        <v>0</v>
      </c>
      <c r="J68" s="27" t="s">
        <v>29</v>
      </c>
      <c r="K68" s="12" t="s">
        <v>1888</v>
      </c>
      <c r="L68" s="8" t="s">
        <v>26</v>
      </c>
    </row>
    <row r="69" ht="20" customHeight="1" spans="1:12" x14ac:dyDescent="0.25">
      <c r="A69" s="28" t="s">
        <v>1992</v>
      </c>
      <c r="B69" s="28" t="s">
        <v>151</v>
      </c>
      <c r="C69" s="24">
        <f>IF(B69&lt;&gt;"",IFERROR(VLOOKUP(B69,'📦 Productos'!A:C,3,FALSE),IFERROR(VLOOKUP(B69&amp;"",'📦 Productos'!A:C,3,FALSE),IFERROR(VLOOKUP(VALUE(B69),'📦 Productos'!A:C,3,FALSE),""))),"")</f>
      </c>
      <c r="D69" s="28" t="s">
        <v>1993</v>
      </c>
      <c r="E69" s="29" t="s">
        <v>1899</v>
      </c>
      <c r="F69" s="30">
        <v>0</v>
      </c>
      <c r="G69" s="31">
        <v>150000</v>
      </c>
      <c r="H69" s="32"/>
      <c r="I69" s="14">
        <f>IF(AND(G69&gt;0,H69&gt;0),ROUND((1-H69/G69)*100,0),0)</f>
        <v>0</v>
      </c>
      <c r="J69" s="33" t="s">
        <v>29</v>
      </c>
      <c r="K69" s="30" t="s">
        <v>1888</v>
      </c>
      <c r="L69" s="29" t="s">
        <v>26</v>
      </c>
    </row>
    <row r="70" ht="20" customHeight="1" spans="1:12" x14ac:dyDescent="0.25">
      <c r="A70" s="7" t="s">
        <v>1994</v>
      </c>
      <c r="B70" s="7" t="s">
        <v>151</v>
      </c>
      <c r="C70" s="24">
        <f>IF(B70&lt;&gt;"",IFERROR(VLOOKUP(B70,'📦 Productos'!A:C,3,FALSE),IFERROR(VLOOKUP(B70&amp;"",'📦 Productos'!A:C,3,FALSE),IFERROR(VLOOKUP(VALUE(B70),'📦 Productos'!A:C,3,FALSE),""))),"")</f>
      </c>
      <c r="D70" s="7" t="s">
        <v>1995</v>
      </c>
      <c r="E70" s="8" t="s">
        <v>1899</v>
      </c>
      <c r="F70" s="12">
        <v>0</v>
      </c>
      <c r="G70" s="25">
        <v>150000</v>
      </c>
      <c r="H70" s="26"/>
      <c r="I70" s="14">
        <f>IF(AND(G70&gt;0,H70&gt;0),ROUND((1-H70/G70)*100,0),0)</f>
        <v>0</v>
      </c>
      <c r="J70" s="27" t="s">
        <v>29</v>
      </c>
      <c r="K70" s="12" t="s">
        <v>1888</v>
      </c>
      <c r="L70" s="8" t="s">
        <v>26</v>
      </c>
    </row>
    <row r="71" ht="20" customHeight="1" spans="1:12" x14ac:dyDescent="0.25">
      <c r="A71" s="28" t="s">
        <v>1996</v>
      </c>
      <c r="B71" s="28" t="s">
        <v>151</v>
      </c>
      <c r="C71" s="24">
        <f>IF(B71&lt;&gt;"",IFERROR(VLOOKUP(B71,'📦 Productos'!A:C,3,FALSE),IFERROR(VLOOKUP(B71&amp;"",'📦 Productos'!A:C,3,FALSE),IFERROR(VLOOKUP(VALUE(B71),'📦 Productos'!A:C,3,FALSE),""))),"")</f>
      </c>
      <c r="D71" s="28" t="s">
        <v>1997</v>
      </c>
      <c r="E71" s="29" t="s">
        <v>1893</v>
      </c>
      <c r="F71" s="30">
        <v>0</v>
      </c>
      <c r="G71" s="31">
        <v>105000</v>
      </c>
      <c r="H71" s="32"/>
      <c r="I71" s="14">
        <f>IF(AND(G71&gt;0,H71&gt;0),ROUND((1-H71/G71)*100,0),0)</f>
        <v>0</v>
      </c>
      <c r="J71" s="33" t="s">
        <v>29</v>
      </c>
      <c r="K71" s="30" t="s">
        <v>1888</v>
      </c>
      <c r="L71" s="29" t="s">
        <v>26</v>
      </c>
    </row>
    <row r="72" ht="20" customHeight="1" spans="1:12" x14ac:dyDescent="0.25">
      <c r="A72" s="7" t="s">
        <v>1998</v>
      </c>
      <c r="B72" s="7" t="s">
        <v>151</v>
      </c>
      <c r="C72" s="24">
        <f>IF(B72&lt;&gt;"",IFERROR(VLOOKUP(B72,'📦 Productos'!A:C,3,FALSE),IFERROR(VLOOKUP(B72&amp;"",'📦 Productos'!A:C,3,FALSE),IFERROR(VLOOKUP(VALUE(B72),'📦 Productos'!A:C,3,FALSE),""))),"")</f>
      </c>
      <c r="D72" s="7" t="s">
        <v>1999</v>
      </c>
      <c r="E72" s="8" t="s">
        <v>1899</v>
      </c>
      <c r="F72" s="12">
        <v>0</v>
      </c>
      <c r="G72" s="25">
        <v>150000</v>
      </c>
      <c r="H72" s="26"/>
      <c r="I72" s="14">
        <f>IF(AND(G72&gt;0,H72&gt;0),ROUND((1-H72/G72)*100,0),0)</f>
        <v>0</v>
      </c>
      <c r="J72" s="27" t="s">
        <v>29</v>
      </c>
      <c r="K72" s="12" t="s">
        <v>1888</v>
      </c>
      <c r="L72" s="8" t="s">
        <v>26</v>
      </c>
    </row>
    <row r="73" ht="20" customHeight="1" spans="1:12" x14ac:dyDescent="0.25">
      <c r="A73" s="28" t="s">
        <v>2000</v>
      </c>
      <c r="B73" s="28" t="s">
        <v>155</v>
      </c>
      <c r="C73" s="24">
        <f>IF(B73&lt;&gt;"",IFERROR(VLOOKUP(B73,'📦 Productos'!A:C,3,FALSE),IFERROR(VLOOKUP(B73&amp;"",'📦 Productos'!A:C,3,FALSE),IFERROR(VLOOKUP(VALUE(B73),'📦 Productos'!A:C,3,FALSE),""))),"")</f>
      </c>
      <c r="D73" s="28" t="s">
        <v>156</v>
      </c>
      <c r="E73" s="29" t="s">
        <v>1899</v>
      </c>
      <c r="F73" s="30">
        <v>0</v>
      </c>
      <c r="G73" s="31">
        <v>130200</v>
      </c>
      <c r="H73" s="32">
        <v>91140</v>
      </c>
      <c r="I73" s="14">
        <f>IF(AND(G73&gt;0,H73&gt;0),ROUND((1-H73/G73)*100,0),0)</f>
        <v>30</v>
      </c>
      <c r="J73" s="33" t="s">
        <v>29</v>
      </c>
      <c r="K73" s="30" t="s">
        <v>1888</v>
      </c>
      <c r="L73" s="29" t="s">
        <v>26</v>
      </c>
    </row>
    <row r="74" ht="20" customHeight="1" spans="1:12" x14ac:dyDescent="0.25">
      <c r="A74" s="7" t="s">
        <v>2001</v>
      </c>
      <c r="B74" s="7" t="s">
        <v>159</v>
      </c>
      <c r="C74" s="24">
        <f>IF(B74&lt;&gt;"",IFERROR(VLOOKUP(B74,'📦 Productos'!A:C,3,FALSE),IFERROR(VLOOKUP(B74&amp;"",'📦 Productos'!A:C,3,FALSE),IFERROR(VLOOKUP(VALUE(B74),'📦 Productos'!A:C,3,FALSE),""))),"")</f>
      </c>
      <c r="D74" s="7" t="s">
        <v>160</v>
      </c>
      <c r="E74" s="8" t="s">
        <v>1899</v>
      </c>
      <c r="F74" s="12">
        <v>0</v>
      </c>
      <c r="G74" s="25">
        <v>130200</v>
      </c>
      <c r="H74" s="26">
        <v>91140</v>
      </c>
      <c r="I74" s="14">
        <f>IF(AND(G74&gt;0,H74&gt;0),ROUND((1-H74/G74)*100,0),0)</f>
        <v>30</v>
      </c>
      <c r="J74" s="27" t="s">
        <v>29</v>
      </c>
      <c r="K74" s="12" t="s">
        <v>1888</v>
      </c>
      <c r="L74" s="8" t="s">
        <v>26</v>
      </c>
    </row>
    <row r="75" ht="20" customHeight="1" spans="1:12" x14ac:dyDescent="0.25">
      <c r="A75" s="28" t="s">
        <v>2002</v>
      </c>
      <c r="B75" s="28" t="s">
        <v>163</v>
      </c>
      <c r="C75" s="24">
        <f>IF(B75&lt;&gt;"",IFERROR(VLOOKUP(B75,'📦 Productos'!A:C,3,FALSE),IFERROR(VLOOKUP(B75&amp;"",'📦 Productos'!A:C,3,FALSE),IFERROR(VLOOKUP(VALUE(B75),'📦 Productos'!A:C,3,FALSE),""))),"")</f>
      </c>
      <c r="D75" s="28" t="s">
        <v>164</v>
      </c>
      <c r="E75" s="29" t="s">
        <v>2003</v>
      </c>
      <c r="F75" s="30">
        <v>0</v>
      </c>
      <c r="G75" s="31">
        <v>150000</v>
      </c>
      <c r="H75" s="32"/>
      <c r="I75" s="14">
        <f>IF(AND(G75&gt;0,H75&gt;0),ROUND((1-H75/G75)*100,0),0)</f>
        <v>0</v>
      </c>
      <c r="J75" s="33" t="s">
        <v>29</v>
      </c>
      <c r="K75" s="30" t="s">
        <v>1888</v>
      </c>
      <c r="L75" s="29" t="s">
        <v>26</v>
      </c>
    </row>
    <row r="76" ht="20" customHeight="1" spans="1:12" x14ac:dyDescent="0.25">
      <c r="A76" s="7" t="s">
        <v>2004</v>
      </c>
      <c r="B76" s="7" t="s">
        <v>163</v>
      </c>
      <c r="C76" s="24">
        <f>IF(B76&lt;&gt;"",IFERROR(VLOOKUP(B76,'📦 Productos'!A:C,3,FALSE),IFERROR(VLOOKUP(B76&amp;"",'📦 Productos'!A:C,3,FALSE),IFERROR(VLOOKUP(VALUE(B76),'📦 Productos'!A:C,3,FALSE),""))),"")</f>
      </c>
      <c r="D76" s="7" t="s">
        <v>2005</v>
      </c>
      <c r="E76" s="8" t="s">
        <v>1893</v>
      </c>
      <c r="F76" s="12">
        <v>0</v>
      </c>
      <c r="G76" s="25">
        <v>105000</v>
      </c>
      <c r="H76" s="26"/>
      <c r="I76" s="14">
        <f>IF(AND(G76&gt;0,H76&gt;0),ROUND((1-H76/G76)*100,0),0)</f>
        <v>0</v>
      </c>
      <c r="J76" s="27" t="s">
        <v>29</v>
      </c>
      <c r="K76" s="12" t="s">
        <v>1888</v>
      </c>
      <c r="L76" s="8" t="s">
        <v>26</v>
      </c>
    </row>
    <row r="77" ht="20" customHeight="1" spans="1:12" x14ac:dyDescent="0.25">
      <c r="A77" s="28" t="s">
        <v>2006</v>
      </c>
      <c r="B77" s="28" t="s">
        <v>166</v>
      </c>
      <c r="C77" s="24">
        <f>IF(B77&lt;&gt;"",IFERROR(VLOOKUP(B77,'📦 Productos'!A:C,3,FALSE),IFERROR(VLOOKUP(B77&amp;"",'📦 Productos'!A:C,3,FALSE),IFERROR(VLOOKUP(VALUE(B77),'📦 Productos'!A:C,3,FALSE),""))),"")</f>
      </c>
      <c r="D77" s="28" t="s">
        <v>167</v>
      </c>
      <c r="E77" s="29" t="s">
        <v>1899</v>
      </c>
      <c r="F77" s="30">
        <v>0</v>
      </c>
      <c r="G77" s="31">
        <v>130200</v>
      </c>
      <c r="H77" s="32">
        <v>98952</v>
      </c>
      <c r="I77" s="14">
        <f>IF(AND(G77&gt;0,H77&gt;0),ROUND((1-H77/G77)*100,0),0)</f>
        <v>24</v>
      </c>
      <c r="J77" s="33" t="s">
        <v>29</v>
      </c>
      <c r="K77" s="30" t="s">
        <v>1888</v>
      </c>
      <c r="L77" s="29" t="s">
        <v>26</v>
      </c>
    </row>
    <row r="78" ht="20" customHeight="1" spans="1:12" x14ac:dyDescent="0.25">
      <c r="A78" s="7" t="s">
        <v>2007</v>
      </c>
      <c r="B78" s="7" t="s">
        <v>170</v>
      </c>
      <c r="C78" s="24">
        <f>IF(B78&lt;&gt;"",IFERROR(VLOOKUP(B78,'📦 Productos'!A:C,3,FALSE),IFERROR(VLOOKUP(B78&amp;"",'📦 Productos'!A:C,3,FALSE),IFERROR(VLOOKUP(VALUE(B78),'📦 Productos'!A:C,3,FALSE),""))),"")</f>
      </c>
      <c r="D78" s="7" t="s">
        <v>171</v>
      </c>
      <c r="E78" s="8" t="s">
        <v>1899</v>
      </c>
      <c r="F78" s="12">
        <v>0</v>
      </c>
      <c r="G78" s="25">
        <v>130200</v>
      </c>
      <c r="H78" s="26">
        <v>98952</v>
      </c>
      <c r="I78" s="14">
        <f>IF(AND(G78&gt;0,H78&gt;0),ROUND((1-H78/G78)*100,0),0)</f>
        <v>24</v>
      </c>
      <c r="J78" s="27" t="s">
        <v>29</v>
      </c>
      <c r="K78" s="12" t="s">
        <v>1888</v>
      </c>
      <c r="L78" s="8" t="s">
        <v>26</v>
      </c>
    </row>
    <row r="79" ht="20" customHeight="1" spans="1:12" x14ac:dyDescent="0.25">
      <c r="A79" s="28" t="s">
        <v>2008</v>
      </c>
      <c r="B79" s="28" t="s">
        <v>174</v>
      </c>
      <c r="C79" s="24">
        <f>IF(B79&lt;&gt;"",IFERROR(VLOOKUP(B79,'📦 Productos'!A:C,3,FALSE),IFERROR(VLOOKUP(B79&amp;"",'📦 Productos'!A:C,3,FALSE),IFERROR(VLOOKUP(VALUE(B79),'📦 Productos'!A:C,3,FALSE),""))),"")</f>
      </c>
      <c r="D79" s="28" t="s">
        <v>175</v>
      </c>
      <c r="E79" s="29" t="s">
        <v>1899</v>
      </c>
      <c r="F79" s="30">
        <v>0</v>
      </c>
      <c r="G79" s="31">
        <v>150000</v>
      </c>
      <c r="H79" s="32"/>
      <c r="I79" s="14">
        <f>IF(AND(G79&gt;0,H79&gt;0),ROUND((1-H79/G79)*100,0),0)</f>
        <v>0</v>
      </c>
      <c r="J79" s="33" t="s">
        <v>29</v>
      </c>
      <c r="K79" s="30" t="s">
        <v>1888</v>
      </c>
      <c r="L79" s="29" t="s">
        <v>26</v>
      </c>
    </row>
    <row r="80" ht="20" customHeight="1" spans="1:12" x14ac:dyDescent="0.25">
      <c r="A80" s="7" t="s">
        <v>2009</v>
      </c>
      <c r="B80" s="7" t="s">
        <v>178</v>
      </c>
      <c r="C80" s="24">
        <f>IF(B80&lt;&gt;"",IFERROR(VLOOKUP(B80,'📦 Productos'!A:C,3,FALSE),IFERROR(VLOOKUP(B80&amp;"",'📦 Productos'!A:C,3,FALSE),IFERROR(VLOOKUP(VALUE(B80),'📦 Productos'!A:C,3,FALSE),""))),"")</f>
      </c>
      <c r="D80" s="7" t="s">
        <v>179</v>
      </c>
      <c r="E80" s="8" t="s">
        <v>1896</v>
      </c>
      <c r="F80" s="12">
        <v>0</v>
      </c>
      <c r="G80" s="25">
        <v>220000</v>
      </c>
      <c r="H80" s="26"/>
      <c r="I80" s="14">
        <f>IF(AND(G80&gt;0,H80&gt;0),ROUND((1-H80/G80)*100,0),0)</f>
        <v>0</v>
      </c>
      <c r="J80" s="27" t="s">
        <v>29</v>
      </c>
      <c r="K80" s="12" t="s">
        <v>1888</v>
      </c>
      <c r="L80" s="8" t="s">
        <v>26</v>
      </c>
    </row>
    <row r="81" ht="20" customHeight="1" spans="1:12" x14ac:dyDescent="0.25">
      <c r="A81" s="28" t="s">
        <v>2010</v>
      </c>
      <c r="B81" s="28" t="s">
        <v>178</v>
      </c>
      <c r="C81" s="24">
        <f>IF(B81&lt;&gt;"",IFERROR(VLOOKUP(B81,'📦 Productos'!A:C,3,FALSE),IFERROR(VLOOKUP(B81&amp;"",'📦 Productos'!A:C,3,FALSE),IFERROR(VLOOKUP(VALUE(B81),'📦 Productos'!A:C,3,FALSE),""))),"")</f>
      </c>
      <c r="D81" s="28" t="s">
        <v>2011</v>
      </c>
      <c r="E81" s="29" t="s">
        <v>1893</v>
      </c>
      <c r="F81" s="30">
        <v>0</v>
      </c>
      <c r="G81" s="31">
        <v>108000</v>
      </c>
      <c r="H81" s="32"/>
      <c r="I81" s="14">
        <f>IF(AND(G81&gt;0,H81&gt;0),ROUND((1-H81/G81)*100,0),0)</f>
        <v>0</v>
      </c>
      <c r="J81" s="33" t="s">
        <v>29</v>
      </c>
      <c r="K81" s="30" t="s">
        <v>1888</v>
      </c>
      <c r="L81" s="29" t="s">
        <v>26</v>
      </c>
    </row>
    <row r="82" ht="20" customHeight="1" spans="1:12" x14ac:dyDescent="0.25">
      <c r="A82" s="7" t="s">
        <v>2012</v>
      </c>
      <c r="B82" s="7" t="s">
        <v>178</v>
      </c>
      <c r="C82" s="24">
        <f>IF(B82&lt;&gt;"",IFERROR(VLOOKUP(B82,'📦 Productos'!A:C,3,FALSE),IFERROR(VLOOKUP(B82&amp;"",'📦 Productos'!A:C,3,FALSE),IFERROR(VLOOKUP(VALUE(B82),'📦 Productos'!A:C,3,FALSE),""))),"")</f>
      </c>
      <c r="D82" s="7" t="s">
        <v>2013</v>
      </c>
      <c r="E82" s="8" t="s">
        <v>1899</v>
      </c>
      <c r="F82" s="12">
        <v>0</v>
      </c>
      <c r="G82" s="25">
        <v>160000</v>
      </c>
      <c r="H82" s="26"/>
      <c r="I82" s="14">
        <f>IF(AND(G82&gt;0,H82&gt;0),ROUND((1-H82/G82)*100,0),0)</f>
        <v>0</v>
      </c>
      <c r="J82" s="27" t="s">
        <v>29</v>
      </c>
      <c r="K82" s="12" t="s">
        <v>1888</v>
      </c>
      <c r="L82" s="8" t="s">
        <v>26</v>
      </c>
    </row>
    <row r="83" ht="20" customHeight="1" spans="1:12" x14ac:dyDescent="0.25">
      <c r="A83" s="28" t="s">
        <v>2014</v>
      </c>
      <c r="B83" s="28" t="s">
        <v>182</v>
      </c>
      <c r="C83" s="24">
        <f>IF(B83&lt;&gt;"",IFERROR(VLOOKUP(B83,'📦 Productos'!A:C,3,FALSE),IFERROR(VLOOKUP(B83&amp;"",'📦 Productos'!A:C,3,FALSE),IFERROR(VLOOKUP(VALUE(B83),'📦 Productos'!A:C,3,FALSE),""))),"")</f>
      </c>
      <c r="D83" s="28" t="s">
        <v>183</v>
      </c>
      <c r="E83" s="29" t="s">
        <v>1896</v>
      </c>
      <c r="F83" s="30">
        <v>0</v>
      </c>
      <c r="G83" s="31">
        <v>222000</v>
      </c>
      <c r="H83" s="32"/>
      <c r="I83" s="14">
        <f>IF(AND(G83&gt;0,H83&gt;0),ROUND((1-H83/G83)*100,0),0)</f>
        <v>0</v>
      </c>
      <c r="J83" s="33" t="s">
        <v>29</v>
      </c>
      <c r="K83" s="30" t="s">
        <v>1888</v>
      </c>
      <c r="L83" s="29" t="s">
        <v>26</v>
      </c>
    </row>
    <row r="84" ht="20" customHeight="1" spans="1:12" x14ac:dyDescent="0.25">
      <c r="A84" s="7" t="s">
        <v>2015</v>
      </c>
      <c r="B84" s="7" t="s">
        <v>182</v>
      </c>
      <c r="C84" s="24">
        <f>IF(B84&lt;&gt;"",IFERROR(VLOOKUP(B84,'📦 Productos'!A:C,3,FALSE),IFERROR(VLOOKUP(B84&amp;"",'📦 Productos'!A:C,3,FALSE),IFERROR(VLOOKUP(VALUE(B84),'📦 Productos'!A:C,3,FALSE),""))),"")</f>
      </c>
      <c r="D84" s="7" t="s">
        <v>2016</v>
      </c>
      <c r="E84" s="8" t="s">
        <v>1893</v>
      </c>
      <c r="F84" s="12">
        <v>0</v>
      </c>
      <c r="G84" s="25">
        <v>108000</v>
      </c>
      <c r="H84" s="26"/>
      <c r="I84" s="14">
        <f>IF(AND(G84&gt;0,H84&gt;0),ROUND((1-H84/G84)*100,0),0)</f>
        <v>0</v>
      </c>
      <c r="J84" s="27" t="s">
        <v>29</v>
      </c>
      <c r="K84" s="12" t="s">
        <v>1888</v>
      </c>
      <c r="L84" s="8" t="s">
        <v>26</v>
      </c>
    </row>
    <row r="85" ht="20" customHeight="1" spans="1:12" x14ac:dyDescent="0.25">
      <c r="A85" s="28" t="s">
        <v>2017</v>
      </c>
      <c r="B85" s="28" t="s">
        <v>182</v>
      </c>
      <c r="C85" s="24">
        <f>IF(B85&lt;&gt;"",IFERROR(VLOOKUP(B85,'📦 Productos'!A:C,3,FALSE),IFERROR(VLOOKUP(B85&amp;"",'📦 Productos'!A:C,3,FALSE),IFERROR(VLOOKUP(VALUE(B85),'📦 Productos'!A:C,3,FALSE),""))),"")</f>
      </c>
      <c r="D85" s="28" t="s">
        <v>2018</v>
      </c>
      <c r="E85" s="29" t="s">
        <v>1899</v>
      </c>
      <c r="F85" s="30">
        <v>0</v>
      </c>
      <c r="G85" s="31">
        <v>160000</v>
      </c>
      <c r="H85" s="32"/>
      <c r="I85" s="14">
        <f>IF(AND(G85&gt;0,H85&gt;0),ROUND((1-H85/G85)*100,0),0)</f>
        <v>0</v>
      </c>
      <c r="J85" s="33" t="s">
        <v>29</v>
      </c>
      <c r="K85" s="30" t="s">
        <v>1888</v>
      </c>
      <c r="L85" s="29" t="s">
        <v>26</v>
      </c>
    </row>
    <row r="86" ht="20" customHeight="1" spans="1:12" x14ac:dyDescent="0.25">
      <c r="A86" s="7" t="s">
        <v>2019</v>
      </c>
      <c r="B86" s="7" t="s">
        <v>186</v>
      </c>
      <c r="C86" s="24">
        <f>IF(B86&lt;&gt;"",IFERROR(VLOOKUP(B86,'📦 Productos'!A:C,3,FALSE),IFERROR(VLOOKUP(B86&amp;"",'📦 Productos'!A:C,3,FALSE),IFERROR(VLOOKUP(VALUE(B86),'📦 Productos'!A:C,3,FALSE),""))),"")</f>
      </c>
      <c r="D86" s="7" t="s">
        <v>187</v>
      </c>
      <c r="E86" s="8" t="s">
        <v>2020</v>
      </c>
      <c r="F86" s="12">
        <v>0</v>
      </c>
      <c r="G86" s="25">
        <v>160000</v>
      </c>
      <c r="H86" s="26"/>
      <c r="I86" s="14">
        <f>IF(AND(G86&gt;0,H86&gt;0),ROUND((1-H86/G86)*100,0),0)</f>
        <v>0</v>
      </c>
      <c r="J86" s="27" t="s">
        <v>29</v>
      </c>
      <c r="K86" s="12" t="s">
        <v>1888</v>
      </c>
      <c r="L86" s="8" t="s">
        <v>26</v>
      </c>
    </row>
    <row r="87" ht="20" customHeight="1" spans="1:12" x14ac:dyDescent="0.25">
      <c r="A87" s="28" t="s">
        <v>2021</v>
      </c>
      <c r="B87" s="28" t="s">
        <v>189</v>
      </c>
      <c r="C87" s="24">
        <f>IF(B87&lt;&gt;"",IFERROR(VLOOKUP(B87,'📦 Productos'!A:C,3,FALSE),IFERROR(VLOOKUP(B87&amp;"",'📦 Productos'!A:C,3,FALSE),IFERROR(VLOOKUP(VALUE(B87),'📦 Productos'!A:C,3,FALSE),""))),"")</f>
      </c>
      <c r="D87" s="28" t="s">
        <v>190</v>
      </c>
      <c r="E87" s="29" t="s">
        <v>1899</v>
      </c>
      <c r="F87" s="30">
        <v>0</v>
      </c>
      <c r="G87" s="31">
        <v>136600</v>
      </c>
      <c r="H87" s="32">
        <v>95620</v>
      </c>
      <c r="I87" s="14">
        <f>IF(AND(G87&gt;0,H87&gt;0),ROUND((1-H87/G87)*100,0),0)</f>
        <v>30</v>
      </c>
      <c r="J87" s="33" t="s">
        <v>29</v>
      </c>
      <c r="K87" s="30" t="s">
        <v>1888</v>
      </c>
      <c r="L87" s="29" t="s">
        <v>26</v>
      </c>
    </row>
    <row r="88" ht="20" customHeight="1" spans="1:12" x14ac:dyDescent="0.25">
      <c r="A88" s="7" t="s">
        <v>2022</v>
      </c>
      <c r="B88" s="7" t="s">
        <v>193</v>
      </c>
      <c r="C88" s="24">
        <f>IF(B88&lt;&gt;"",IFERROR(VLOOKUP(B88,'📦 Productos'!A:C,3,FALSE),IFERROR(VLOOKUP(B88&amp;"",'📦 Productos'!A:C,3,FALSE),IFERROR(VLOOKUP(VALUE(B88),'📦 Productos'!A:C,3,FALSE),""))),"")</f>
      </c>
      <c r="D88" s="7" t="s">
        <v>194</v>
      </c>
      <c r="E88" s="8" t="s">
        <v>1899</v>
      </c>
      <c r="F88" s="12">
        <v>0</v>
      </c>
      <c r="G88" s="25">
        <v>136600</v>
      </c>
      <c r="H88" s="26">
        <v>95620</v>
      </c>
      <c r="I88" s="14">
        <f>IF(AND(G88&gt;0,H88&gt;0),ROUND((1-H88/G88)*100,0),0)</f>
        <v>30</v>
      </c>
      <c r="J88" s="27" t="s">
        <v>29</v>
      </c>
      <c r="K88" s="12" t="s">
        <v>1888</v>
      </c>
      <c r="L88" s="8" t="s">
        <v>26</v>
      </c>
    </row>
    <row r="89" ht="20" customHeight="1" spans="1:12" x14ac:dyDescent="0.25">
      <c r="A89" s="28" t="s">
        <v>2023</v>
      </c>
      <c r="B89" s="28" t="s">
        <v>196</v>
      </c>
      <c r="C89" s="24">
        <f>IF(B89&lt;&gt;"",IFERROR(VLOOKUP(B89,'📦 Productos'!A:C,3,FALSE),IFERROR(VLOOKUP(B89&amp;"",'📦 Productos'!A:C,3,FALSE),IFERROR(VLOOKUP(VALUE(B89),'📦 Productos'!A:C,3,FALSE),""))),"")</f>
      </c>
      <c r="D89" s="28" t="s">
        <v>197</v>
      </c>
      <c r="E89" s="29" t="s">
        <v>26</v>
      </c>
      <c r="F89" s="30">
        <v>0</v>
      </c>
      <c r="G89" s="31">
        <v>5500</v>
      </c>
      <c r="H89" s="32">
        <v>2750</v>
      </c>
      <c r="I89" s="14">
        <f>IF(AND(G89&gt;0,H89&gt;0),ROUND((1-H89/G89)*100,0),0)</f>
        <v>50</v>
      </c>
      <c r="J89" s="33" t="s">
        <v>29</v>
      </c>
      <c r="K89" s="30" t="s">
        <v>1888</v>
      </c>
      <c r="L89" s="29" t="s">
        <v>26</v>
      </c>
    </row>
    <row r="90" ht="20" customHeight="1" spans="1:12" x14ac:dyDescent="0.25">
      <c r="A90" s="7" t="s">
        <v>2024</v>
      </c>
      <c r="B90" s="7" t="s">
        <v>202</v>
      </c>
      <c r="C90" s="24">
        <f>IF(B90&lt;&gt;"",IFERROR(VLOOKUP(B90,'📦 Productos'!A:C,3,FALSE),IFERROR(VLOOKUP(B90&amp;"",'📦 Productos'!A:C,3,FALSE),IFERROR(VLOOKUP(VALUE(B90),'📦 Productos'!A:C,3,FALSE),""))),"")</f>
      </c>
      <c r="D90" s="7" t="s">
        <v>203</v>
      </c>
      <c r="E90" s="8" t="s">
        <v>26</v>
      </c>
      <c r="F90" s="12">
        <v>0</v>
      </c>
      <c r="G90" s="25">
        <v>5500</v>
      </c>
      <c r="H90" s="26">
        <v>3850</v>
      </c>
      <c r="I90" s="14">
        <f>IF(AND(G90&gt;0,H90&gt;0),ROUND((1-H90/G90)*100,0),0)</f>
        <v>30</v>
      </c>
      <c r="J90" s="27" t="s">
        <v>29</v>
      </c>
      <c r="K90" s="12" t="s">
        <v>1888</v>
      </c>
      <c r="L90" s="8" t="s">
        <v>26</v>
      </c>
    </row>
    <row r="91" ht="20" customHeight="1" spans="1:12" x14ac:dyDescent="0.25">
      <c r="A91" s="28" t="s">
        <v>2025</v>
      </c>
      <c r="B91" s="28" t="s">
        <v>205</v>
      </c>
      <c r="C91" s="24">
        <f>IF(B91&lt;&gt;"",IFERROR(VLOOKUP(B91,'📦 Productos'!A:C,3,FALSE),IFERROR(VLOOKUP(B91&amp;"",'📦 Productos'!A:C,3,FALSE),IFERROR(VLOOKUP(VALUE(B91),'📦 Productos'!A:C,3,FALSE),""))),"")</f>
      </c>
      <c r="D91" s="28" t="s">
        <v>206</v>
      </c>
      <c r="E91" s="29" t="s">
        <v>26</v>
      </c>
      <c r="F91" s="30">
        <v>0</v>
      </c>
      <c r="G91" s="31">
        <v>5500</v>
      </c>
      <c r="H91" s="32">
        <v>2750</v>
      </c>
      <c r="I91" s="14">
        <f>IF(AND(G91&gt;0,H91&gt;0),ROUND((1-H91/G91)*100,0),0)</f>
        <v>50</v>
      </c>
      <c r="J91" s="33" t="s">
        <v>29</v>
      </c>
      <c r="K91" s="30" t="s">
        <v>1888</v>
      </c>
      <c r="L91" s="29" t="s">
        <v>26</v>
      </c>
    </row>
    <row r="92" ht="20" customHeight="1" spans="1:12" x14ac:dyDescent="0.25">
      <c r="A92" s="7" t="s">
        <v>2026</v>
      </c>
      <c r="B92" s="7" t="s">
        <v>208</v>
      </c>
      <c r="C92" s="24">
        <f>IF(B92&lt;&gt;"",IFERROR(VLOOKUP(B92,'📦 Productos'!A:C,3,FALSE),IFERROR(VLOOKUP(B92&amp;"",'📦 Productos'!A:C,3,FALSE),IFERROR(VLOOKUP(VALUE(B92),'📦 Productos'!A:C,3,FALSE),""))),"")</f>
      </c>
      <c r="D92" s="7" t="s">
        <v>209</v>
      </c>
      <c r="E92" s="8" t="s">
        <v>26</v>
      </c>
      <c r="F92" s="12">
        <v>0</v>
      </c>
      <c r="G92" s="25">
        <v>5500</v>
      </c>
      <c r="H92" s="26">
        <v>3850</v>
      </c>
      <c r="I92" s="14">
        <f>IF(AND(G92&gt;0,H92&gt;0),ROUND((1-H92/G92)*100,0),0)</f>
        <v>30</v>
      </c>
      <c r="J92" s="27" t="s">
        <v>29</v>
      </c>
      <c r="K92" s="12" t="s">
        <v>1888</v>
      </c>
      <c r="L92" s="8" t="s">
        <v>26</v>
      </c>
    </row>
    <row r="93" ht="20" customHeight="1" spans="1:12" x14ac:dyDescent="0.25">
      <c r="A93" s="28" t="s">
        <v>2027</v>
      </c>
      <c r="B93" s="28" t="s">
        <v>211</v>
      </c>
      <c r="C93" s="24">
        <f>IF(B93&lt;&gt;"",IFERROR(VLOOKUP(B93,'📦 Productos'!A:C,3,FALSE),IFERROR(VLOOKUP(B93&amp;"",'📦 Productos'!A:C,3,FALSE),IFERROR(VLOOKUP(VALUE(B93),'📦 Productos'!A:C,3,FALSE),""))),"")</f>
      </c>
      <c r="D93" s="28" t="s">
        <v>212</v>
      </c>
      <c r="E93" s="29" t="s">
        <v>26</v>
      </c>
      <c r="F93" s="30">
        <v>0</v>
      </c>
      <c r="G93" s="31">
        <v>10500</v>
      </c>
      <c r="H93" s="32">
        <v>7350</v>
      </c>
      <c r="I93" s="14">
        <f>IF(AND(G93&gt;0,H93&gt;0),ROUND((1-H93/G93)*100,0),0)</f>
        <v>30</v>
      </c>
      <c r="J93" s="33" t="s">
        <v>29</v>
      </c>
      <c r="K93" s="30" t="s">
        <v>1888</v>
      </c>
      <c r="L93" s="29" t="s">
        <v>26</v>
      </c>
    </row>
    <row r="94" ht="20" customHeight="1" spans="1:12" x14ac:dyDescent="0.25">
      <c r="A94" s="7" t="s">
        <v>2028</v>
      </c>
      <c r="B94" s="7" t="s">
        <v>211</v>
      </c>
      <c r="C94" s="24">
        <f>IF(B94&lt;&gt;"",IFERROR(VLOOKUP(B94,'📦 Productos'!A:C,3,FALSE),IFERROR(VLOOKUP(B94&amp;"",'📦 Productos'!A:C,3,FALSE),IFERROR(VLOOKUP(VALUE(B94),'📦 Productos'!A:C,3,FALSE),""))),"")</f>
      </c>
      <c r="D94" s="7" t="s">
        <v>2029</v>
      </c>
      <c r="E94" s="8" t="s">
        <v>26</v>
      </c>
      <c r="F94" s="12">
        <v>0</v>
      </c>
      <c r="G94" s="25">
        <v>10500</v>
      </c>
      <c r="H94" s="26">
        <v>5250</v>
      </c>
      <c r="I94" s="14">
        <f>IF(AND(G94&gt;0,H94&gt;0),ROUND((1-H94/G94)*100,0),0)</f>
        <v>50</v>
      </c>
      <c r="J94" s="27" t="s">
        <v>29</v>
      </c>
      <c r="K94" s="12" t="s">
        <v>1888</v>
      </c>
      <c r="L94" s="8" t="s">
        <v>26</v>
      </c>
    </row>
    <row r="95" ht="20" customHeight="1" spans="1:12" x14ac:dyDescent="0.25">
      <c r="A95" s="28" t="s">
        <v>2030</v>
      </c>
      <c r="B95" s="28" t="s">
        <v>211</v>
      </c>
      <c r="C95" s="24">
        <f>IF(B95&lt;&gt;"",IFERROR(VLOOKUP(B95,'📦 Productos'!A:C,3,FALSE),IFERROR(VLOOKUP(B95&amp;"",'📦 Productos'!A:C,3,FALSE),IFERROR(VLOOKUP(VALUE(B95),'📦 Productos'!A:C,3,FALSE),""))),"")</f>
      </c>
      <c r="D95" s="28" t="s">
        <v>2031</v>
      </c>
      <c r="E95" s="29" t="s">
        <v>26</v>
      </c>
      <c r="F95" s="30">
        <v>0</v>
      </c>
      <c r="G95" s="31">
        <v>10500</v>
      </c>
      <c r="H95" s="32">
        <v>5250</v>
      </c>
      <c r="I95" s="14">
        <f>IF(AND(G95&gt;0,H95&gt;0),ROUND((1-H95/G95)*100,0),0)</f>
        <v>50</v>
      </c>
      <c r="J95" s="33" t="s">
        <v>29</v>
      </c>
      <c r="K95" s="30" t="s">
        <v>1888</v>
      </c>
      <c r="L95" s="29" t="s">
        <v>26</v>
      </c>
    </row>
    <row r="96" ht="20" customHeight="1" spans="1:12" x14ac:dyDescent="0.25">
      <c r="A96" s="7" t="s">
        <v>2032</v>
      </c>
      <c r="B96" s="7" t="s">
        <v>211</v>
      </c>
      <c r="C96" s="24">
        <f>IF(B96&lt;&gt;"",IFERROR(VLOOKUP(B96,'📦 Productos'!A:C,3,FALSE),IFERROR(VLOOKUP(B96&amp;"",'📦 Productos'!A:C,3,FALSE),IFERROR(VLOOKUP(VALUE(B96),'📦 Productos'!A:C,3,FALSE),""))),"")</f>
      </c>
      <c r="D96" s="7" t="s">
        <v>2033</v>
      </c>
      <c r="E96" s="8" t="s">
        <v>26</v>
      </c>
      <c r="F96" s="12">
        <v>0</v>
      </c>
      <c r="G96" s="25">
        <v>10500</v>
      </c>
      <c r="H96" s="26">
        <v>5250</v>
      </c>
      <c r="I96" s="14">
        <f>IF(AND(G96&gt;0,H96&gt;0),ROUND((1-H96/G96)*100,0),0)</f>
        <v>50</v>
      </c>
      <c r="J96" s="27" t="s">
        <v>29</v>
      </c>
      <c r="K96" s="12" t="s">
        <v>1888</v>
      </c>
      <c r="L96" s="8" t="s">
        <v>26</v>
      </c>
    </row>
    <row r="97" ht="20" customHeight="1" spans="1:12" x14ac:dyDescent="0.25">
      <c r="A97" s="28" t="s">
        <v>2034</v>
      </c>
      <c r="B97" s="28" t="s">
        <v>211</v>
      </c>
      <c r="C97" s="24">
        <f>IF(B97&lt;&gt;"",IFERROR(VLOOKUP(B97,'📦 Productos'!A:C,3,FALSE),IFERROR(VLOOKUP(B97&amp;"",'📦 Productos'!A:C,3,FALSE),IFERROR(VLOOKUP(VALUE(B97),'📦 Productos'!A:C,3,FALSE),""))),"")</f>
      </c>
      <c r="D97" s="28" t="s">
        <v>2035</v>
      </c>
      <c r="E97" s="29" t="s">
        <v>26</v>
      </c>
      <c r="F97" s="30">
        <v>0</v>
      </c>
      <c r="G97" s="31">
        <v>10500</v>
      </c>
      <c r="H97" s="32">
        <v>7350</v>
      </c>
      <c r="I97" s="14">
        <f>IF(AND(G97&gt;0,H97&gt;0),ROUND((1-H97/G97)*100,0),0)</f>
        <v>30</v>
      </c>
      <c r="J97" s="33" t="s">
        <v>29</v>
      </c>
      <c r="K97" s="30" t="s">
        <v>1888</v>
      </c>
      <c r="L97" s="29" t="s">
        <v>26</v>
      </c>
    </row>
    <row r="98" ht="20" customHeight="1" spans="1:12" x14ac:dyDescent="0.25">
      <c r="A98" s="7" t="s">
        <v>2036</v>
      </c>
      <c r="B98" s="7" t="s">
        <v>211</v>
      </c>
      <c r="C98" s="24">
        <f>IF(B98&lt;&gt;"",IFERROR(VLOOKUP(B98,'📦 Productos'!A:C,3,FALSE),IFERROR(VLOOKUP(B98&amp;"",'📦 Productos'!A:C,3,FALSE),IFERROR(VLOOKUP(VALUE(B98),'📦 Productos'!A:C,3,FALSE),""))),"")</f>
      </c>
      <c r="D98" s="7" t="s">
        <v>2037</v>
      </c>
      <c r="E98" s="8" t="s">
        <v>26</v>
      </c>
      <c r="F98" s="12">
        <v>0</v>
      </c>
      <c r="G98" s="25">
        <v>10500</v>
      </c>
      <c r="H98" s="26">
        <v>7350</v>
      </c>
      <c r="I98" s="14">
        <f>IF(AND(G98&gt;0,H98&gt;0),ROUND((1-H98/G98)*100,0),0)</f>
        <v>30</v>
      </c>
      <c r="J98" s="27" t="s">
        <v>29</v>
      </c>
      <c r="K98" s="12" t="s">
        <v>1888</v>
      </c>
      <c r="L98" s="8" t="s">
        <v>26</v>
      </c>
    </row>
    <row r="99" ht="20" customHeight="1" spans="1:12" x14ac:dyDescent="0.25">
      <c r="A99" s="28" t="s">
        <v>2038</v>
      </c>
      <c r="B99" s="28" t="s">
        <v>211</v>
      </c>
      <c r="C99" s="24">
        <f>IF(B99&lt;&gt;"",IFERROR(VLOOKUP(B99,'📦 Productos'!A:C,3,FALSE),IFERROR(VLOOKUP(B99&amp;"",'📦 Productos'!A:C,3,FALSE),IFERROR(VLOOKUP(VALUE(B99),'📦 Productos'!A:C,3,FALSE),""))),"")</f>
      </c>
      <c r="D99" s="28" t="s">
        <v>2039</v>
      </c>
      <c r="E99" s="29" t="s">
        <v>26</v>
      </c>
      <c r="F99" s="30">
        <v>0</v>
      </c>
      <c r="G99" s="31">
        <v>10500</v>
      </c>
      <c r="H99" s="32">
        <v>7350</v>
      </c>
      <c r="I99" s="14">
        <f>IF(AND(G99&gt;0,H99&gt;0),ROUND((1-H99/G99)*100,0),0)</f>
        <v>30</v>
      </c>
      <c r="J99" s="33" t="s">
        <v>29</v>
      </c>
      <c r="K99" s="30" t="s">
        <v>1888</v>
      </c>
      <c r="L99" s="29" t="s">
        <v>26</v>
      </c>
    </row>
    <row r="100" ht="20" customHeight="1" spans="1:12" x14ac:dyDescent="0.25">
      <c r="A100" s="7" t="s">
        <v>2040</v>
      </c>
      <c r="B100" s="7" t="s">
        <v>211</v>
      </c>
      <c r="C100" s="24">
        <f>IF(B100&lt;&gt;"",IFERROR(VLOOKUP(B100,'📦 Productos'!A:C,3,FALSE),IFERROR(VLOOKUP(B100&amp;"",'📦 Productos'!A:C,3,FALSE),IFERROR(VLOOKUP(VALUE(B100),'📦 Productos'!A:C,3,FALSE),""))),"")</f>
      </c>
      <c r="D100" s="7" t="s">
        <v>2041</v>
      </c>
      <c r="E100" s="8" t="s">
        <v>26</v>
      </c>
      <c r="F100" s="12">
        <v>0</v>
      </c>
      <c r="G100" s="25">
        <v>10500</v>
      </c>
      <c r="H100" s="26">
        <v>7350</v>
      </c>
      <c r="I100" s="14">
        <f>IF(AND(G100&gt;0,H100&gt;0),ROUND((1-H100/G100)*100,0),0)</f>
        <v>30</v>
      </c>
      <c r="J100" s="27" t="s">
        <v>29</v>
      </c>
      <c r="K100" s="12" t="s">
        <v>1888</v>
      </c>
      <c r="L100" s="8" t="s">
        <v>26</v>
      </c>
    </row>
    <row r="101" ht="20" customHeight="1" spans="1:12" x14ac:dyDescent="0.25">
      <c r="A101" s="28" t="s">
        <v>2042</v>
      </c>
      <c r="B101" s="28" t="s">
        <v>211</v>
      </c>
      <c r="C101" s="24">
        <f>IF(B101&lt;&gt;"",IFERROR(VLOOKUP(B101,'📦 Productos'!A:C,3,FALSE),IFERROR(VLOOKUP(B101&amp;"",'📦 Productos'!A:C,3,FALSE),IFERROR(VLOOKUP(VALUE(B101),'📦 Productos'!A:C,3,FALSE),""))),"")</f>
      </c>
      <c r="D101" s="28" t="s">
        <v>2043</v>
      </c>
      <c r="E101" s="29" t="s">
        <v>26</v>
      </c>
      <c r="F101" s="30">
        <v>0</v>
      </c>
      <c r="G101" s="31">
        <v>10500</v>
      </c>
      <c r="H101" s="32">
        <v>7350</v>
      </c>
      <c r="I101" s="14">
        <f>IF(AND(G101&gt;0,H101&gt;0),ROUND((1-H101/G101)*100,0),0)</f>
        <v>30</v>
      </c>
      <c r="J101" s="33" t="s">
        <v>29</v>
      </c>
      <c r="K101" s="30" t="s">
        <v>1888</v>
      </c>
      <c r="L101" s="29" t="s">
        <v>26</v>
      </c>
    </row>
    <row r="102" ht="20" customHeight="1" spans="1:12" x14ac:dyDescent="0.25">
      <c r="A102" s="7" t="s">
        <v>2044</v>
      </c>
      <c r="B102" s="7" t="s">
        <v>211</v>
      </c>
      <c r="C102" s="24">
        <f>IF(B102&lt;&gt;"",IFERROR(VLOOKUP(B102,'📦 Productos'!A:C,3,FALSE),IFERROR(VLOOKUP(B102&amp;"",'📦 Productos'!A:C,3,FALSE),IFERROR(VLOOKUP(VALUE(B102),'📦 Productos'!A:C,3,FALSE),""))),"")</f>
      </c>
      <c r="D102" s="7" t="s">
        <v>2045</v>
      </c>
      <c r="E102" s="8" t="s">
        <v>26</v>
      </c>
      <c r="F102" s="12">
        <v>0</v>
      </c>
      <c r="G102" s="25">
        <v>10500</v>
      </c>
      <c r="H102" s="26">
        <v>7350</v>
      </c>
      <c r="I102" s="14">
        <f>IF(AND(G102&gt;0,H102&gt;0),ROUND((1-H102/G102)*100,0),0)</f>
        <v>30</v>
      </c>
      <c r="J102" s="27" t="s">
        <v>29</v>
      </c>
      <c r="K102" s="12" t="s">
        <v>1888</v>
      </c>
      <c r="L102" s="8" t="s">
        <v>26</v>
      </c>
    </row>
    <row r="103" ht="20" customHeight="1" spans="1:12" x14ac:dyDescent="0.25">
      <c r="A103" s="28" t="s">
        <v>2046</v>
      </c>
      <c r="B103" s="28" t="s">
        <v>214</v>
      </c>
      <c r="C103" s="24">
        <f>IF(B103&lt;&gt;"",IFERROR(VLOOKUP(B103,'📦 Productos'!A:C,3,FALSE),IFERROR(VLOOKUP(B103&amp;"",'📦 Productos'!A:C,3,FALSE),IFERROR(VLOOKUP(VALUE(B103),'📦 Productos'!A:C,3,FALSE),""))),"")</f>
      </c>
      <c r="D103" s="28" t="s">
        <v>215</v>
      </c>
      <c r="E103" s="29" t="s">
        <v>26</v>
      </c>
      <c r="F103" s="30">
        <v>0</v>
      </c>
      <c r="G103" s="31">
        <v>5300</v>
      </c>
      <c r="H103" s="32">
        <v>2650</v>
      </c>
      <c r="I103" s="14">
        <f>IF(AND(G103&gt;0,H103&gt;0),ROUND((1-H103/G103)*100,0),0)</f>
        <v>50</v>
      </c>
      <c r="J103" s="33" t="s">
        <v>29</v>
      </c>
      <c r="K103" s="30" t="s">
        <v>1888</v>
      </c>
      <c r="L103" s="29" t="s">
        <v>26</v>
      </c>
    </row>
    <row r="104" ht="20" customHeight="1" spans="1:12" x14ac:dyDescent="0.25">
      <c r="A104" s="7" t="s">
        <v>2047</v>
      </c>
      <c r="B104" s="7" t="s">
        <v>214</v>
      </c>
      <c r="C104" s="24">
        <f>IF(B104&lt;&gt;"",IFERROR(VLOOKUP(B104,'📦 Productos'!A:C,3,FALSE),IFERROR(VLOOKUP(B104&amp;"",'📦 Productos'!A:C,3,FALSE),IFERROR(VLOOKUP(VALUE(B104),'📦 Productos'!A:C,3,FALSE),""))),"")</f>
      </c>
      <c r="D104" s="7" t="s">
        <v>2048</v>
      </c>
      <c r="E104" s="8" t="s">
        <v>26</v>
      </c>
      <c r="F104" s="12">
        <v>0</v>
      </c>
      <c r="G104" s="25">
        <v>5300</v>
      </c>
      <c r="H104" s="26">
        <v>2650</v>
      </c>
      <c r="I104" s="14">
        <f>IF(AND(G104&gt;0,H104&gt;0),ROUND((1-H104/G104)*100,0),0)</f>
        <v>50</v>
      </c>
      <c r="J104" s="27" t="s">
        <v>29</v>
      </c>
      <c r="K104" s="12" t="s">
        <v>1888</v>
      </c>
      <c r="L104" s="8" t="s">
        <v>26</v>
      </c>
    </row>
    <row r="105" ht="20" customHeight="1" spans="1:12" x14ac:dyDescent="0.25">
      <c r="A105" s="28" t="s">
        <v>2049</v>
      </c>
      <c r="B105" s="28" t="s">
        <v>214</v>
      </c>
      <c r="C105" s="24">
        <f>IF(B105&lt;&gt;"",IFERROR(VLOOKUP(B105,'📦 Productos'!A:C,3,FALSE),IFERROR(VLOOKUP(B105&amp;"",'📦 Productos'!A:C,3,FALSE),IFERROR(VLOOKUP(VALUE(B105),'📦 Productos'!A:C,3,FALSE),""))),"")</f>
      </c>
      <c r="D105" s="28" t="s">
        <v>2050</v>
      </c>
      <c r="E105" s="29" t="s">
        <v>26</v>
      </c>
      <c r="F105" s="30">
        <v>0</v>
      </c>
      <c r="G105" s="31">
        <v>5300</v>
      </c>
      <c r="H105" s="32">
        <v>2650</v>
      </c>
      <c r="I105" s="14">
        <f>IF(AND(G105&gt;0,H105&gt;0),ROUND((1-H105/G105)*100,0),0)</f>
        <v>50</v>
      </c>
      <c r="J105" s="33" t="s">
        <v>29</v>
      </c>
      <c r="K105" s="30" t="s">
        <v>1888</v>
      </c>
      <c r="L105" s="29" t="s">
        <v>26</v>
      </c>
    </row>
    <row r="106" ht="20" customHeight="1" spans="1:12" x14ac:dyDescent="0.25">
      <c r="A106" s="7" t="s">
        <v>2051</v>
      </c>
      <c r="B106" s="7" t="s">
        <v>214</v>
      </c>
      <c r="C106" s="24">
        <f>IF(B106&lt;&gt;"",IFERROR(VLOOKUP(B106,'📦 Productos'!A:C,3,FALSE),IFERROR(VLOOKUP(B106&amp;"",'📦 Productos'!A:C,3,FALSE),IFERROR(VLOOKUP(VALUE(B106),'📦 Productos'!A:C,3,FALSE),""))),"")</f>
      </c>
      <c r="D106" s="7" t="s">
        <v>2052</v>
      </c>
      <c r="E106" s="8" t="s">
        <v>26</v>
      </c>
      <c r="F106" s="12">
        <v>0</v>
      </c>
      <c r="G106" s="25">
        <v>5300</v>
      </c>
      <c r="H106" s="26">
        <v>2650</v>
      </c>
      <c r="I106" s="14">
        <f>IF(AND(G106&gt;0,H106&gt;0),ROUND((1-H106/G106)*100,0),0)</f>
        <v>50</v>
      </c>
      <c r="J106" s="27" t="s">
        <v>29</v>
      </c>
      <c r="K106" s="12" t="s">
        <v>1888</v>
      </c>
      <c r="L106" s="8" t="s">
        <v>26</v>
      </c>
    </row>
    <row r="107" ht="20" customHeight="1" spans="1:12" x14ac:dyDescent="0.25">
      <c r="A107" s="28" t="s">
        <v>2053</v>
      </c>
      <c r="B107" s="28" t="s">
        <v>214</v>
      </c>
      <c r="C107" s="24">
        <f>IF(B107&lt;&gt;"",IFERROR(VLOOKUP(B107,'📦 Productos'!A:C,3,FALSE),IFERROR(VLOOKUP(B107&amp;"",'📦 Productos'!A:C,3,FALSE),IFERROR(VLOOKUP(VALUE(B107),'📦 Productos'!A:C,3,FALSE),""))),"")</f>
      </c>
      <c r="D107" s="28" t="s">
        <v>2054</v>
      </c>
      <c r="E107" s="29" t="s">
        <v>26</v>
      </c>
      <c r="F107" s="30">
        <v>0</v>
      </c>
      <c r="G107" s="31">
        <v>5300</v>
      </c>
      <c r="H107" s="32">
        <v>3710</v>
      </c>
      <c r="I107" s="14">
        <f>IF(AND(G107&gt;0,H107&gt;0),ROUND((1-H107/G107)*100,0),0)</f>
        <v>30</v>
      </c>
      <c r="J107" s="33" t="s">
        <v>29</v>
      </c>
      <c r="K107" s="30" t="s">
        <v>1888</v>
      </c>
      <c r="L107" s="29" t="s">
        <v>26</v>
      </c>
    </row>
    <row r="108" ht="20" customHeight="1" spans="1:12" x14ac:dyDescent="0.25">
      <c r="A108" s="7" t="s">
        <v>2055</v>
      </c>
      <c r="B108" s="7" t="s">
        <v>214</v>
      </c>
      <c r="C108" s="24">
        <f>IF(B108&lt;&gt;"",IFERROR(VLOOKUP(B108,'📦 Productos'!A:C,3,FALSE),IFERROR(VLOOKUP(B108&amp;"",'📦 Productos'!A:C,3,FALSE),IFERROR(VLOOKUP(VALUE(B108),'📦 Productos'!A:C,3,FALSE),""))),"")</f>
      </c>
      <c r="D108" s="7" t="s">
        <v>2056</v>
      </c>
      <c r="E108" s="8" t="s">
        <v>26</v>
      </c>
      <c r="F108" s="12">
        <v>0</v>
      </c>
      <c r="G108" s="25">
        <v>5300</v>
      </c>
      <c r="H108" s="26">
        <v>2650</v>
      </c>
      <c r="I108" s="14">
        <f>IF(AND(G108&gt;0,H108&gt;0),ROUND((1-H108/G108)*100,0),0)</f>
        <v>50</v>
      </c>
      <c r="J108" s="27" t="s">
        <v>29</v>
      </c>
      <c r="K108" s="12" t="s">
        <v>1888</v>
      </c>
      <c r="L108" s="8" t="s">
        <v>26</v>
      </c>
    </row>
    <row r="109" ht="20" customHeight="1" spans="1:12" x14ac:dyDescent="0.25">
      <c r="A109" s="28" t="s">
        <v>2057</v>
      </c>
      <c r="B109" s="28" t="s">
        <v>214</v>
      </c>
      <c r="C109" s="24">
        <f>IF(B109&lt;&gt;"",IFERROR(VLOOKUP(B109,'📦 Productos'!A:C,3,FALSE),IFERROR(VLOOKUP(B109&amp;"",'📦 Productos'!A:C,3,FALSE),IFERROR(VLOOKUP(VALUE(B109),'📦 Productos'!A:C,3,FALSE),""))),"")</f>
      </c>
      <c r="D109" s="28" t="s">
        <v>2058</v>
      </c>
      <c r="E109" s="29" t="s">
        <v>26</v>
      </c>
      <c r="F109" s="30">
        <v>0</v>
      </c>
      <c r="G109" s="31">
        <v>5300</v>
      </c>
      <c r="H109" s="32">
        <v>2650</v>
      </c>
      <c r="I109" s="14">
        <f>IF(AND(G109&gt;0,H109&gt;0),ROUND((1-H109/G109)*100,0),0)</f>
        <v>50</v>
      </c>
      <c r="J109" s="33" t="s">
        <v>29</v>
      </c>
      <c r="K109" s="30" t="s">
        <v>1888</v>
      </c>
      <c r="L109" s="29" t="s">
        <v>26</v>
      </c>
    </row>
    <row r="110" ht="20" customHeight="1" spans="1:12" x14ac:dyDescent="0.25">
      <c r="A110" s="7" t="s">
        <v>2059</v>
      </c>
      <c r="B110" s="7" t="s">
        <v>214</v>
      </c>
      <c r="C110" s="24">
        <f>IF(B110&lt;&gt;"",IFERROR(VLOOKUP(B110,'📦 Productos'!A:C,3,FALSE),IFERROR(VLOOKUP(B110&amp;"",'📦 Productos'!A:C,3,FALSE),IFERROR(VLOOKUP(VALUE(B110),'📦 Productos'!A:C,3,FALSE),""))),"")</f>
      </c>
      <c r="D110" s="7" t="s">
        <v>2060</v>
      </c>
      <c r="E110" s="8" t="s">
        <v>26</v>
      </c>
      <c r="F110" s="12">
        <v>0</v>
      </c>
      <c r="G110" s="25">
        <v>5300</v>
      </c>
      <c r="H110" s="26">
        <v>3710</v>
      </c>
      <c r="I110" s="14">
        <f>IF(AND(G110&gt;0,H110&gt;0),ROUND((1-H110/G110)*100,0),0)</f>
        <v>30</v>
      </c>
      <c r="J110" s="27" t="s">
        <v>29</v>
      </c>
      <c r="K110" s="12" t="s">
        <v>1888</v>
      </c>
      <c r="L110" s="8" t="s">
        <v>26</v>
      </c>
    </row>
    <row r="111" ht="20" customHeight="1" spans="1:12" x14ac:dyDescent="0.25">
      <c r="A111" s="28" t="s">
        <v>2061</v>
      </c>
      <c r="B111" s="28" t="s">
        <v>214</v>
      </c>
      <c r="C111" s="24">
        <f>IF(B111&lt;&gt;"",IFERROR(VLOOKUP(B111,'📦 Productos'!A:C,3,FALSE),IFERROR(VLOOKUP(B111&amp;"",'📦 Productos'!A:C,3,FALSE),IFERROR(VLOOKUP(VALUE(B111),'📦 Productos'!A:C,3,FALSE),""))),"")</f>
      </c>
      <c r="D111" s="28" t="s">
        <v>2062</v>
      </c>
      <c r="E111" s="29" t="s">
        <v>26</v>
      </c>
      <c r="F111" s="30">
        <v>0</v>
      </c>
      <c r="G111" s="31">
        <v>5300</v>
      </c>
      <c r="H111" s="32">
        <v>2650</v>
      </c>
      <c r="I111" s="14">
        <f>IF(AND(G111&gt;0,H111&gt;0),ROUND((1-H111/G111)*100,0),0)</f>
        <v>50</v>
      </c>
      <c r="J111" s="33" t="s">
        <v>29</v>
      </c>
      <c r="K111" s="30" t="s">
        <v>1888</v>
      </c>
      <c r="L111" s="29" t="s">
        <v>26</v>
      </c>
    </row>
    <row r="112" ht="20" customHeight="1" spans="1:12" x14ac:dyDescent="0.25">
      <c r="A112" s="7" t="s">
        <v>2063</v>
      </c>
      <c r="B112" s="7" t="s">
        <v>214</v>
      </c>
      <c r="C112" s="24">
        <f>IF(B112&lt;&gt;"",IFERROR(VLOOKUP(B112,'📦 Productos'!A:C,3,FALSE),IFERROR(VLOOKUP(B112&amp;"",'📦 Productos'!A:C,3,FALSE),IFERROR(VLOOKUP(VALUE(B112),'📦 Productos'!A:C,3,FALSE),""))),"")</f>
      </c>
      <c r="D112" s="7" t="s">
        <v>2064</v>
      </c>
      <c r="E112" s="8" t="s">
        <v>26</v>
      </c>
      <c r="F112" s="12">
        <v>0</v>
      </c>
      <c r="G112" s="25">
        <v>5300</v>
      </c>
      <c r="H112" s="26">
        <v>2650</v>
      </c>
      <c r="I112" s="14">
        <f>IF(AND(G112&gt;0,H112&gt;0),ROUND((1-H112/G112)*100,0),0)</f>
        <v>50</v>
      </c>
      <c r="J112" s="27" t="s">
        <v>29</v>
      </c>
      <c r="K112" s="12" t="s">
        <v>1888</v>
      </c>
      <c r="L112" s="8" t="s">
        <v>26</v>
      </c>
    </row>
    <row r="113" ht="20" customHeight="1" spans="1:12" x14ac:dyDescent="0.25">
      <c r="A113" s="28" t="s">
        <v>2065</v>
      </c>
      <c r="B113" s="28" t="s">
        <v>214</v>
      </c>
      <c r="C113" s="24">
        <f>IF(B113&lt;&gt;"",IFERROR(VLOOKUP(B113,'📦 Productos'!A:C,3,FALSE),IFERROR(VLOOKUP(B113&amp;"",'📦 Productos'!A:C,3,FALSE),IFERROR(VLOOKUP(VALUE(B113),'📦 Productos'!A:C,3,FALSE),""))),"")</f>
      </c>
      <c r="D113" s="28" t="s">
        <v>2066</v>
      </c>
      <c r="E113" s="29" t="s">
        <v>26</v>
      </c>
      <c r="F113" s="30">
        <v>0</v>
      </c>
      <c r="G113" s="31">
        <v>5300</v>
      </c>
      <c r="H113" s="32">
        <v>3710</v>
      </c>
      <c r="I113" s="14">
        <f>IF(AND(G113&gt;0,H113&gt;0),ROUND((1-H113/G113)*100,0),0)</f>
        <v>30</v>
      </c>
      <c r="J113" s="33" t="s">
        <v>29</v>
      </c>
      <c r="K113" s="30" t="s">
        <v>1888</v>
      </c>
      <c r="L113" s="29" t="s">
        <v>26</v>
      </c>
    </row>
    <row r="114" ht="20" customHeight="1" spans="1:12" x14ac:dyDescent="0.25">
      <c r="A114" s="7" t="s">
        <v>2067</v>
      </c>
      <c r="B114" s="7" t="s">
        <v>214</v>
      </c>
      <c r="C114" s="24">
        <f>IF(B114&lt;&gt;"",IFERROR(VLOOKUP(B114,'📦 Productos'!A:C,3,FALSE),IFERROR(VLOOKUP(B114&amp;"",'📦 Productos'!A:C,3,FALSE),IFERROR(VLOOKUP(VALUE(B114),'📦 Productos'!A:C,3,FALSE),""))),"")</f>
      </c>
      <c r="D114" s="7" t="s">
        <v>2068</v>
      </c>
      <c r="E114" s="8" t="s">
        <v>26</v>
      </c>
      <c r="F114" s="12">
        <v>0</v>
      </c>
      <c r="G114" s="25">
        <v>5300</v>
      </c>
      <c r="H114" s="26">
        <v>2650</v>
      </c>
      <c r="I114" s="14">
        <f>IF(AND(G114&gt;0,H114&gt;0),ROUND((1-H114/G114)*100,0),0)</f>
        <v>50</v>
      </c>
      <c r="J114" s="27" t="s">
        <v>29</v>
      </c>
      <c r="K114" s="12" t="s">
        <v>1888</v>
      </c>
      <c r="L114" s="8" t="s">
        <v>26</v>
      </c>
    </row>
    <row r="115" ht="20" customHeight="1" spans="1:12" x14ac:dyDescent="0.25">
      <c r="A115" s="28" t="s">
        <v>2069</v>
      </c>
      <c r="B115" s="28" t="s">
        <v>214</v>
      </c>
      <c r="C115" s="24">
        <f>IF(B115&lt;&gt;"",IFERROR(VLOOKUP(B115,'📦 Productos'!A:C,3,FALSE),IFERROR(VLOOKUP(B115&amp;"",'📦 Productos'!A:C,3,FALSE),IFERROR(VLOOKUP(VALUE(B115),'📦 Productos'!A:C,3,FALSE),""))),"")</f>
      </c>
      <c r="D115" s="28" t="s">
        <v>2070</v>
      </c>
      <c r="E115" s="29" t="s">
        <v>26</v>
      </c>
      <c r="F115" s="30">
        <v>0</v>
      </c>
      <c r="G115" s="31">
        <v>5300</v>
      </c>
      <c r="H115" s="32">
        <v>2650</v>
      </c>
      <c r="I115" s="14">
        <f>IF(AND(G115&gt;0,H115&gt;0),ROUND((1-H115/G115)*100,0),0)</f>
        <v>50</v>
      </c>
      <c r="J115" s="33" t="s">
        <v>29</v>
      </c>
      <c r="K115" s="30" t="s">
        <v>1888</v>
      </c>
      <c r="L115" s="29" t="s">
        <v>26</v>
      </c>
    </row>
    <row r="116" ht="20" customHeight="1" spans="1:12" x14ac:dyDescent="0.25">
      <c r="A116" s="7" t="s">
        <v>2071</v>
      </c>
      <c r="B116" s="7" t="s">
        <v>214</v>
      </c>
      <c r="C116" s="24">
        <f>IF(B116&lt;&gt;"",IFERROR(VLOOKUP(B116,'📦 Productos'!A:C,3,FALSE),IFERROR(VLOOKUP(B116&amp;"",'📦 Productos'!A:C,3,FALSE),IFERROR(VLOOKUP(VALUE(B116),'📦 Productos'!A:C,3,FALSE),""))),"")</f>
      </c>
      <c r="D116" s="7" t="s">
        <v>2072</v>
      </c>
      <c r="E116" s="8" t="s">
        <v>26</v>
      </c>
      <c r="F116" s="12">
        <v>0</v>
      </c>
      <c r="G116" s="25">
        <v>5300</v>
      </c>
      <c r="H116" s="26">
        <v>2650</v>
      </c>
      <c r="I116" s="14">
        <f>IF(AND(G116&gt;0,H116&gt;0),ROUND((1-H116/G116)*100,0),0)</f>
        <v>50</v>
      </c>
      <c r="J116" s="27" t="s">
        <v>29</v>
      </c>
      <c r="K116" s="12" t="s">
        <v>1888</v>
      </c>
      <c r="L116" s="8" t="s">
        <v>26</v>
      </c>
    </row>
    <row r="117" ht="20" customHeight="1" spans="1:12" x14ac:dyDescent="0.25">
      <c r="A117" s="28" t="s">
        <v>2073</v>
      </c>
      <c r="B117" s="28" t="s">
        <v>214</v>
      </c>
      <c r="C117" s="24">
        <f>IF(B117&lt;&gt;"",IFERROR(VLOOKUP(B117,'📦 Productos'!A:C,3,FALSE),IFERROR(VLOOKUP(B117&amp;"",'📦 Productos'!A:C,3,FALSE),IFERROR(VLOOKUP(VALUE(B117),'📦 Productos'!A:C,3,FALSE),""))),"")</f>
      </c>
      <c r="D117" s="28" t="s">
        <v>2074</v>
      </c>
      <c r="E117" s="29" t="s">
        <v>26</v>
      </c>
      <c r="F117" s="30">
        <v>0</v>
      </c>
      <c r="G117" s="31">
        <v>5300</v>
      </c>
      <c r="H117" s="32">
        <v>3710</v>
      </c>
      <c r="I117" s="14">
        <f>IF(AND(G117&gt;0,H117&gt;0),ROUND((1-H117/G117)*100,0),0)</f>
        <v>30</v>
      </c>
      <c r="J117" s="33" t="s">
        <v>29</v>
      </c>
      <c r="K117" s="30" t="s">
        <v>1888</v>
      </c>
      <c r="L117" s="29" t="s">
        <v>26</v>
      </c>
    </row>
    <row r="118" ht="20" customHeight="1" spans="1:12" x14ac:dyDescent="0.25">
      <c r="A118" s="7" t="s">
        <v>2075</v>
      </c>
      <c r="B118" s="7" t="s">
        <v>214</v>
      </c>
      <c r="C118" s="24">
        <f>IF(B118&lt;&gt;"",IFERROR(VLOOKUP(B118,'📦 Productos'!A:C,3,FALSE),IFERROR(VLOOKUP(B118&amp;"",'📦 Productos'!A:C,3,FALSE),IFERROR(VLOOKUP(VALUE(B118),'📦 Productos'!A:C,3,FALSE),""))),"")</f>
      </c>
      <c r="D118" s="7" t="s">
        <v>2076</v>
      </c>
      <c r="E118" s="8" t="s">
        <v>26</v>
      </c>
      <c r="F118" s="12">
        <v>0</v>
      </c>
      <c r="G118" s="25">
        <v>5300</v>
      </c>
      <c r="H118" s="26">
        <v>3710</v>
      </c>
      <c r="I118" s="14">
        <f>IF(AND(G118&gt;0,H118&gt;0),ROUND((1-H118/G118)*100,0),0)</f>
        <v>30</v>
      </c>
      <c r="J118" s="27" t="s">
        <v>29</v>
      </c>
      <c r="K118" s="12" t="s">
        <v>1888</v>
      </c>
      <c r="L118" s="8" t="s">
        <v>26</v>
      </c>
    </row>
    <row r="119" ht="20" customHeight="1" spans="1:12" x14ac:dyDescent="0.25">
      <c r="A119" s="28" t="s">
        <v>2077</v>
      </c>
      <c r="B119" s="28" t="s">
        <v>214</v>
      </c>
      <c r="C119" s="24">
        <f>IF(B119&lt;&gt;"",IFERROR(VLOOKUP(B119,'📦 Productos'!A:C,3,FALSE),IFERROR(VLOOKUP(B119&amp;"",'📦 Productos'!A:C,3,FALSE),IFERROR(VLOOKUP(VALUE(B119),'📦 Productos'!A:C,3,FALSE),""))),"")</f>
      </c>
      <c r="D119" s="28" t="s">
        <v>2078</v>
      </c>
      <c r="E119" s="29" t="s">
        <v>26</v>
      </c>
      <c r="F119" s="30">
        <v>0</v>
      </c>
      <c r="G119" s="31">
        <v>5500</v>
      </c>
      <c r="H119" s="32">
        <v>2750</v>
      </c>
      <c r="I119" s="14">
        <f>IF(AND(G119&gt;0,H119&gt;0),ROUND((1-H119/G119)*100,0),0)</f>
        <v>50</v>
      </c>
      <c r="J119" s="33" t="s">
        <v>29</v>
      </c>
      <c r="K119" s="30" t="s">
        <v>1888</v>
      </c>
      <c r="L119" s="29" t="s">
        <v>26</v>
      </c>
    </row>
    <row r="120" ht="20" customHeight="1" spans="1:12" x14ac:dyDescent="0.25">
      <c r="A120" s="7" t="s">
        <v>2079</v>
      </c>
      <c r="B120" s="7" t="s">
        <v>214</v>
      </c>
      <c r="C120" s="24">
        <f>IF(B120&lt;&gt;"",IFERROR(VLOOKUP(B120,'📦 Productos'!A:C,3,FALSE),IFERROR(VLOOKUP(B120&amp;"",'📦 Productos'!A:C,3,FALSE),IFERROR(VLOOKUP(VALUE(B120),'📦 Productos'!A:C,3,FALSE),""))),"")</f>
      </c>
      <c r="D120" s="7" t="s">
        <v>2080</v>
      </c>
      <c r="E120" s="8" t="s">
        <v>26</v>
      </c>
      <c r="F120" s="12">
        <v>0</v>
      </c>
      <c r="G120" s="25">
        <v>5300</v>
      </c>
      <c r="H120" s="26">
        <v>3710</v>
      </c>
      <c r="I120" s="14">
        <f>IF(AND(G120&gt;0,H120&gt;0),ROUND((1-H120/G120)*100,0),0)</f>
        <v>30</v>
      </c>
      <c r="J120" s="27" t="s">
        <v>29</v>
      </c>
      <c r="K120" s="12" t="s">
        <v>1888</v>
      </c>
      <c r="L120" s="8" t="s">
        <v>26</v>
      </c>
    </row>
    <row r="121" ht="20" customHeight="1" spans="1:12" x14ac:dyDescent="0.25">
      <c r="A121" s="28" t="s">
        <v>2081</v>
      </c>
      <c r="B121" s="28" t="s">
        <v>214</v>
      </c>
      <c r="C121" s="24">
        <f>IF(B121&lt;&gt;"",IFERROR(VLOOKUP(B121,'📦 Productos'!A:C,3,FALSE),IFERROR(VLOOKUP(B121&amp;"",'📦 Productos'!A:C,3,FALSE),IFERROR(VLOOKUP(VALUE(B121),'📦 Productos'!A:C,3,FALSE),""))),"")</f>
      </c>
      <c r="D121" s="28" t="s">
        <v>2082</v>
      </c>
      <c r="E121" s="29" t="s">
        <v>26</v>
      </c>
      <c r="F121" s="30">
        <v>0</v>
      </c>
      <c r="G121" s="31">
        <v>5500</v>
      </c>
      <c r="H121" s="32">
        <v>2750</v>
      </c>
      <c r="I121" s="14">
        <f>IF(AND(G121&gt;0,H121&gt;0),ROUND((1-H121/G121)*100,0),0)</f>
        <v>50</v>
      </c>
      <c r="J121" s="33" t="s">
        <v>29</v>
      </c>
      <c r="K121" s="30" t="s">
        <v>1888</v>
      </c>
      <c r="L121" s="29" t="s">
        <v>26</v>
      </c>
    </row>
    <row r="122" ht="20" customHeight="1" spans="1:12" x14ac:dyDescent="0.25">
      <c r="A122" s="7" t="s">
        <v>2083</v>
      </c>
      <c r="B122" s="7" t="s">
        <v>214</v>
      </c>
      <c r="C122" s="24">
        <f>IF(B122&lt;&gt;"",IFERROR(VLOOKUP(B122,'📦 Productos'!A:C,3,FALSE),IFERROR(VLOOKUP(B122&amp;"",'📦 Productos'!A:C,3,FALSE),IFERROR(VLOOKUP(VALUE(B122),'📦 Productos'!A:C,3,FALSE),""))),"")</f>
      </c>
      <c r="D122" s="7" t="s">
        <v>2084</v>
      </c>
      <c r="E122" s="8" t="s">
        <v>26</v>
      </c>
      <c r="F122" s="12">
        <v>0</v>
      </c>
      <c r="G122" s="25">
        <v>5300</v>
      </c>
      <c r="H122" s="26">
        <v>2650</v>
      </c>
      <c r="I122" s="14">
        <f>IF(AND(G122&gt;0,H122&gt;0),ROUND((1-H122/G122)*100,0),0)</f>
        <v>50</v>
      </c>
      <c r="J122" s="27" t="s">
        <v>29</v>
      </c>
      <c r="K122" s="12" t="s">
        <v>1888</v>
      </c>
      <c r="L122" s="8" t="s">
        <v>26</v>
      </c>
    </row>
    <row r="123" ht="20" customHeight="1" spans="1:12" x14ac:dyDescent="0.25">
      <c r="A123" s="28" t="s">
        <v>2085</v>
      </c>
      <c r="B123" s="28" t="s">
        <v>214</v>
      </c>
      <c r="C123" s="24">
        <f>IF(B123&lt;&gt;"",IFERROR(VLOOKUP(B123,'📦 Productos'!A:C,3,FALSE),IFERROR(VLOOKUP(B123&amp;"",'📦 Productos'!A:C,3,FALSE),IFERROR(VLOOKUP(VALUE(B123),'📦 Productos'!A:C,3,FALSE),""))),"")</f>
      </c>
      <c r="D123" s="28" t="s">
        <v>2086</v>
      </c>
      <c r="E123" s="29" t="s">
        <v>26</v>
      </c>
      <c r="F123" s="30">
        <v>0</v>
      </c>
      <c r="G123" s="31">
        <v>5300</v>
      </c>
      <c r="H123" s="32">
        <v>2650</v>
      </c>
      <c r="I123" s="14">
        <f>IF(AND(G123&gt;0,H123&gt;0),ROUND((1-H123/G123)*100,0),0)</f>
        <v>50</v>
      </c>
      <c r="J123" s="33" t="s">
        <v>29</v>
      </c>
      <c r="K123" s="30" t="s">
        <v>1888</v>
      </c>
      <c r="L123" s="29" t="s">
        <v>26</v>
      </c>
    </row>
    <row r="124" ht="20" customHeight="1" spans="1:12" x14ac:dyDescent="0.25">
      <c r="A124" s="7" t="s">
        <v>2087</v>
      </c>
      <c r="B124" s="7" t="s">
        <v>214</v>
      </c>
      <c r="C124" s="24">
        <f>IF(B124&lt;&gt;"",IFERROR(VLOOKUP(B124,'📦 Productos'!A:C,3,FALSE),IFERROR(VLOOKUP(B124&amp;"",'📦 Productos'!A:C,3,FALSE),IFERROR(VLOOKUP(VALUE(B124),'📦 Productos'!A:C,3,FALSE),""))),"")</f>
      </c>
      <c r="D124" s="7" t="s">
        <v>2088</v>
      </c>
      <c r="E124" s="8" t="s">
        <v>26</v>
      </c>
      <c r="F124" s="12">
        <v>0</v>
      </c>
      <c r="G124" s="25">
        <v>5300</v>
      </c>
      <c r="H124" s="26">
        <v>3710</v>
      </c>
      <c r="I124" s="14">
        <f>IF(AND(G124&gt;0,H124&gt;0),ROUND((1-H124/G124)*100,0),0)</f>
        <v>30</v>
      </c>
      <c r="J124" s="27" t="s">
        <v>29</v>
      </c>
      <c r="K124" s="12" t="s">
        <v>1888</v>
      </c>
      <c r="L124" s="8" t="s">
        <v>26</v>
      </c>
    </row>
    <row r="125" ht="20" customHeight="1" spans="1:12" x14ac:dyDescent="0.25">
      <c r="A125" s="28" t="s">
        <v>2089</v>
      </c>
      <c r="B125" s="28" t="s">
        <v>214</v>
      </c>
      <c r="C125" s="24">
        <f>IF(B125&lt;&gt;"",IFERROR(VLOOKUP(B125,'📦 Productos'!A:C,3,FALSE),IFERROR(VLOOKUP(B125&amp;"",'📦 Productos'!A:C,3,FALSE),IFERROR(VLOOKUP(VALUE(B125),'📦 Productos'!A:C,3,FALSE),""))),"")</f>
      </c>
      <c r="D125" s="28" t="s">
        <v>2090</v>
      </c>
      <c r="E125" s="29" t="s">
        <v>26</v>
      </c>
      <c r="F125" s="30">
        <v>0</v>
      </c>
      <c r="G125" s="31">
        <v>5300</v>
      </c>
      <c r="H125" s="32">
        <v>2650</v>
      </c>
      <c r="I125" s="14">
        <f>IF(AND(G125&gt;0,H125&gt;0),ROUND((1-H125/G125)*100,0),0)</f>
        <v>50</v>
      </c>
      <c r="J125" s="33" t="s">
        <v>29</v>
      </c>
      <c r="K125" s="30" t="s">
        <v>1888</v>
      </c>
      <c r="L125" s="29" t="s">
        <v>26</v>
      </c>
    </row>
    <row r="126" ht="20" customHeight="1" spans="1:12" x14ac:dyDescent="0.25">
      <c r="A126" s="7" t="s">
        <v>2091</v>
      </c>
      <c r="B126" s="7" t="s">
        <v>214</v>
      </c>
      <c r="C126" s="24">
        <f>IF(B126&lt;&gt;"",IFERROR(VLOOKUP(B126,'📦 Productos'!A:C,3,FALSE),IFERROR(VLOOKUP(B126&amp;"",'📦 Productos'!A:C,3,FALSE),IFERROR(VLOOKUP(VALUE(B126),'📦 Productos'!A:C,3,FALSE),""))),"")</f>
      </c>
      <c r="D126" s="7" t="s">
        <v>2092</v>
      </c>
      <c r="E126" s="8" t="s">
        <v>26</v>
      </c>
      <c r="F126" s="12">
        <v>0</v>
      </c>
      <c r="G126" s="25">
        <v>5300</v>
      </c>
      <c r="H126" s="26">
        <v>2650</v>
      </c>
      <c r="I126" s="14">
        <f>IF(AND(G126&gt;0,H126&gt;0),ROUND((1-H126/G126)*100,0),0)</f>
        <v>50</v>
      </c>
      <c r="J126" s="27" t="s">
        <v>29</v>
      </c>
      <c r="K126" s="12" t="s">
        <v>1888</v>
      </c>
      <c r="L126" s="8" t="s">
        <v>26</v>
      </c>
    </row>
    <row r="127" ht="20" customHeight="1" spans="1:12" x14ac:dyDescent="0.25">
      <c r="A127" s="28" t="s">
        <v>2093</v>
      </c>
      <c r="B127" s="28" t="s">
        <v>214</v>
      </c>
      <c r="C127" s="24">
        <f>IF(B127&lt;&gt;"",IFERROR(VLOOKUP(B127,'📦 Productos'!A:C,3,FALSE),IFERROR(VLOOKUP(B127&amp;"",'📦 Productos'!A:C,3,FALSE),IFERROR(VLOOKUP(VALUE(B127),'📦 Productos'!A:C,3,FALSE),""))),"")</f>
      </c>
      <c r="D127" s="28" t="s">
        <v>2094</v>
      </c>
      <c r="E127" s="29" t="s">
        <v>26</v>
      </c>
      <c r="F127" s="30">
        <v>0</v>
      </c>
      <c r="G127" s="31">
        <v>5300</v>
      </c>
      <c r="H127" s="32">
        <v>2650</v>
      </c>
      <c r="I127" s="14">
        <f>IF(AND(G127&gt;0,H127&gt;0),ROUND((1-H127/G127)*100,0),0)</f>
        <v>50</v>
      </c>
      <c r="J127" s="33" t="s">
        <v>29</v>
      </c>
      <c r="K127" s="30" t="s">
        <v>1888</v>
      </c>
      <c r="L127" s="29" t="s">
        <v>26</v>
      </c>
    </row>
    <row r="128" ht="20" customHeight="1" spans="1:12" x14ac:dyDescent="0.25">
      <c r="A128" s="7" t="s">
        <v>2095</v>
      </c>
      <c r="B128" s="7" t="s">
        <v>214</v>
      </c>
      <c r="C128" s="24">
        <f>IF(B128&lt;&gt;"",IFERROR(VLOOKUP(B128,'📦 Productos'!A:C,3,FALSE),IFERROR(VLOOKUP(B128&amp;"",'📦 Productos'!A:C,3,FALSE),IFERROR(VLOOKUP(VALUE(B128),'📦 Productos'!A:C,3,FALSE),""))),"")</f>
      </c>
      <c r="D128" s="7" t="s">
        <v>2096</v>
      </c>
      <c r="E128" s="8" t="s">
        <v>26</v>
      </c>
      <c r="F128" s="12">
        <v>0</v>
      </c>
      <c r="G128" s="25">
        <v>5300</v>
      </c>
      <c r="H128" s="26">
        <v>2650</v>
      </c>
      <c r="I128" s="14">
        <f>IF(AND(G128&gt;0,H128&gt;0),ROUND((1-H128/G128)*100,0),0)</f>
        <v>50</v>
      </c>
      <c r="J128" s="27" t="s">
        <v>29</v>
      </c>
      <c r="K128" s="12" t="s">
        <v>1888</v>
      </c>
      <c r="L128" s="8" t="s">
        <v>26</v>
      </c>
    </row>
    <row r="129" ht="20" customHeight="1" spans="1:12" x14ac:dyDescent="0.25">
      <c r="A129" s="28" t="s">
        <v>2097</v>
      </c>
      <c r="B129" s="28" t="s">
        <v>214</v>
      </c>
      <c r="C129" s="24">
        <f>IF(B129&lt;&gt;"",IFERROR(VLOOKUP(B129,'📦 Productos'!A:C,3,FALSE),IFERROR(VLOOKUP(B129&amp;"",'📦 Productos'!A:C,3,FALSE),IFERROR(VLOOKUP(VALUE(B129),'📦 Productos'!A:C,3,FALSE),""))),"")</f>
      </c>
      <c r="D129" s="28" t="s">
        <v>2098</v>
      </c>
      <c r="E129" s="29" t="s">
        <v>26</v>
      </c>
      <c r="F129" s="30">
        <v>0</v>
      </c>
      <c r="G129" s="31">
        <v>5300</v>
      </c>
      <c r="H129" s="32">
        <v>3710</v>
      </c>
      <c r="I129" s="14">
        <f>IF(AND(G129&gt;0,H129&gt;0),ROUND((1-H129/G129)*100,0),0)</f>
        <v>30</v>
      </c>
      <c r="J129" s="33" t="s">
        <v>29</v>
      </c>
      <c r="K129" s="30" t="s">
        <v>1888</v>
      </c>
      <c r="L129" s="29" t="s">
        <v>26</v>
      </c>
    </row>
    <row r="130" ht="20" customHeight="1" spans="1:12" x14ac:dyDescent="0.25">
      <c r="A130" s="7" t="s">
        <v>2099</v>
      </c>
      <c r="B130" s="7" t="s">
        <v>214</v>
      </c>
      <c r="C130" s="24">
        <f>IF(B130&lt;&gt;"",IFERROR(VLOOKUP(B130,'📦 Productos'!A:C,3,FALSE),IFERROR(VLOOKUP(B130&amp;"",'📦 Productos'!A:C,3,FALSE),IFERROR(VLOOKUP(VALUE(B130),'📦 Productos'!A:C,3,FALSE),""))),"")</f>
      </c>
      <c r="D130" s="7" t="s">
        <v>2100</v>
      </c>
      <c r="E130" s="8" t="s">
        <v>26</v>
      </c>
      <c r="F130" s="12">
        <v>0</v>
      </c>
      <c r="G130" s="25">
        <v>5300</v>
      </c>
      <c r="H130" s="26">
        <v>2650</v>
      </c>
      <c r="I130" s="14">
        <f>IF(AND(G130&gt;0,H130&gt;0),ROUND((1-H130/G130)*100,0),0)</f>
        <v>50</v>
      </c>
      <c r="J130" s="27" t="s">
        <v>29</v>
      </c>
      <c r="K130" s="12" t="s">
        <v>1888</v>
      </c>
      <c r="L130" s="8" t="s">
        <v>26</v>
      </c>
    </row>
    <row r="131" ht="20" customHeight="1" spans="1:12" x14ac:dyDescent="0.25">
      <c r="A131" s="28" t="s">
        <v>2101</v>
      </c>
      <c r="B131" s="28" t="s">
        <v>214</v>
      </c>
      <c r="C131" s="24">
        <f>IF(B131&lt;&gt;"",IFERROR(VLOOKUP(B131,'📦 Productos'!A:C,3,FALSE),IFERROR(VLOOKUP(B131&amp;"",'📦 Productos'!A:C,3,FALSE),IFERROR(VLOOKUP(VALUE(B131),'📦 Productos'!A:C,3,FALSE),""))),"")</f>
      </c>
      <c r="D131" s="28" t="s">
        <v>2102</v>
      </c>
      <c r="E131" s="29" t="s">
        <v>26</v>
      </c>
      <c r="F131" s="30">
        <v>0</v>
      </c>
      <c r="G131" s="31">
        <v>5300</v>
      </c>
      <c r="H131" s="32">
        <v>2650</v>
      </c>
      <c r="I131" s="14">
        <f>IF(AND(G131&gt;0,H131&gt;0),ROUND((1-H131/G131)*100,0),0)</f>
        <v>50</v>
      </c>
      <c r="J131" s="33" t="s">
        <v>29</v>
      </c>
      <c r="K131" s="30" t="s">
        <v>1888</v>
      </c>
      <c r="L131" s="29" t="s">
        <v>26</v>
      </c>
    </row>
    <row r="132" ht="20" customHeight="1" spans="1:12" x14ac:dyDescent="0.25">
      <c r="A132" s="7" t="s">
        <v>2103</v>
      </c>
      <c r="B132" s="7" t="s">
        <v>214</v>
      </c>
      <c r="C132" s="24">
        <f>IF(B132&lt;&gt;"",IFERROR(VLOOKUP(B132,'📦 Productos'!A:C,3,FALSE),IFERROR(VLOOKUP(B132&amp;"",'📦 Productos'!A:C,3,FALSE),IFERROR(VLOOKUP(VALUE(B132),'📦 Productos'!A:C,3,FALSE),""))),"")</f>
      </c>
      <c r="D132" s="7" t="s">
        <v>2104</v>
      </c>
      <c r="E132" s="8" t="s">
        <v>26</v>
      </c>
      <c r="F132" s="12">
        <v>0</v>
      </c>
      <c r="G132" s="25">
        <v>5300</v>
      </c>
      <c r="H132" s="26">
        <v>3710</v>
      </c>
      <c r="I132" s="14">
        <f>IF(AND(G132&gt;0,H132&gt;0),ROUND((1-H132/G132)*100,0),0)</f>
        <v>30</v>
      </c>
      <c r="J132" s="27" t="s">
        <v>29</v>
      </c>
      <c r="K132" s="12" t="s">
        <v>1888</v>
      </c>
      <c r="L132" s="8" t="s">
        <v>26</v>
      </c>
    </row>
    <row r="133" ht="20" customHeight="1" spans="1:12" x14ac:dyDescent="0.25">
      <c r="A133" s="28" t="s">
        <v>2105</v>
      </c>
      <c r="B133" s="28" t="s">
        <v>214</v>
      </c>
      <c r="C133" s="24">
        <f>IF(B133&lt;&gt;"",IFERROR(VLOOKUP(B133,'📦 Productos'!A:C,3,FALSE),IFERROR(VLOOKUP(B133&amp;"",'📦 Productos'!A:C,3,FALSE),IFERROR(VLOOKUP(VALUE(B133),'📦 Productos'!A:C,3,FALSE),""))),"")</f>
      </c>
      <c r="D133" s="28" t="s">
        <v>2106</v>
      </c>
      <c r="E133" s="29" t="s">
        <v>26</v>
      </c>
      <c r="F133" s="30">
        <v>0</v>
      </c>
      <c r="G133" s="31">
        <v>5300</v>
      </c>
      <c r="H133" s="32">
        <v>2650</v>
      </c>
      <c r="I133" s="14">
        <f>IF(AND(G133&gt;0,H133&gt;0),ROUND((1-H133/G133)*100,0),0)</f>
        <v>50</v>
      </c>
      <c r="J133" s="33" t="s">
        <v>29</v>
      </c>
      <c r="K133" s="30" t="s">
        <v>1888</v>
      </c>
      <c r="L133" s="29" t="s">
        <v>26</v>
      </c>
    </row>
    <row r="134" ht="20" customHeight="1" spans="1:12" x14ac:dyDescent="0.25">
      <c r="A134" s="7" t="s">
        <v>2107</v>
      </c>
      <c r="B134" s="7" t="s">
        <v>214</v>
      </c>
      <c r="C134" s="24">
        <f>IF(B134&lt;&gt;"",IFERROR(VLOOKUP(B134,'📦 Productos'!A:C,3,FALSE),IFERROR(VLOOKUP(B134&amp;"",'📦 Productos'!A:C,3,FALSE),IFERROR(VLOOKUP(VALUE(B134),'📦 Productos'!A:C,3,FALSE),""))),"")</f>
      </c>
      <c r="D134" s="7" t="s">
        <v>2108</v>
      </c>
      <c r="E134" s="8" t="s">
        <v>26</v>
      </c>
      <c r="F134" s="12">
        <v>0</v>
      </c>
      <c r="G134" s="25">
        <v>5300</v>
      </c>
      <c r="H134" s="26">
        <v>2650</v>
      </c>
      <c r="I134" s="14">
        <f>IF(AND(G134&gt;0,H134&gt;0),ROUND((1-H134/G134)*100,0),0)</f>
        <v>50</v>
      </c>
      <c r="J134" s="27" t="s">
        <v>29</v>
      </c>
      <c r="K134" s="12" t="s">
        <v>1888</v>
      </c>
      <c r="L134" s="8" t="s">
        <v>26</v>
      </c>
    </row>
    <row r="135" ht="20" customHeight="1" spans="1:12" x14ac:dyDescent="0.25">
      <c r="A135" s="28" t="s">
        <v>2109</v>
      </c>
      <c r="B135" s="28" t="s">
        <v>214</v>
      </c>
      <c r="C135" s="24">
        <f>IF(B135&lt;&gt;"",IFERROR(VLOOKUP(B135,'📦 Productos'!A:C,3,FALSE),IFERROR(VLOOKUP(B135&amp;"",'📦 Productos'!A:C,3,FALSE),IFERROR(VLOOKUP(VALUE(B135),'📦 Productos'!A:C,3,FALSE),""))),"")</f>
      </c>
      <c r="D135" s="28" t="s">
        <v>2110</v>
      </c>
      <c r="E135" s="29" t="s">
        <v>26</v>
      </c>
      <c r="F135" s="30">
        <v>0</v>
      </c>
      <c r="G135" s="31">
        <v>5300</v>
      </c>
      <c r="H135" s="32">
        <v>2650</v>
      </c>
      <c r="I135" s="14">
        <f>IF(AND(G135&gt;0,H135&gt;0),ROUND((1-H135/G135)*100,0),0)</f>
        <v>50</v>
      </c>
      <c r="J135" s="33" t="s">
        <v>29</v>
      </c>
      <c r="K135" s="30" t="s">
        <v>1888</v>
      </c>
      <c r="L135" s="29" t="s">
        <v>26</v>
      </c>
    </row>
    <row r="136" ht="20" customHeight="1" spans="1:12" x14ac:dyDescent="0.25">
      <c r="A136" s="7" t="s">
        <v>2111</v>
      </c>
      <c r="B136" s="7" t="s">
        <v>214</v>
      </c>
      <c r="C136" s="24">
        <f>IF(B136&lt;&gt;"",IFERROR(VLOOKUP(B136,'📦 Productos'!A:C,3,FALSE),IFERROR(VLOOKUP(B136&amp;"",'📦 Productos'!A:C,3,FALSE),IFERROR(VLOOKUP(VALUE(B136),'📦 Productos'!A:C,3,FALSE),""))),"")</f>
      </c>
      <c r="D136" s="7" t="s">
        <v>2112</v>
      </c>
      <c r="E136" s="8" t="s">
        <v>26</v>
      </c>
      <c r="F136" s="12">
        <v>0</v>
      </c>
      <c r="G136" s="25">
        <v>5300</v>
      </c>
      <c r="H136" s="26">
        <v>3710</v>
      </c>
      <c r="I136" s="14">
        <f>IF(AND(G136&gt;0,H136&gt;0),ROUND((1-H136/G136)*100,0),0)</f>
        <v>30</v>
      </c>
      <c r="J136" s="27" t="s">
        <v>29</v>
      </c>
      <c r="K136" s="12" t="s">
        <v>1888</v>
      </c>
      <c r="L136" s="8" t="s">
        <v>26</v>
      </c>
    </row>
    <row r="137" ht="20" customHeight="1" spans="1:12" x14ac:dyDescent="0.25">
      <c r="A137" s="28" t="s">
        <v>2113</v>
      </c>
      <c r="B137" s="28" t="s">
        <v>214</v>
      </c>
      <c r="C137" s="24">
        <f>IF(B137&lt;&gt;"",IFERROR(VLOOKUP(B137,'📦 Productos'!A:C,3,FALSE),IFERROR(VLOOKUP(B137&amp;"",'📦 Productos'!A:C,3,FALSE),IFERROR(VLOOKUP(VALUE(B137),'📦 Productos'!A:C,3,FALSE),""))),"")</f>
      </c>
      <c r="D137" s="28" t="s">
        <v>2114</v>
      </c>
      <c r="E137" s="29" t="s">
        <v>26</v>
      </c>
      <c r="F137" s="30">
        <v>0</v>
      </c>
      <c r="G137" s="31">
        <v>5300</v>
      </c>
      <c r="H137" s="32">
        <v>3710</v>
      </c>
      <c r="I137" s="14">
        <f>IF(AND(G137&gt;0,H137&gt;0),ROUND((1-H137/G137)*100,0),0)</f>
        <v>30</v>
      </c>
      <c r="J137" s="33" t="s">
        <v>29</v>
      </c>
      <c r="K137" s="30" t="s">
        <v>1888</v>
      </c>
      <c r="L137" s="29" t="s">
        <v>26</v>
      </c>
    </row>
    <row r="138" ht="20" customHeight="1" spans="1:12" x14ac:dyDescent="0.25">
      <c r="A138" s="7" t="s">
        <v>2115</v>
      </c>
      <c r="B138" s="7" t="s">
        <v>214</v>
      </c>
      <c r="C138" s="24">
        <f>IF(B138&lt;&gt;"",IFERROR(VLOOKUP(B138,'📦 Productos'!A:C,3,FALSE),IFERROR(VLOOKUP(B138&amp;"",'📦 Productos'!A:C,3,FALSE),IFERROR(VLOOKUP(VALUE(B138),'📦 Productos'!A:C,3,FALSE),""))),"")</f>
      </c>
      <c r="D138" s="7" t="s">
        <v>2116</v>
      </c>
      <c r="E138" s="8" t="s">
        <v>26</v>
      </c>
      <c r="F138" s="12">
        <v>0</v>
      </c>
      <c r="G138" s="25">
        <v>5300</v>
      </c>
      <c r="H138" s="26">
        <v>2650</v>
      </c>
      <c r="I138" s="14">
        <f>IF(AND(G138&gt;0,H138&gt;0),ROUND((1-H138/G138)*100,0),0)</f>
        <v>50</v>
      </c>
      <c r="J138" s="27" t="s">
        <v>29</v>
      </c>
      <c r="K138" s="12" t="s">
        <v>1888</v>
      </c>
      <c r="L138" s="8" t="s">
        <v>26</v>
      </c>
    </row>
    <row r="139" ht="20" customHeight="1" spans="1:12" x14ac:dyDescent="0.25">
      <c r="A139" s="28" t="s">
        <v>2117</v>
      </c>
      <c r="B139" s="28" t="s">
        <v>214</v>
      </c>
      <c r="C139" s="24">
        <f>IF(B139&lt;&gt;"",IFERROR(VLOOKUP(B139,'📦 Productos'!A:C,3,FALSE),IFERROR(VLOOKUP(B139&amp;"",'📦 Productos'!A:C,3,FALSE),IFERROR(VLOOKUP(VALUE(B139),'📦 Productos'!A:C,3,FALSE),""))),"")</f>
      </c>
      <c r="D139" s="28" t="s">
        <v>2118</v>
      </c>
      <c r="E139" s="29" t="s">
        <v>26</v>
      </c>
      <c r="F139" s="30">
        <v>0</v>
      </c>
      <c r="G139" s="31">
        <v>5300</v>
      </c>
      <c r="H139" s="32">
        <v>2650</v>
      </c>
      <c r="I139" s="14">
        <f>IF(AND(G139&gt;0,H139&gt;0),ROUND((1-H139/G139)*100,0),0)</f>
        <v>50</v>
      </c>
      <c r="J139" s="33" t="s">
        <v>29</v>
      </c>
      <c r="K139" s="30" t="s">
        <v>1888</v>
      </c>
      <c r="L139" s="29" t="s">
        <v>26</v>
      </c>
    </row>
    <row r="140" ht="20" customHeight="1" spans="1:12" x14ac:dyDescent="0.25">
      <c r="A140" s="7" t="s">
        <v>2119</v>
      </c>
      <c r="B140" s="7" t="s">
        <v>214</v>
      </c>
      <c r="C140" s="24">
        <f>IF(B140&lt;&gt;"",IFERROR(VLOOKUP(B140,'📦 Productos'!A:C,3,FALSE),IFERROR(VLOOKUP(B140&amp;"",'📦 Productos'!A:C,3,FALSE),IFERROR(VLOOKUP(VALUE(B140),'📦 Productos'!A:C,3,FALSE),""))),"")</f>
      </c>
      <c r="D140" s="7" t="s">
        <v>2120</v>
      </c>
      <c r="E140" s="8" t="s">
        <v>26</v>
      </c>
      <c r="F140" s="12">
        <v>0</v>
      </c>
      <c r="G140" s="25">
        <v>5300</v>
      </c>
      <c r="H140" s="26">
        <v>2650</v>
      </c>
      <c r="I140" s="14">
        <f>IF(AND(G140&gt;0,H140&gt;0),ROUND((1-H140/G140)*100,0),0)</f>
        <v>50</v>
      </c>
      <c r="J140" s="27" t="s">
        <v>29</v>
      </c>
      <c r="K140" s="12" t="s">
        <v>1888</v>
      </c>
      <c r="L140" s="8" t="s">
        <v>26</v>
      </c>
    </row>
    <row r="141" ht="20" customHeight="1" spans="1:12" x14ac:dyDescent="0.25">
      <c r="A141" s="28" t="s">
        <v>2121</v>
      </c>
      <c r="B141" s="28" t="s">
        <v>214</v>
      </c>
      <c r="C141" s="24">
        <f>IF(B141&lt;&gt;"",IFERROR(VLOOKUP(B141,'📦 Productos'!A:C,3,FALSE),IFERROR(VLOOKUP(B141&amp;"",'📦 Productos'!A:C,3,FALSE),IFERROR(VLOOKUP(VALUE(B141),'📦 Productos'!A:C,3,FALSE),""))),"")</f>
      </c>
      <c r="D141" s="28" t="s">
        <v>2122</v>
      </c>
      <c r="E141" s="29" t="s">
        <v>26</v>
      </c>
      <c r="F141" s="30">
        <v>0</v>
      </c>
      <c r="G141" s="31">
        <v>5300</v>
      </c>
      <c r="H141" s="32">
        <v>2650</v>
      </c>
      <c r="I141" s="14">
        <f>IF(AND(G141&gt;0,H141&gt;0),ROUND((1-H141/G141)*100,0),0)</f>
        <v>50</v>
      </c>
      <c r="J141" s="33" t="s">
        <v>29</v>
      </c>
      <c r="K141" s="30" t="s">
        <v>1888</v>
      </c>
      <c r="L141" s="29" t="s">
        <v>26</v>
      </c>
    </row>
    <row r="142" ht="20" customHeight="1" spans="1:12" x14ac:dyDescent="0.25">
      <c r="A142" s="7" t="s">
        <v>2123</v>
      </c>
      <c r="B142" s="7" t="s">
        <v>214</v>
      </c>
      <c r="C142" s="24">
        <f>IF(B142&lt;&gt;"",IFERROR(VLOOKUP(B142,'📦 Productos'!A:C,3,FALSE),IFERROR(VLOOKUP(B142&amp;"",'📦 Productos'!A:C,3,FALSE),IFERROR(VLOOKUP(VALUE(B142),'📦 Productos'!A:C,3,FALSE),""))),"")</f>
      </c>
      <c r="D142" s="7" t="s">
        <v>2124</v>
      </c>
      <c r="E142" s="8" t="s">
        <v>26</v>
      </c>
      <c r="F142" s="12">
        <v>0</v>
      </c>
      <c r="G142" s="25">
        <v>5300</v>
      </c>
      <c r="H142" s="26">
        <v>2650</v>
      </c>
      <c r="I142" s="14">
        <f>IF(AND(G142&gt;0,H142&gt;0),ROUND((1-H142/G142)*100,0),0)</f>
        <v>50</v>
      </c>
      <c r="J142" s="27" t="s">
        <v>29</v>
      </c>
      <c r="K142" s="12" t="s">
        <v>1888</v>
      </c>
      <c r="L142" s="8" t="s">
        <v>26</v>
      </c>
    </row>
    <row r="143" ht="20" customHeight="1" spans="1:12" x14ac:dyDescent="0.25">
      <c r="A143" s="28" t="s">
        <v>2125</v>
      </c>
      <c r="B143" s="28" t="s">
        <v>214</v>
      </c>
      <c r="C143" s="24">
        <f>IF(B143&lt;&gt;"",IFERROR(VLOOKUP(B143,'📦 Productos'!A:C,3,FALSE),IFERROR(VLOOKUP(B143&amp;"",'📦 Productos'!A:C,3,FALSE),IFERROR(VLOOKUP(VALUE(B143),'📦 Productos'!A:C,3,FALSE),""))),"")</f>
      </c>
      <c r="D143" s="28" t="s">
        <v>2126</v>
      </c>
      <c r="E143" s="29" t="s">
        <v>26</v>
      </c>
      <c r="F143" s="30">
        <v>0</v>
      </c>
      <c r="G143" s="31">
        <v>5300</v>
      </c>
      <c r="H143" s="32">
        <v>2650</v>
      </c>
      <c r="I143" s="14">
        <f>IF(AND(G143&gt;0,H143&gt;0),ROUND((1-H143/G143)*100,0),0)</f>
        <v>50</v>
      </c>
      <c r="J143" s="33" t="s">
        <v>29</v>
      </c>
      <c r="K143" s="30" t="s">
        <v>1888</v>
      </c>
      <c r="L143" s="29" t="s">
        <v>26</v>
      </c>
    </row>
    <row r="144" ht="20" customHeight="1" spans="1:12" x14ac:dyDescent="0.25">
      <c r="A144" s="7" t="s">
        <v>2127</v>
      </c>
      <c r="B144" s="7" t="s">
        <v>214</v>
      </c>
      <c r="C144" s="24">
        <f>IF(B144&lt;&gt;"",IFERROR(VLOOKUP(B144,'📦 Productos'!A:C,3,FALSE),IFERROR(VLOOKUP(B144&amp;"",'📦 Productos'!A:C,3,FALSE),IFERROR(VLOOKUP(VALUE(B144),'📦 Productos'!A:C,3,FALSE),""))),"")</f>
      </c>
      <c r="D144" s="7" t="s">
        <v>2128</v>
      </c>
      <c r="E144" s="8" t="s">
        <v>26</v>
      </c>
      <c r="F144" s="12">
        <v>0</v>
      </c>
      <c r="G144" s="25">
        <v>5300</v>
      </c>
      <c r="H144" s="26">
        <v>2650</v>
      </c>
      <c r="I144" s="14">
        <f>IF(AND(G144&gt;0,H144&gt;0),ROUND((1-H144/G144)*100,0),0)</f>
        <v>50</v>
      </c>
      <c r="J144" s="27" t="s">
        <v>29</v>
      </c>
      <c r="K144" s="12" t="s">
        <v>1888</v>
      </c>
      <c r="L144" s="8" t="s">
        <v>26</v>
      </c>
    </row>
    <row r="145" ht="20" customHeight="1" spans="1:12" x14ac:dyDescent="0.25">
      <c r="A145" s="28" t="s">
        <v>2129</v>
      </c>
      <c r="B145" s="28" t="s">
        <v>214</v>
      </c>
      <c r="C145" s="24">
        <f>IF(B145&lt;&gt;"",IFERROR(VLOOKUP(B145,'📦 Productos'!A:C,3,FALSE),IFERROR(VLOOKUP(B145&amp;"",'📦 Productos'!A:C,3,FALSE),IFERROR(VLOOKUP(VALUE(B145),'📦 Productos'!A:C,3,FALSE),""))),"")</f>
      </c>
      <c r="D145" s="28" t="s">
        <v>2130</v>
      </c>
      <c r="E145" s="29" t="s">
        <v>26</v>
      </c>
      <c r="F145" s="30">
        <v>0</v>
      </c>
      <c r="G145" s="31">
        <v>5300</v>
      </c>
      <c r="H145" s="32">
        <v>2650</v>
      </c>
      <c r="I145" s="14">
        <f>IF(AND(G145&gt;0,H145&gt;0),ROUND((1-H145/G145)*100,0),0)</f>
        <v>50</v>
      </c>
      <c r="J145" s="33" t="s">
        <v>29</v>
      </c>
      <c r="K145" s="30" t="s">
        <v>1888</v>
      </c>
      <c r="L145" s="29" t="s">
        <v>26</v>
      </c>
    </row>
    <row r="146" ht="20" customHeight="1" spans="1:12" x14ac:dyDescent="0.25">
      <c r="A146" s="7" t="s">
        <v>2131</v>
      </c>
      <c r="B146" s="7" t="s">
        <v>214</v>
      </c>
      <c r="C146" s="24">
        <f>IF(B146&lt;&gt;"",IFERROR(VLOOKUP(B146,'📦 Productos'!A:C,3,FALSE),IFERROR(VLOOKUP(B146&amp;"",'📦 Productos'!A:C,3,FALSE),IFERROR(VLOOKUP(VALUE(B146),'📦 Productos'!A:C,3,FALSE),""))),"")</f>
      </c>
      <c r="D146" s="7" t="s">
        <v>2132</v>
      </c>
      <c r="E146" s="8" t="s">
        <v>26</v>
      </c>
      <c r="F146" s="12">
        <v>0</v>
      </c>
      <c r="G146" s="25">
        <v>5300</v>
      </c>
      <c r="H146" s="26">
        <v>3710</v>
      </c>
      <c r="I146" s="14">
        <f>IF(AND(G146&gt;0,H146&gt;0),ROUND((1-H146/G146)*100,0),0)</f>
        <v>30</v>
      </c>
      <c r="J146" s="27" t="s">
        <v>29</v>
      </c>
      <c r="K146" s="12" t="s">
        <v>1888</v>
      </c>
      <c r="L146" s="8" t="s">
        <v>26</v>
      </c>
    </row>
    <row r="147" ht="20" customHeight="1" spans="1:12" x14ac:dyDescent="0.25">
      <c r="A147" s="28" t="s">
        <v>2133</v>
      </c>
      <c r="B147" s="28" t="s">
        <v>214</v>
      </c>
      <c r="C147" s="24">
        <f>IF(B147&lt;&gt;"",IFERROR(VLOOKUP(B147,'📦 Productos'!A:C,3,FALSE),IFERROR(VLOOKUP(B147&amp;"",'📦 Productos'!A:C,3,FALSE),IFERROR(VLOOKUP(VALUE(B147),'📦 Productos'!A:C,3,FALSE),""))),"")</f>
      </c>
      <c r="D147" s="28" t="s">
        <v>2134</v>
      </c>
      <c r="E147" s="29" t="s">
        <v>26</v>
      </c>
      <c r="F147" s="30">
        <v>0</v>
      </c>
      <c r="G147" s="31">
        <v>5300</v>
      </c>
      <c r="H147" s="32">
        <v>3710</v>
      </c>
      <c r="I147" s="14">
        <f>IF(AND(G147&gt;0,H147&gt;0),ROUND((1-H147/G147)*100,0),0)</f>
        <v>30</v>
      </c>
      <c r="J147" s="33" t="s">
        <v>29</v>
      </c>
      <c r="K147" s="30" t="s">
        <v>1888</v>
      </c>
      <c r="L147" s="29" t="s">
        <v>26</v>
      </c>
    </row>
    <row r="148" ht="20" customHeight="1" spans="1:12" x14ac:dyDescent="0.25">
      <c r="A148" s="7" t="s">
        <v>2135</v>
      </c>
      <c r="B148" s="7" t="s">
        <v>214</v>
      </c>
      <c r="C148" s="24">
        <f>IF(B148&lt;&gt;"",IFERROR(VLOOKUP(B148,'📦 Productos'!A:C,3,FALSE),IFERROR(VLOOKUP(B148&amp;"",'📦 Productos'!A:C,3,FALSE),IFERROR(VLOOKUP(VALUE(B148),'📦 Productos'!A:C,3,FALSE),""))),"")</f>
      </c>
      <c r="D148" s="7" t="s">
        <v>2136</v>
      </c>
      <c r="E148" s="8" t="s">
        <v>26</v>
      </c>
      <c r="F148" s="12">
        <v>0</v>
      </c>
      <c r="G148" s="25">
        <v>5300</v>
      </c>
      <c r="H148" s="26">
        <v>3710</v>
      </c>
      <c r="I148" s="14">
        <f>IF(AND(G148&gt;0,H148&gt;0),ROUND((1-H148/G148)*100,0),0)</f>
        <v>30</v>
      </c>
      <c r="J148" s="27" t="s">
        <v>29</v>
      </c>
      <c r="K148" s="12" t="s">
        <v>1888</v>
      </c>
      <c r="L148" s="8" t="s">
        <v>26</v>
      </c>
    </row>
    <row r="149" ht="20" customHeight="1" spans="1:12" x14ac:dyDescent="0.25">
      <c r="A149" s="28" t="s">
        <v>2137</v>
      </c>
      <c r="B149" s="28" t="s">
        <v>214</v>
      </c>
      <c r="C149" s="24">
        <f>IF(B149&lt;&gt;"",IFERROR(VLOOKUP(B149,'📦 Productos'!A:C,3,FALSE),IFERROR(VLOOKUP(B149&amp;"",'📦 Productos'!A:C,3,FALSE),IFERROR(VLOOKUP(VALUE(B149),'📦 Productos'!A:C,3,FALSE),""))),"")</f>
      </c>
      <c r="D149" s="28" t="s">
        <v>2138</v>
      </c>
      <c r="E149" s="29" t="s">
        <v>26</v>
      </c>
      <c r="F149" s="30">
        <v>0</v>
      </c>
      <c r="G149" s="31">
        <v>5300</v>
      </c>
      <c r="H149" s="32">
        <v>3710</v>
      </c>
      <c r="I149" s="14">
        <f>IF(AND(G149&gt;0,H149&gt;0),ROUND((1-H149/G149)*100,0),0)</f>
        <v>30</v>
      </c>
      <c r="J149" s="33" t="s">
        <v>29</v>
      </c>
      <c r="K149" s="30" t="s">
        <v>1888</v>
      </c>
      <c r="L149" s="29" t="s">
        <v>26</v>
      </c>
    </row>
    <row r="150" ht="20" customHeight="1" spans="1:12" x14ac:dyDescent="0.25">
      <c r="A150" s="7" t="s">
        <v>2139</v>
      </c>
      <c r="B150" s="7" t="s">
        <v>214</v>
      </c>
      <c r="C150" s="24">
        <f>IF(B150&lt;&gt;"",IFERROR(VLOOKUP(B150,'📦 Productos'!A:C,3,FALSE),IFERROR(VLOOKUP(B150&amp;"",'📦 Productos'!A:C,3,FALSE),IFERROR(VLOOKUP(VALUE(B150),'📦 Productos'!A:C,3,FALSE),""))),"")</f>
      </c>
      <c r="D150" s="7" t="s">
        <v>2140</v>
      </c>
      <c r="E150" s="8" t="s">
        <v>26</v>
      </c>
      <c r="F150" s="12">
        <v>0</v>
      </c>
      <c r="G150" s="25">
        <v>5300</v>
      </c>
      <c r="H150" s="26">
        <v>3710</v>
      </c>
      <c r="I150" s="14">
        <f>IF(AND(G150&gt;0,H150&gt;0),ROUND((1-H150/G150)*100,0),0)</f>
        <v>30</v>
      </c>
      <c r="J150" s="27" t="s">
        <v>29</v>
      </c>
      <c r="K150" s="12" t="s">
        <v>1888</v>
      </c>
      <c r="L150" s="8" t="s">
        <v>26</v>
      </c>
    </row>
    <row r="151" ht="20" customHeight="1" spans="1:12" x14ac:dyDescent="0.25">
      <c r="A151" s="28" t="s">
        <v>2141</v>
      </c>
      <c r="B151" s="28" t="s">
        <v>214</v>
      </c>
      <c r="C151" s="24">
        <f>IF(B151&lt;&gt;"",IFERROR(VLOOKUP(B151,'📦 Productos'!A:C,3,FALSE),IFERROR(VLOOKUP(B151&amp;"",'📦 Productos'!A:C,3,FALSE),IFERROR(VLOOKUP(VALUE(B151),'📦 Productos'!A:C,3,FALSE),""))),"")</f>
      </c>
      <c r="D151" s="28" t="s">
        <v>2142</v>
      </c>
      <c r="E151" s="29" t="s">
        <v>26</v>
      </c>
      <c r="F151" s="30">
        <v>0</v>
      </c>
      <c r="G151" s="31">
        <v>5300</v>
      </c>
      <c r="H151" s="32">
        <v>2650</v>
      </c>
      <c r="I151" s="14">
        <f>IF(AND(G151&gt;0,H151&gt;0),ROUND((1-H151/G151)*100,0),0)</f>
        <v>50</v>
      </c>
      <c r="J151" s="33" t="s">
        <v>29</v>
      </c>
      <c r="K151" s="30" t="s">
        <v>1888</v>
      </c>
      <c r="L151" s="29" t="s">
        <v>26</v>
      </c>
    </row>
    <row r="152" ht="20" customHeight="1" spans="1:12" x14ac:dyDescent="0.25">
      <c r="A152" s="7" t="s">
        <v>2143</v>
      </c>
      <c r="B152" s="7" t="s">
        <v>214</v>
      </c>
      <c r="C152" s="24">
        <f>IF(B152&lt;&gt;"",IFERROR(VLOOKUP(B152,'📦 Productos'!A:C,3,FALSE),IFERROR(VLOOKUP(B152&amp;"",'📦 Productos'!A:C,3,FALSE),IFERROR(VLOOKUP(VALUE(B152),'📦 Productos'!A:C,3,FALSE),""))),"")</f>
      </c>
      <c r="D152" s="7" t="s">
        <v>2144</v>
      </c>
      <c r="E152" s="8" t="s">
        <v>26</v>
      </c>
      <c r="F152" s="12">
        <v>0</v>
      </c>
      <c r="G152" s="25">
        <v>5300</v>
      </c>
      <c r="H152" s="26">
        <v>3710</v>
      </c>
      <c r="I152" s="14">
        <f>IF(AND(G152&gt;0,H152&gt;0),ROUND((1-H152/G152)*100,0),0)</f>
        <v>30</v>
      </c>
      <c r="J152" s="27" t="s">
        <v>29</v>
      </c>
      <c r="K152" s="12" t="s">
        <v>1888</v>
      </c>
      <c r="L152" s="8" t="s">
        <v>26</v>
      </c>
    </row>
    <row r="153" ht="20" customHeight="1" spans="1:12" x14ac:dyDescent="0.25">
      <c r="A153" s="28" t="s">
        <v>2145</v>
      </c>
      <c r="B153" s="28" t="s">
        <v>214</v>
      </c>
      <c r="C153" s="24">
        <f>IF(B153&lt;&gt;"",IFERROR(VLOOKUP(B153,'📦 Productos'!A:C,3,FALSE),IFERROR(VLOOKUP(B153&amp;"",'📦 Productos'!A:C,3,FALSE),IFERROR(VLOOKUP(VALUE(B153),'📦 Productos'!A:C,3,FALSE),""))),"")</f>
      </c>
      <c r="D153" s="28" t="s">
        <v>2146</v>
      </c>
      <c r="E153" s="29" t="s">
        <v>26</v>
      </c>
      <c r="F153" s="30">
        <v>0</v>
      </c>
      <c r="G153" s="31">
        <v>5300</v>
      </c>
      <c r="H153" s="32">
        <v>3710</v>
      </c>
      <c r="I153" s="14">
        <f>IF(AND(G153&gt;0,H153&gt;0),ROUND((1-H153/G153)*100,0),0)</f>
        <v>30</v>
      </c>
      <c r="J153" s="33" t="s">
        <v>29</v>
      </c>
      <c r="K153" s="30" t="s">
        <v>1888</v>
      </c>
      <c r="L153" s="29" t="s">
        <v>26</v>
      </c>
    </row>
    <row r="154" ht="20" customHeight="1" spans="1:12" x14ac:dyDescent="0.25">
      <c r="A154" s="7" t="s">
        <v>2147</v>
      </c>
      <c r="B154" s="7" t="s">
        <v>214</v>
      </c>
      <c r="C154" s="24">
        <f>IF(B154&lt;&gt;"",IFERROR(VLOOKUP(B154,'📦 Productos'!A:C,3,FALSE),IFERROR(VLOOKUP(B154&amp;"",'📦 Productos'!A:C,3,FALSE),IFERROR(VLOOKUP(VALUE(B154),'📦 Productos'!A:C,3,FALSE),""))),"")</f>
      </c>
      <c r="D154" s="7" t="s">
        <v>2148</v>
      </c>
      <c r="E154" s="8" t="s">
        <v>26</v>
      </c>
      <c r="F154" s="12">
        <v>0</v>
      </c>
      <c r="G154" s="25">
        <v>5300</v>
      </c>
      <c r="H154" s="26">
        <v>3710</v>
      </c>
      <c r="I154" s="14">
        <f>IF(AND(G154&gt;0,H154&gt;0),ROUND((1-H154/G154)*100,0),0)</f>
        <v>30</v>
      </c>
      <c r="J154" s="27" t="s">
        <v>29</v>
      </c>
      <c r="K154" s="12" t="s">
        <v>1888</v>
      </c>
      <c r="L154" s="8" t="s">
        <v>26</v>
      </c>
    </row>
    <row r="155" ht="20" customHeight="1" spans="1:12" x14ac:dyDescent="0.25">
      <c r="A155" s="28" t="s">
        <v>2149</v>
      </c>
      <c r="B155" s="28" t="s">
        <v>214</v>
      </c>
      <c r="C155" s="24">
        <f>IF(B155&lt;&gt;"",IFERROR(VLOOKUP(B155,'📦 Productos'!A:C,3,FALSE),IFERROR(VLOOKUP(B155&amp;"",'📦 Productos'!A:C,3,FALSE),IFERROR(VLOOKUP(VALUE(B155),'📦 Productos'!A:C,3,FALSE),""))),"")</f>
      </c>
      <c r="D155" s="28" t="s">
        <v>2150</v>
      </c>
      <c r="E155" s="29" t="s">
        <v>26</v>
      </c>
      <c r="F155" s="30">
        <v>0</v>
      </c>
      <c r="G155" s="31">
        <v>5300</v>
      </c>
      <c r="H155" s="32">
        <v>2650</v>
      </c>
      <c r="I155" s="14">
        <f>IF(AND(G155&gt;0,H155&gt;0),ROUND((1-H155/G155)*100,0),0)</f>
        <v>50</v>
      </c>
      <c r="J155" s="33" t="s">
        <v>29</v>
      </c>
      <c r="K155" s="30" t="s">
        <v>1888</v>
      </c>
      <c r="L155" s="29" t="s">
        <v>26</v>
      </c>
    </row>
    <row r="156" ht="20" customHeight="1" spans="1:12" x14ac:dyDescent="0.25">
      <c r="A156" s="7" t="s">
        <v>2151</v>
      </c>
      <c r="B156" s="7" t="s">
        <v>214</v>
      </c>
      <c r="C156" s="24">
        <f>IF(B156&lt;&gt;"",IFERROR(VLOOKUP(B156,'📦 Productos'!A:C,3,FALSE),IFERROR(VLOOKUP(B156&amp;"",'📦 Productos'!A:C,3,FALSE),IFERROR(VLOOKUP(VALUE(B156),'📦 Productos'!A:C,3,FALSE),""))),"")</f>
      </c>
      <c r="D156" s="7" t="s">
        <v>2152</v>
      </c>
      <c r="E156" s="8" t="s">
        <v>26</v>
      </c>
      <c r="F156" s="12">
        <v>0</v>
      </c>
      <c r="G156" s="25">
        <v>5300</v>
      </c>
      <c r="H156" s="26">
        <v>3710</v>
      </c>
      <c r="I156" s="14">
        <f>IF(AND(G156&gt;0,H156&gt;0),ROUND((1-H156/G156)*100,0),0)</f>
        <v>30</v>
      </c>
      <c r="J156" s="27" t="s">
        <v>29</v>
      </c>
      <c r="K156" s="12" t="s">
        <v>1888</v>
      </c>
      <c r="L156" s="8" t="s">
        <v>26</v>
      </c>
    </row>
    <row r="157" ht="20" customHeight="1" spans="1:12" x14ac:dyDescent="0.25">
      <c r="A157" s="28" t="s">
        <v>2153</v>
      </c>
      <c r="B157" s="28" t="s">
        <v>214</v>
      </c>
      <c r="C157" s="24">
        <f>IF(B157&lt;&gt;"",IFERROR(VLOOKUP(B157,'📦 Productos'!A:C,3,FALSE),IFERROR(VLOOKUP(B157&amp;"",'📦 Productos'!A:C,3,FALSE),IFERROR(VLOOKUP(VALUE(B157),'📦 Productos'!A:C,3,FALSE),""))),"")</f>
      </c>
      <c r="D157" s="28" t="s">
        <v>2154</v>
      </c>
      <c r="E157" s="29" t="s">
        <v>26</v>
      </c>
      <c r="F157" s="30">
        <v>0</v>
      </c>
      <c r="G157" s="31">
        <v>5300</v>
      </c>
      <c r="H157" s="32">
        <v>3710</v>
      </c>
      <c r="I157" s="14">
        <f>IF(AND(G157&gt;0,H157&gt;0),ROUND((1-H157/G157)*100,0),0)</f>
        <v>30</v>
      </c>
      <c r="J157" s="33" t="s">
        <v>29</v>
      </c>
      <c r="K157" s="30" t="s">
        <v>1888</v>
      </c>
      <c r="L157" s="29" t="s">
        <v>26</v>
      </c>
    </row>
    <row r="158" ht="20" customHeight="1" spans="1:12" x14ac:dyDescent="0.25">
      <c r="A158" s="7" t="s">
        <v>2155</v>
      </c>
      <c r="B158" s="7" t="s">
        <v>214</v>
      </c>
      <c r="C158" s="24">
        <f>IF(B158&lt;&gt;"",IFERROR(VLOOKUP(B158,'📦 Productos'!A:C,3,FALSE),IFERROR(VLOOKUP(B158&amp;"",'📦 Productos'!A:C,3,FALSE),IFERROR(VLOOKUP(VALUE(B158),'📦 Productos'!A:C,3,FALSE),""))),"")</f>
      </c>
      <c r="D158" s="7" t="s">
        <v>2156</v>
      </c>
      <c r="E158" s="8" t="s">
        <v>26</v>
      </c>
      <c r="F158" s="12">
        <v>0</v>
      </c>
      <c r="G158" s="25">
        <v>5300</v>
      </c>
      <c r="H158" s="26">
        <v>3710</v>
      </c>
      <c r="I158" s="14">
        <f>IF(AND(G158&gt;0,H158&gt;0),ROUND((1-H158/G158)*100,0),0)</f>
        <v>30</v>
      </c>
      <c r="J158" s="27" t="s">
        <v>29</v>
      </c>
      <c r="K158" s="12" t="s">
        <v>1888</v>
      </c>
      <c r="L158" s="8" t="s">
        <v>26</v>
      </c>
    </row>
    <row r="159" ht="20" customHeight="1" spans="1:12" x14ac:dyDescent="0.25">
      <c r="A159" s="28" t="s">
        <v>2157</v>
      </c>
      <c r="B159" s="28" t="s">
        <v>214</v>
      </c>
      <c r="C159" s="24">
        <f>IF(B159&lt;&gt;"",IFERROR(VLOOKUP(B159,'📦 Productos'!A:C,3,FALSE),IFERROR(VLOOKUP(B159&amp;"",'📦 Productos'!A:C,3,FALSE),IFERROR(VLOOKUP(VALUE(B159),'📦 Productos'!A:C,3,FALSE),""))),"")</f>
      </c>
      <c r="D159" s="28" t="s">
        <v>2158</v>
      </c>
      <c r="E159" s="29" t="s">
        <v>26</v>
      </c>
      <c r="F159" s="30">
        <v>0</v>
      </c>
      <c r="G159" s="31">
        <v>5300</v>
      </c>
      <c r="H159" s="32">
        <v>2650</v>
      </c>
      <c r="I159" s="14">
        <f>IF(AND(G159&gt;0,H159&gt;0),ROUND((1-H159/G159)*100,0),0)</f>
        <v>50</v>
      </c>
      <c r="J159" s="33" t="s">
        <v>29</v>
      </c>
      <c r="K159" s="30" t="s">
        <v>1888</v>
      </c>
      <c r="L159" s="29" t="s">
        <v>26</v>
      </c>
    </row>
    <row r="160" ht="20" customHeight="1" spans="1:12" x14ac:dyDescent="0.25">
      <c r="A160" s="7" t="s">
        <v>2159</v>
      </c>
      <c r="B160" s="7" t="s">
        <v>214</v>
      </c>
      <c r="C160" s="24">
        <f>IF(B160&lt;&gt;"",IFERROR(VLOOKUP(B160,'📦 Productos'!A:C,3,FALSE),IFERROR(VLOOKUP(B160&amp;"",'📦 Productos'!A:C,3,FALSE),IFERROR(VLOOKUP(VALUE(B160),'📦 Productos'!A:C,3,FALSE),""))),"")</f>
      </c>
      <c r="D160" s="7" t="s">
        <v>2160</v>
      </c>
      <c r="E160" s="8" t="s">
        <v>26</v>
      </c>
      <c r="F160" s="12">
        <v>0</v>
      </c>
      <c r="G160" s="25">
        <v>5300</v>
      </c>
      <c r="H160" s="26">
        <v>2650</v>
      </c>
      <c r="I160" s="14">
        <f>IF(AND(G160&gt;0,H160&gt;0),ROUND((1-H160/G160)*100,0),0)</f>
        <v>50</v>
      </c>
      <c r="J160" s="27" t="s">
        <v>29</v>
      </c>
      <c r="K160" s="12" t="s">
        <v>1888</v>
      </c>
      <c r="L160" s="8" t="s">
        <v>26</v>
      </c>
    </row>
    <row r="161" ht="20" customHeight="1" spans="1:12" x14ac:dyDescent="0.25">
      <c r="A161" s="28" t="s">
        <v>2161</v>
      </c>
      <c r="B161" s="28" t="s">
        <v>214</v>
      </c>
      <c r="C161" s="24">
        <f>IF(B161&lt;&gt;"",IFERROR(VLOOKUP(B161,'📦 Productos'!A:C,3,FALSE),IFERROR(VLOOKUP(B161&amp;"",'📦 Productos'!A:C,3,FALSE),IFERROR(VLOOKUP(VALUE(B161),'📦 Productos'!A:C,3,FALSE),""))),"")</f>
      </c>
      <c r="D161" s="28" t="s">
        <v>2162</v>
      </c>
      <c r="E161" s="29" t="s">
        <v>26</v>
      </c>
      <c r="F161" s="30">
        <v>0</v>
      </c>
      <c r="G161" s="31">
        <v>5300</v>
      </c>
      <c r="H161" s="32">
        <v>3710</v>
      </c>
      <c r="I161" s="14">
        <f>IF(AND(G161&gt;0,H161&gt;0),ROUND((1-H161/G161)*100,0),0)</f>
        <v>30</v>
      </c>
      <c r="J161" s="33" t="s">
        <v>29</v>
      </c>
      <c r="K161" s="30" t="s">
        <v>1888</v>
      </c>
      <c r="L161" s="29" t="s">
        <v>26</v>
      </c>
    </row>
    <row r="162" ht="20" customHeight="1" spans="1:12" x14ac:dyDescent="0.25">
      <c r="A162" s="7" t="s">
        <v>2163</v>
      </c>
      <c r="B162" s="7" t="s">
        <v>214</v>
      </c>
      <c r="C162" s="24">
        <f>IF(B162&lt;&gt;"",IFERROR(VLOOKUP(B162,'📦 Productos'!A:C,3,FALSE),IFERROR(VLOOKUP(B162&amp;"",'📦 Productos'!A:C,3,FALSE),IFERROR(VLOOKUP(VALUE(B162),'📦 Productos'!A:C,3,FALSE),""))),"")</f>
      </c>
      <c r="D162" s="7" t="s">
        <v>2164</v>
      </c>
      <c r="E162" s="8" t="s">
        <v>26</v>
      </c>
      <c r="F162" s="12">
        <v>0</v>
      </c>
      <c r="G162" s="25">
        <v>5300</v>
      </c>
      <c r="H162" s="26">
        <v>2650</v>
      </c>
      <c r="I162" s="14">
        <f>IF(AND(G162&gt;0,H162&gt;0),ROUND((1-H162/G162)*100,0),0)</f>
        <v>50</v>
      </c>
      <c r="J162" s="27" t="s">
        <v>29</v>
      </c>
      <c r="K162" s="12" t="s">
        <v>1888</v>
      </c>
      <c r="L162" s="8" t="s">
        <v>26</v>
      </c>
    </row>
    <row r="163" ht="20" customHeight="1" spans="1:12" x14ac:dyDescent="0.25">
      <c r="A163" s="28" t="s">
        <v>2165</v>
      </c>
      <c r="B163" s="28" t="s">
        <v>214</v>
      </c>
      <c r="C163" s="24">
        <f>IF(B163&lt;&gt;"",IFERROR(VLOOKUP(B163,'📦 Productos'!A:C,3,FALSE),IFERROR(VLOOKUP(B163&amp;"",'📦 Productos'!A:C,3,FALSE),IFERROR(VLOOKUP(VALUE(B163),'📦 Productos'!A:C,3,FALSE),""))),"")</f>
      </c>
      <c r="D163" s="28" t="s">
        <v>2166</v>
      </c>
      <c r="E163" s="29" t="s">
        <v>26</v>
      </c>
      <c r="F163" s="30">
        <v>0</v>
      </c>
      <c r="G163" s="31">
        <v>5300</v>
      </c>
      <c r="H163" s="32">
        <v>3710</v>
      </c>
      <c r="I163" s="14">
        <f>IF(AND(G163&gt;0,H163&gt;0),ROUND((1-H163/G163)*100,0),0)</f>
        <v>30</v>
      </c>
      <c r="J163" s="33" t="s">
        <v>29</v>
      </c>
      <c r="K163" s="30" t="s">
        <v>1888</v>
      </c>
      <c r="L163" s="29" t="s">
        <v>26</v>
      </c>
    </row>
    <row r="164" ht="20" customHeight="1" spans="1:12" x14ac:dyDescent="0.25">
      <c r="A164" s="7" t="s">
        <v>2167</v>
      </c>
      <c r="B164" s="7" t="s">
        <v>214</v>
      </c>
      <c r="C164" s="24">
        <f>IF(B164&lt;&gt;"",IFERROR(VLOOKUP(B164,'📦 Productos'!A:C,3,FALSE),IFERROR(VLOOKUP(B164&amp;"",'📦 Productos'!A:C,3,FALSE),IFERROR(VLOOKUP(VALUE(B164),'📦 Productos'!A:C,3,FALSE),""))),"")</f>
      </c>
      <c r="D164" s="7" t="s">
        <v>2168</v>
      </c>
      <c r="E164" s="8" t="s">
        <v>26</v>
      </c>
      <c r="F164" s="12">
        <v>0</v>
      </c>
      <c r="G164" s="25">
        <v>5300</v>
      </c>
      <c r="H164" s="26">
        <v>3710</v>
      </c>
      <c r="I164" s="14">
        <f>IF(AND(G164&gt;0,H164&gt;0),ROUND((1-H164/G164)*100,0),0)</f>
        <v>30</v>
      </c>
      <c r="J164" s="27" t="s">
        <v>29</v>
      </c>
      <c r="K164" s="12" t="s">
        <v>1888</v>
      </c>
      <c r="L164" s="8" t="s">
        <v>26</v>
      </c>
    </row>
    <row r="165" ht="20" customHeight="1" spans="1:12" x14ac:dyDescent="0.25">
      <c r="A165" s="28" t="s">
        <v>2169</v>
      </c>
      <c r="B165" s="28" t="s">
        <v>214</v>
      </c>
      <c r="C165" s="24">
        <f>IF(B165&lt;&gt;"",IFERROR(VLOOKUP(B165,'📦 Productos'!A:C,3,FALSE),IFERROR(VLOOKUP(B165&amp;"",'📦 Productos'!A:C,3,FALSE),IFERROR(VLOOKUP(VALUE(B165),'📦 Productos'!A:C,3,FALSE),""))),"")</f>
      </c>
      <c r="D165" s="28" t="s">
        <v>2170</v>
      </c>
      <c r="E165" s="29" t="s">
        <v>26</v>
      </c>
      <c r="F165" s="30">
        <v>0</v>
      </c>
      <c r="G165" s="31">
        <v>5300</v>
      </c>
      <c r="H165" s="32">
        <v>3710</v>
      </c>
      <c r="I165" s="14">
        <f>IF(AND(G165&gt;0,H165&gt;0),ROUND((1-H165/G165)*100,0),0)</f>
        <v>30</v>
      </c>
      <c r="J165" s="33" t="s">
        <v>29</v>
      </c>
      <c r="K165" s="30" t="s">
        <v>1888</v>
      </c>
      <c r="L165" s="29" t="s">
        <v>26</v>
      </c>
    </row>
    <row r="166" ht="20" customHeight="1" spans="1:12" x14ac:dyDescent="0.25">
      <c r="A166" s="7" t="s">
        <v>2171</v>
      </c>
      <c r="B166" s="7" t="s">
        <v>214</v>
      </c>
      <c r="C166" s="24">
        <f>IF(B166&lt;&gt;"",IFERROR(VLOOKUP(B166,'📦 Productos'!A:C,3,FALSE),IFERROR(VLOOKUP(B166&amp;"",'📦 Productos'!A:C,3,FALSE),IFERROR(VLOOKUP(VALUE(B166),'📦 Productos'!A:C,3,FALSE),""))),"")</f>
      </c>
      <c r="D166" s="7" t="s">
        <v>2172</v>
      </c>
      <c r="E166" s="8" t="s">
        <v>26</v>
      </c>
      <c r="F166" s="12">
        <v>0</v>
      </c>
      <c r="G166" s="25">
        <v>5300</v>
      </c>
      <c r="H166" s="26">
        <v>2650</v>
      </c>
      <c r="I166" s="14">
        <f>IF(AND(G166&gt;0,H166&gt;0),ROUND((1-H166/G166)*100,0),0)</f>
        <v>50</v>
      </c>
      <c r="J166" s="27" t="s">
        <v>29</v>
      </c>
      <c r="K166" s="12" t="s">
        <v>1888</v>
      </c>
      <c r="L166" s="8" t="s">
        <v>26</v>
      </c>
    </row>
    <row r="167" ht="20" customHeight="1" spans="1:12" x14ac:dyDescent="0.25">
      <c r="A167" s="28" t="s">
        <v>2173</v>
      </c>
      <c r="B167" s="28" t="s">
        <v>214</v>
      </c>
      <c r="C167" s="24">
        <f>IF(B167&lt;&gt;"",IFERROR(VLOOKUP(B167,'📦 Productos'!A:C,3,FALSE),IFERROR(VLOOKUP(B167&amp;"",'📦 Productos'!A:C,3,FALSE),IFERROR(VLOOKUP(VALUE(B167),'📦 Productos'!A:C,3,FALSE),""))),"")</f>
      </c>
      <c r="D167" s="28" t="s">
        <v>2174</v>
      </c>
      <c r="E167" s="29" t="s">
        <v>26</v>
      </c>
      <c r="F167" s="30">
        <v>0</v>
      </c>
      <c r="G167" s="31">
        <v>5300</v>
      </c>
      <c r="H167" s="32">
        <v>2650</v>
      </c>
      <c r="I167" s="14">
        <f>IF(AND(G167&gt;0,H167&gt;0),ROUND((1-H167/G167)*100,0),0)</f>
        <v>50</v>
      </c>
      <c r="J167" s="33" t="s">
        <v>29</v>
      </c>
      <c r="K167" s="30" t="s">
        <v>1888</v>
      </c>
      <c r="L167" s="29" t="s">
        <v>26</v>
      </c>
    </row>
    <row r="168" ht="20" customHeight="1" spans="1:12" x14ac:dyDescent="0.25">
      <c r="A168" s="7" t="s">
        <v>2175</v>
      </c>
      <c r="B168" s="7" t="s">
        <v>214</v>
      </c>
      <c r="C168" s="24">
        <f>IF(B168&lt;&gt;"",IFERROR(VLOOKUP(B168,'📦 Productos'!A:C,3,FALSE),IFERROR(VLOOKUP(B168&amp;"",'📦 Productos'!A:C,3,FALSE),IFERROR(VLOOKUP(VALUE(B168),'📦 Productos'!A:C,3,FALSE),""))),"")</f>
      </c>
      <c r="D168" s="7" t="s">
        <v>2176</v>
      </c>
      <c r="E168" s="8" t="s">
        <v>26</v>
      </c>
      <c r="F168" s="12">
        <v>0</v>
      </c>
      <c r="G168" s="25">
        <v>5300</v>
      </c>
      <c r="H168" s="26">
        <v>2650</v>
      </c>
      <c r="I168" s="14">
        <f>IF(AND(G168&gt;0,H168&gt;0),ROUND((1-H168/G168)*100,0),0)</f>
        <v>50</v>
      </c>
      <c r="J168" s="27" t="s">
        <v>29</v>
      </c>
      <c r="K168" s="12" t="s">
        <v>1888</v>
      </c>
      <c r="L168" s="8" t="s">
        <v>26</v>
      </c>
    </row>
    <row r="169" ht="20" customHeight="1" spans="1:12" x14ac:dyDescent="0.25">
      <c r="A169" s="28" t="s">
        <v>2177</v>
      </c>
      <c r="B169" s="28" t="s">
        <v>214</v>
      </c>
      <c r="C169" s="24">
        <f>IF(B169&lt;&gt;"",IFERROR(VLOOKUP(B169,'📦 Productos'!A:C,3,FALSE),IFERROR(VLOOKUP(B169&amp;"",'📦 Productos'!A:C,3,FALSE),IFERROR(VLOOKUP(VALUE(B169),'📦 Productos'!A:C,3,FALSE),""))),"")</f>
      </c>
      <c r="D169" s="28" t="s">
        <v>2178</v>
      </c>
      <c r="E169" s="29" t="s">
        <v>26</v>
      </c>
      <c r="F169" s="30">
        <v>0</v>
      </c>
      <c r="G169" s="31">
        <v>5300</v>
      </c>
      <c r="H169" s="32">
        <v>2650</v>
      </c>
      <c r="I169" s="14">
        <f>IF(AND(G169&gt;0,H169&gt;0),ROUND((1-H169/G169)*100,0),0)</f>
        <v>50</v>
      </c>
      <c r="J169" s="33" t="s">
        <v>29</v>
      </c>
      <c r="K169" s="30" t="s">
        <v>1888</v>
      </c>
      <c r="L169" s="29" t="s">
        <v>26</v>
      </c>
    </row>
    <row r="170" ht="20" customHeight="1" spans="1:12" x14ac:dyDescent="0.25">
      <c r="A170" s="7" t="s">
        <v>2179</v>
      </c>
      <c r="B170" s="7" t="s">
        <v>214</v>
      </c>
      <c r="C170" s="24">
        <f>IF(B170&lt;&gt;"",IFERROR(VLOOKUP(B170,'📦 Productos'!A:C,3,FALSE),IFERROR(VLOOKUP(B170&amp;"",'📦 Productos'!A:C,3,FALSE),IFERROR(VLOOKUP(VALUE(B170),'📦 Productos'!A:C,3,FALSE),""))),"")</f>
      </c>
      <c r="D170" s="7" t="s">
        <v>2180</v>
      </c>
      <c r="E170" s="8" t="s">
        <v>26</v>
      </c>
      <c r="F170" s="12">
        <v>0</v>
      </c>
      <c r="G170" s="25">
        <v>5300</v>
      </c>
      <c r="H170" s="26">
        <v>3710</v>
      </c>
      <c r="I170" s="14">
        <f>IF(AND(G170&gt;0,H170&gt;0),ROUND((1-H170/G170)*100,0),0)</f>
        <v>30</v>
      </c>
      <c r="J170" s="27" t="s">
        <v>29</v>
      </c>
      <c r="K170" s="12" t="s">
        <v>1888</v>
      </c>
      <c r="L170" s="8" t="s">
        <v>26</v>
      </c>
    </row>
    <row r="171" ht="20" customHeight="1" spans="1:12" x14ac:dyDescent="0.25">
      <c r="A171" s="28" t="s">
        <v>2181</v>
      </c>
      <c r="B171" s="28" t="s">
        <v>214</v>
      </c>
      <c r="C171" s="24">
        <f>IF(B171&lt;&gt;"",IFERROR(VLOOKUP(B171,'📦 Productos'!A:C,3,FALSE),IFERROR(VLOOKUP(B171&amp;"",'📦 Productos'!A:C,3,FALSE),IFERROR(VLOOKUP(VALUE(B171),'📦 Productos'!A:C,3,FALSE),""))),"")</f>
      </c>
      <c r="D171" s="28" t="s">
        <v>2182</v>
      </c>
      <c r="E171" s="29" t="s">
        <v>26</v>
      </c>
      <c r="F171" s="30">
        <v>0</v>
      </c>
      <c r="G171" s="31">
        <v>5300</v>
      </c>
      <c r="H171" s="32">
        <v>3710</v>
      </c>
      <c r="I171" s="14">
        <f>IF(AND(G171&gt;0,H171&gt;0),ROUND((1-H171/G171)*100,0),0)</f>
        <v>30</v>
      </c>
      <c r="J171" s="33" t="s">
        <v>29</v>
      </c>
      <c r="K171" s="30" t="s">
        <v>1888</v>
      </c>
      <c r="L171" s="29" t="s">
        <v>26</v>
      </c>
    </row>
    <row r="172" ht="20" customHeight="1" spans="1:12" x14ac:dyDescent="0.25">
      <c r="A172" s="7" t="s">
        <v>2183</v>
      </c>
      <c r="B172" s="7" t="s">
        <v>214</v>
      </c>
      <c r="C172" s="24">
        <f>IF(B172&lt;&gt;"",IFERROR(VLOOKUP(B172,'📦 Productos'!A:C,3,FALSE),IFERROR(VLOOKUP(B172&amp;"",'📦 Productos'!A:C,3,FALSE),IFERROR(VLOOKUP(VALUE(B172),'📦 Productos'!A:C,3,FALSE),""))),"")</f>
      </c>
      <c r="D172" s="7" t="s">
        <v>2184</v>
      </c>
      <c r="E172" s="8" t="s">
        <v>26</v>
      </c>
      <c r="F172" s="12">
        <v>0</v>
      </c>
      <c r="G172" s="25">
        <v>5300</v>
      </c>
      <c r="H172" s="26">
        <v>3710</v>
      </c>
      <c r="I172" s="14">
        <f>IF(AND(G172&gt;0,H172&gt;0),ROUND((1-H172/G172)*100,0),0)</f>
        <v>30</v>
      </c>
      <c r="J172" s="27" t="s">
        <v>29</v>
      </c>
      <c r="K172" s="12" t="s">
        <v>1888</v>
      </c>
      <c r="L172" s="8" t="s">
        <v>26</v>
      </c>
    </row>
    <row r="173" ht="20" customHeight="1" spans="1:12" x14ac:dyDescent="0.25">
      <c r="A173" s="28" t="s">
        <v>2185</v>
      </c>
      <c r="B173" s="28" t="s">
        <v>214</v>
      </c>
      <c r="C173" s="24">
        <f>IF(B173&lt;&gt;"",IFERROR(VLOOKUP(B173,'📦 Productos'!A:C,3,FALSE),IFERROR(VLOOKUP(B173&amp;"",'📦 Productos'!A:C,3,FALSE),IFERROR(VLOOKUP(VALUE(B173),'📦 Productos'!A:C,3,FALSE),""))),"")</f>
      </c>
      <c r="D173" s="28" t="s">
        <v>2186</v>
      </c>
      <c r="E173" s="29" t="s">
        <v>26</v>
      </c>
      <c r="F173" s="30">
        <v>0</v>
      </c>
      <c r="G173" s="31">
        <v>5300</v>
      </c>
      <c r="H173" s="32">
        <v>3710</v>
      </c>
      <c r="I173" s="14">
        <f>IF(AND(G173&gt;0,H173&gt;0),ROUND((1-H173/G173)*100,0),0)</f>
        <v>30</v>
      </c>
      <c r="J173" s="33" t="s">
        <v>29</v>
      </c>
      <c r="K173" s="30" t="s">
        <v>1888</v>
      </c>
      <c r="L173" s="29" t="s">
        <v>26</v>
      </c>
    </row>
    <row r="174" ht="20" customHeight="1" spans="1:12" x14ac:dyDescent="0.25">
      <c r="A174" s="7" t="s">
        <v>2187</v>
      </c>
      <c r="B174" s="7" t="s">
        <v>214</v>
      </c>
      <c r="C174" s="24">
        <f>IF(B174&lt;&gt;"",IFERROR(VLOOKUP(B174,'📦 Productos'!A:C,3,FALSE),IFERROR(VLOOKUP(B174&amp;"",'📦 Productos'!A:C,3,FALSE),IFERROR(VLOOKUP(VALUE(B174),'📦 Productos'!A:C,3,FALSE),""))),"")</f>
      </c>
      <c r="D174" s="7" t="s">
        <v>2188</v>
      </c>
      <c r="E174" s="8" t="s">
        <v>26</v>
      </c>
      <c r="F174" s="12">
        <v>0</v>
      </c>
      <c r="G174" s="25">
        <v>5300</v>
      </c>
      <c r="H174" s="26">
        <v>3710</v>
      </c>
      <c r="I174" s="14">
        <f>IF(AND(G174&gt;0,H174&gt;0),ROUND((1-H174/G174)*100,0),0)</f>
        <v>30</v>
      </c>
      <c r="J174" s="27" t="s">
        <v>29</v>
      </c>
      <c r="K174" s="12" t="s">
        <v>1888</v>
      </c>
      <c r="L174" s="8" t="s">
        <v>26</v>
      </c>
    </row>
    <row r="175" ht="20" customHeight="1" spans="1:12" x14ac:dyDescent="0.25">
      <c r="A175" s="28" t="s">
        <v>2189</v>
      </c>
      <c r="B175" s="28" t="s">
        <v>214</v>
      </c>
      <c r="C175" s="24">
        <f>IF(B175&lt;&gt;"",IFERROR(VLOOKUP(B175,'📦 Productos'!A:C,3,FALSE),IFERROR(VLOOKUP(B175&amp;"",'📦 Productos'!A:C,3,FALSE),IFERROR(VLOOKUP(VALUE(B175),'📦 Productos'!A:C,3,FALSE),""))),"")</f>
      </c>
      <c r="D175" s="28" t="s">
        <v>2190</v>
      </c>
      <c r="E175" s="29" t="s">
        <v>26</v>
      </c>
      <c r="F175" s="30">
        <v>0</v>
      </c>
      <c r="G175" s="31">
        <v>5300</v>
      </c>
      <c r="H175" s="32">
        <v>3710</v>
      </c>
      <c r="I175" s="14">
        <f>IF(AND(G175&gt;0,H175&gt;0),ROUND((1-H175/G175)*100,0),0)</f>
        <v>30</v>
      </c>
      <c r="J175" s="33" t="s">
        <v>29</v>
      </c>
      <c r="K175" s="30" t="s">
        <v>1888</v>
      </c>
      <c r="L175" s="29" t="s">
        <v>26</v>
      </c>
    </row>
    <row r="176" ht="20" customHeight="1" spans="1:12" x14ac:dyDescent="0.25">
      <c r="A176" s="7" t="s">
        <v>2191</v>
      </c>
      <c r="B176" s="7" t="s">
        <v>214</v>
      </c>
      <c r="C176" s="24">
        <f>IF(B176&lt;&gt;"",IFERROR(VLOOKUP(B176,'📦 Productos'!A:C,3,FALSE),IFERROR(VLOOKUP(B176&amp;"",'📦 Productos'!A:C,3,FALSE),IFERROR(VLOOKUP(VALUE(B176),'📦 Productos'!A:C,3,FALSE),""))),"")</f>
      </c>
      <c r="D176" s="7" t="s">
        <v>2192</v>
      </c>
      <c r="E176" s="8" t="s">
        <v>26</v>
      </c>
      <c r="F176" s="12">
        <v>0</v>
      </c>
      <c r="G176" s="25">
        <v>5300</v>
      </c>
      <c r="H176" s="26">
        <v>2650</v>
      </c>
      <c r="I176" s="14">
        <f>IF(AND(G176&gt;0,H176&gt;0),ROUND((1-H176/G176)*100,0),0)</f>
        <v>50</v>
      </c>
      <c r="J176" s="27" t="s">
        <v>29</v>
      </c>
      <c r="K176" s="12" t="s">
        <v>1888</v>
      </c>
      <c r="L176" s="8" t="s">
        <v>26</v>
      </c>
    </row>
    <row r="177" ht="20" customHeight="1" spans="1:12" x14ac:dyDescent="0.25">
      <c r="A177" s="28" t="s">
        <v>2193</v>
      </c>
      <c r="B177" s="28" t="s">
        <v>214</v>
      </c>
      <c r="C177" s="24">
        <f>IF(B177&lt;&gt;"",IFERROR(VLOOKUP(B177,'📦 Productos'!A:C,3,FALSE),IFERROR(VLOOKUP(B177&amp;"",'📦 Productos'!A:C,3,FALSE),IFERROR(VLOOKUP(VALUE(B177),'📦 Productos'!A:C,3,FALSE),""))),"")</f>
      </c>
      <c r="D177" s="28" t="s">
        <v>2194</v>
      </c>
      <c r="E177" s="29" t="s">
        <v>26</v>
      </c>
      <c r="F177" s="30">
        <v>0</v>
      </c>
      <c r="G177" s="31">
        <v>5300</v>
      </c>
      <c r="H177" s="32">
        <v>2650</v>
      </c>
      <c r="I177" s="14">
        <f>IF(AND(G177&gt;0,H177&gt;0),ROUND((1-H177/G177)*100,0),0)</f>
        <v>50</v>
      </c>
      <c r="J177" s="33" t="s">
        <v>29</v>
      </c>
      <c r="K177" s="30" t="s">
        <v>1888</v>
      </c>
      <c r="L177" s="29" t="s">
        <v>26</v>
      </c>
    </row>
    <row r="178" ht="20" customHeight="1" spans="1:12" x14ac:dyDescent="0.25">
      <c r="A178" s="7" t="s">
        <v>2195</v>
      </c>
      <c r="B178" s="7" t="s">
        <v>214</v>
      </c>
      <c r="C178" s="24">
        <f>IF(B178&lt;&gt;"",IFERROR(VLOOKUP(B178,'📦 Productos'!A:C,3,FALSE),IFERROR(VLOOKUP(B178&amp;"",'📦 Productos'!A:C,3,FALSE),IFERROR(VLOOKUP(VALUE(B178),'📦 Productos'!A:C,3,FALSE),""))),"")</f>
      </c>
      <c r="D178" s="7" t="s">
        <v>2196</v>
      </c>
      <c r="E178" s="8" t="s">
        <v>26</v>
      </c>
      <c r="F178" s="12">
        <v>0</v>
      </c>
      <c r="G178" s="25">
        <v>5300</v>
      </c>
      <c r="H178" s="26">
        <v>3710</v>
      </c>
      <c r="I178" s="14">
        <f>IF(AND(G178&gt;0,H178&gt;0),ROUND((1-H178/G178)*100,0),0)</f>
        <v>30</v>
      </c>
      <c r="J178" s="27" t="s">
        <v>29</v>
      </c>
      <c r="K178" s="12" t="s">
        <v>1888</v>
      </c>
      <c r="L178" s="8" t="s">
        <v>26</v>
      </c>
    </row>
    <row r="179" ht="20" customHeight="1" spans="1:12" x14ac:dyDescent="0.25">
      <c r="A179" s="28" t="s">
        <v>2197</v>
      </c>
      <c r="B179" s="28" t="s">
        <v>214</v>
      </c>
      <c r="C179" s="24">
        <f>IF(B179&lt;&gt;"",IFERROR(VLOOKUP(B179,'📦 Productos'!A:C,3,FALSE),IFERROR(VLOOKUP(B179&amp;"",'📦 Productos'!A:C,3,FALSE),IFERROR(VLOOKUP(VALUE(B179),'📦 Productos'!A:C,3,FALSE),""))),"")</f>
      </c>
      <c r="D179" s="28" t="s">
        <v>2198</v>
      </c>
      <c r="E179" s="29" t="s">
        <v>26</v>
      </c>
      <c r="F179" s="30">
        <v>0</v>
      </c>
      <c r="G179" s="31">
        <v>5300</v>
      </c>
      <c r="H179" s="32">
        <v>2650</v>
      </c>
      <c r="I179" s="14">
        <f>IF(AND(G179&gt;0,H179&gt;0),ROUND((1-H179/G179)*100,0),0)</f>
        <v>50</v>
      </c>
      <c r="J179" s="33" t="s">
        <v>29</v>
      </c>
      <c r="K179" s="30" t="s">
        <v>1888</v>
      </c>
      <c r="L179" s="29" t="s">
        <v>26</v>
      </c>
    </row>
    <row r="180" ht="20" customHeight="1" spans="1:12" x14ac:dyDescent="0.25">
      <c r="A180" s="7" t="s">
        <v>2199</v>
      </c>
      <c r="B180" s="7" t="s">
        <v>214</v>
      </c>
      <c r="C180" s="24">
        <f>IF(B180&lt;&gt;"",IFERROR(VLOOKUP(B180,'📦 Productos'!A:C,3,FALSE),IFERROR(VLOOKUP(B180&amp;"",'📦 Productos'!A:C,3,FALSE),IFERROR(VLOOKUP(VALUE(B180),'📦 Productos'!A:C,3,FALSE),""))),"")</f>
      </c>
      <c r="D180" s="7" t="s">
        <v>2200</v>
      </c>
      <c r="E180" s="8" t="s">
        <v>26</v>
      </c>
      <c r="F180" s="12">
        <v>0</v>
      </c>
      <c r="G180" s="25">
        <v>5300</v>
      </c>
      <c r="H180" s="26">
        <v>2650</v>
      </c>
      <c r="I180" s="14">
        <f>IF(AND(G180&gt;0,H180&gt;0),ROUND((1-H180/G180)*100,0),0)</f>
        <v>50</v>
      </c>
      <c r="J180" s="27" t="s">
        <v>29</v>
      </c>
      <c r="K180" s="12" t="s">
        <v>1888</v>
      </c>
      <c r="L180" s="8" t="s">
        <v>26</v>
      </c>
    </row>
    <row r="181" ht="20" customHeight="1" spans="1:12" x14ac:dyDescent="0.25">
      <c r="A181" s="28" t="s">
        <v>2201</v>
      </c>
      <c r="B181" s="28" t="s">
        <v>214</v>
      </c>
      <c r="C181" s="24">
        <f>IF(B181&lt;&gt;"",IFERROR(VLOOKUP(B181,'📦 Productos'!A:C,3,FALSE),IFERROR(VLOOKUP(B181&amp;"",'📦 Productos'!A:C,3,FALSE),IFERROR(VLOOKUP(VALUE(B181),'📦 Productos'!A:C,3,FALSE),""))),"")</f>
      </c>
      <c r="D181" s="28" t="s">
        <v>2202</v>
      </c>
      <c r="E181" s="29" t="s">
        <v>26</v>
      </c>
      <c r="F181" s="30">
        <v>0</v>
      </c>
      <c r="G181" s="31">
        <v>5300</v>
      </c>
      <c r="H181" s="32">
        <v>2650</v>
      </c>
      <c r="I181" s="14">
        <f>IF(AND(G181&gt;0,H181&gt;0),ROUND((1-H181/G181)*100,0),0)</f>
        <v>50</v>
      </c>
      <c r="J181" s="33" t="s">
        <v>29</v>
      </c>
      <c r="K181" s="30" t="s">
        <v>1888</v>
      </c>
      <c r="L181" s="29" t="s">
        <v>26</v>
      </c>
    </row>
    <row r="182" ht="20" customHeight="1" spans="1:12" x14ac:dyDescent="0.25">
      <c r="A182" s="7" t="s">
        <v>2203</v>
      </c>
      <c r="B182" s="7" t="s">
        <v>217</v>
      </c>
      <c r="C182" s="24">
        <f>IF(B182&lt;&gt;"",IFERROR(VLOOKUP(B182,'📦 Productos'!A:C,3,FALSE),IFERROR(VLOOKUP(B182&amp;"",'📦 Productos'!A:C,3,FALSE),IFERROR(VLOOKUP(VALUE(B182),'📦 Productos'!A:C,3,FALSE),""))),"")</f>
      </c>
      <c r="D182" s="7" t="s">
        <v>218</v>
      </c>
      <c r="E182" s="8" t="s">
        <v>26</v>
      </c>
      <c r="F182" s="12">
        <v>0</v>
      </c>
      <c r="G182" s="25">
        <v>6900</v>
      </c>
      <c r="H182" s="26">
        <v>4830</v>
      </c>
      <c r="I182" s="14">
        <f>IF(AND(G182&gt;0,H182&gt;0),ROUND((1-H182/G182)*100,0),0)</f>
        <v>30</v>
      </c>
      <c r="J182" s="27" t="s">
        <v>29</v>
      </c>
      <c r="K182" s="12" t="s">
        <v>1888</v>
      </c>
      <c r="L182" s="8" t="s">
        <v>26</v>
      </c>
    </row>
    <row r="183" ht="20" customHeight="1" spans="1:12" x14ac:dyDescent="0.25">
      <c r="A183" s="28" t="s">
        <v>2204</v>
      </c>
      <c r="B183" s="28" t="s">
        <v>220</v>
      </c>
      <c r="C183" s="24">
        <f>IF(B183&lt;&gt;"",IFERROR(VLOOKUP(B183,'📦 Productos'!A:C,3,FALSE),IFERROR(VLOOKUP(B183&amp;"",'📦 Productos'!A:C,3,FALSE),IFERROR(VLOOKUP(VALUE(B183),'📦 Productos'!A:C,3,FALSE),""))),"")</f>
      </c>
      <c r="D183" s="28" t="s">
        <v>221</v>
      </c>
      <c r="E183" s="29" t="s">
        <v>26</v>
      </c>
      <c r="F183" s="30">
        <v>0</v>
      </c>
      <c r="G183" s="31">
        <v>5500</v>
      </c>
      <c r="H183" s="32">
        <v>3850</v>
      </c>
      <c r="I183" s="14">
        <f>IF(AND(G183&gt;0,H183&gt;0),ROUND((1-H183/G183)*100,0),0)</f>
        <v>30</v>
      </c>
      <c r="J183" s="33" t="s">
        <v>29</v>
      </c>
      <c r="K183" s="30" t="s">
        <v>1888</v>
      </c>
      <c r="L183" s="29" t="s">
        <v>26</v>
      </c>
    </row>
    <row r="184" ht="20" customHeight="1" spans="1:12" x14ac:dyDescent="0.25">
      <c r="A184" s="7" t="s">
        <v>2205</v>
      </c>
      <c r="B184" s="7" t="s">
        <v>223</v>
      </c>
      <c r="C184" s="24">
        <f>IF(B184&lt;&gt;"",IFERROR(VLOOKUP(B184,'📦 Productos'!A:C,3,FALSE),IFERROR(VLOOKUP(B184&amp;"",'📦 Productos'!A:C,3,FALSE),IFERROR(VLOOKUP(VALUE(B184),'📦 Productos'!A:C,3,FALSE),""))),"")</f>
      </c>
      <c r="D184" s="7" t="s">
        <v>224</v>
      </c>
      <c r="E184" s="8" t="s">
        <v>26</v>
      </c>
      <c r="F184" s="12">
        <v>0</v>
      </c>
      <c r="G184" s="25">
        <v>6900</v>
      </c>
      <c r="H184" s="26">
        <v>4830</v>
      </c>
      <c r="I184" s="14">
        <f>IF(AND(G184&gt;0,H184&gt;0),ROUND((1-H184/G184)*100,0),0)</f>
        <v>30</v>
      </c>
      <c r="J184" s="27" t="s">
        <v>29</v>
      </c>
      <c r="K184" s="12" t="s">
        <v>1888</v>
      </c>
      <c r="L184" s="8" t="s">
        <v>26</v>
      </c>
    </row>
    <row r="185" ht="20" customHeight="1" spans="1:12" x14ac:dyDescent="0.25">
      <c r="A185" s="28" t="s">
        <v>2206</v>
      </c>
      <c r="B185" s="28" t="s">
        <v>226</v>
      </c>
      <c r="C185" s="24">
        <f>IF(B185&lt;&gt;"",IFERROR(VLOOKUP(B185,'📦 Productos'!A:C,3,FALSE),IFERROR(VLOOKUP(B185&amp;"",'📦 Productos'!A:C,3,FALSE),IFERROR(VLOOKUP(VALUE(B185),'📦 Productos'!A:C,3,FALSE),""))),"")</f>
      </c>
      <c r="D185" s="28" t="s">
        <v>227</v>
      </c>
      <c r="E185" s="29" t="s">
        <v>26</v>
      </c>
      <c r="F185" s="30">
        <v>0</v>
      </c>
      <c r="G185" s="31">
        <v>6900</v>
      </c>
      <c r="H185" s="32">
        <v>4830</v>
      </c>
      <c r="I185" s="14">
        <f>IF(AND(G185&gt;0,H185&gt;0),ROUND((1-H185/G185)*100,0),0)</f>
        <v>30</v>
      </c>
      <c r="J185" s="33" t="s">
        <v>29</v>
      </c>
      <c r="K185" s="30" t="s">
        <v>1888</v>
      </c>
      <c r="L185" s="29" t="s">
        <v>26</v>
      </c>
    </row>
    <row r="186" ht="20" customHeight="1" spans="1:12" x14ac:dyDescent="0.25">
      <c r="A186" s="7" t="s">
        <v>2207</v>
      </c>
      <c r="B186" s="7" t="s">
        <v>229</v>
      </c>
      <c r="C186" s="24">
        <f>IF(B186&lt;&gt;"",IFERROR(VLOOKUP(B186,'📦 Productos'!A:C,3,FALSE),IFERROR(VLOOKUP(B186&amp;"",'📦 Productos'!A:C,3,FALSE),IFERROR(VLOOKUP(VALUE(B186),'📦 Productos'!A:C,3,FALSE),""))),"")</f>
      </c>
      <c r="D186" s="7" t="s">
        <v>230</v>
      </c>
      <c r="E186" s="8" t="s">
        <v>26</v>
      </c>
      <c r="F186" s="12">
        <v>0</v>
      </c>
      <c r="G186" s="25">
        <v>6900</v>
      </c>
      <c r="H186" s="26">
        <v>3450</v>
      </c>
      <c r="I186" s="14">
        <f>IF(AND(G186&gt;0,H186&gt;0),ROUND((1-H186/G186)*100,0),0)</f>
        <v>50</v>
      </c>
      <c r="J186" s="27" t="s">
        <v>29</v>
      </c>
      <c r="K186" s="12" t="s">
        <v>1888</v>
      </c>
      <c r="L186" s="8" t="s">
        <v>26</v>
      </c>
    </row>
    <row r="187" ht="20" customHeight="1" spans="1:12" x14ac:dyDescent="0.25">
      <c r="A187" s="28" t="s">
        <v>2208</v>
      </c>
      <c r="B187" s="28" t="s">
        <v>232</v>
      </c>
      <c r="C187" s="24">
        <f>IF(B187&lt;&gt;"",IFERROR(VLOOKUP(B187,'📦 Productos'!A:C,3,FALSE),IFERROR(VLOOKUP(B187&amp;"",'📦 Productos'!A:C,3,FALSE),IFERROR(VLOOKUP(VALUE(B187),'📦 Productos'!A:C,3,FALSE),""))),"")</f>
      </c>
      <c r="D187" s="28" t="s">
        <v>26</v>
      </c>
      <c r="E187" s="29" t="s">
        <v>26</v>
      </c>
      <c r="F187" s="30">
        <v>0</v>
      </c>
      <c r="G187" s="31">
        <v>45900</v>
      </c>
      <c r="H187" s="32">
        <v>22950</v>
      </c>
      <c r="I187" s="14">
        <f>IF(AND(G187&gt;0,H187&gt;0),ROUND((1-H187/G187)*100,0),0)</f>
        <v>50</v>
      </c>
      <c r="J187" s="33" t="s">
        <v>29</v>
      </c>
      <c r="K187" s="30" t="s">
        <v>1888</v>
      </c>
      <c r="L187" s="29" t="s">
        <v>26</v>
      </c>
    </row>
    <row r="188" ht="20" customHeight="1" spans="1:12" x14ac:dyDescent="0.25">
      <c r="A188" s="7" t="s">
        <v>2209</v>
      </c>
      <c r="B188" s="7" t="s">
        <v>235</v>
      </c>
      <c r="C188" s="24">
        <f>IF(B188&lt;&gt;"",IFERROR(VLOOKUP(B188,'📦 Productos'!A:C,3,FALSE),IFERROR(VLOOKUP(B188&amp;"",'📦 Productos'!A:C,3,FALSE),IFERROR(VLOOKUP(VALUE(B188),'📦 Productos'!A:C,3,FALSE),""))),"")</f>
      </c>
      <c r="D188" s="7" t="s">
        <v>236</v>
      </c>
      <c r="E188" s="8" t="s">
        <v>26</v>
      </c>
      <c r="F188" s="12">
        <v>0</v>
      </c>
      <c r="G188" s="25">
        <v>45900</v>
      </c>
      <c r="H188" s="26">
        <v>29835</v>
      </c>
      <c r="I188" s="14">
        <f>IF(AND(G188&gt;0,H188&gt;0),ROUND((1-H188/G188)*100,0),0)</f>
        <v>35</v>
      </c>
      <c r="J188" s="27" t="s">
        <v>29</v>
      </c>
      <c r="K188" s="12" t="s">
        <v>1888</v>
      </c>
      <c r="L188" s="8" t="s">
        <v>26</v>
      </c>
    </row>
    <row r="189" ht="20" customHeight="1" spans="1:12" x14ac:dyDescent="0.25">
      <c r="A189" s="28" t="s">
        <v>2210</v>
      </c>
      <c r="B189" s="28" t="s">
        <v>235</v>
      </c>
      <c r="C189" s="24">
        <f>IF(B189&lt;&gt;"",IFERROR(VLOOKUP(B189,'📦 Productos'!A:C,3,FALSE),IFERROR(VLOOKUP(B189&amp;"",'📦 Productos'!A:C,3,FALSE),IFERROR(VLOOKUP(VALUE(B189),'📦 Productos'!A:C,3,FALSE),""))),"")</f>
      </c>
      <c r="D189" s="28" t="s">
        <v>2211</v>
      </c>
      <c r="E189" s="29" t="s">
        <v>26</v>
      </c>
      <c r="F189" s="30">
        <v>0</v>
      </c>
      <c r="G189" s="31">
        <v>45900</v>
      </c>
      <c r="H189" s="32">
        <v>29835</v>
      </c>
      <c r="I189" s="14">
        <f>IF(AND(G189&gt;0,H189&gt;0),ROUND((1-H189/G189)*100,0),0)</f>
        <v>35</v>
      </c>
      <c r="J189" s="33" t="s">
        <v>29</v>
      </c>
      <c r="K189" s="30" t="s">
        <v>1888</v>
      </c>
      <c r="L189" s="29" t="s">
        <v>26</v>
      </c>
    </row>
    <row r="190" ht="20" customHeight="1" spans="1:12" x14ac:dyDescent="0.25">
      <c r="A190" s="7" t="s">
        <v>2212</v>
      </c>
      <c r="B190" s="7" t="s">
        <v>235</v>
      </c>
      <c r="C190" s="24">
        <f>IF(B190&lt;&gt;"",IFERROR(VLOOKUP(B190,'📦 Productos'!A:C,3,FALSE),IFERROR(VLOOKUP(B190&amp;"",'📦 Productos'!A:C,3,FALSE),IFERROR(VLOOKUP(VALUE(B190),'📦 Productos'!A:C,3,FALSE),""))),"")</f>
      </c>
      <c r="D190" s="7" t="s">
        <v>2213</v>
      </c>
      <c r="E190" s="8" t="s">
        <v>26</v>
      </c>
      <c r="F190" s="12">
        <v>0</v>
      </c>
      <c r="G190" s="25">
        <v>45900</v>
      </c>
      <c r="H190" s="26">
        <v>29835</v>
      </c>
      <c r="I190" s="14">
        <f>IF(AND(G190&gt;0,H190&gt;0),ROUND((1-H190/G190)*100,0),0)</f>
        <v>35</v>
      </c>
      <c r="J190" s="27" t="s">
        <v>29</v>
      </c>
      <c r="K190" s="12" t="s">
        <v>1888</v>
      </c>
      <c r="L190" s="8" t="s">
        <v>26</v>
      </c>
    </row>
    <row r="191" ht="20" customHeight="1" spans="1:12" x14ac:dyDescent="0.25">
      <c r="A191" s="28" t="s">
        <v>2214</v>
      </c>
      <c r="B191" s="28" t="s">
        <v>235</v>
      </c>
      <c r="C191" s="24">
        <f>IF(B191&lt;&gt;"",IFERROR(VLOOKUP(B191,'📦 Productos'!A:C,3,FALSE),IFERROR(VLOOKUP(B191&amp;"",'📦 Productos'!A:C,3,FALSE),IFERROR(VLOOKUP(VALUE(B191),'📦 Productos'!A:C,3,FALSE),""))),"")</f>
      </c>
      <c r="D191" s="28" t="s">
        <v>2215</v>
      </c>
      <c r="E191" s="29" t="s">
        <v>26</v>
      </c>
      <c r="F191" s="30">
        <v>0</v>
      </c>
      <c r="G191" s="31">
        <v>45900</v>
      </c>
      <c r="H191" s="32">
        <v>29835</v>
      </c>
      <c r="I191" s="14">
        <f>IF(AND(G191&gt;0,H191&gt;0),ROUND((1-H191/G191)*100,0),0)</f>
        <v>35</v>
      </c>
      <c r="J191" s="33" t="s">
        <v>29</v>
      </c>
      <c r="K191" s="30" t="s">
        <v>1888</v>
      </c>
      <c r="L191" s="29" t="s">
        <v>26</v>
      </c>
    </row>
    <row r="192" ht="20" customHeight="1" spans="1:12" x14ac:dyDescent="0.25">
      <c r="A192" s="7" t="s">
        <v>2216</v>
      </c>
      <c r="B192" s="7" t="s">
        <v>235</v>
      </c>
      <c r="C192" s="24">
        <f>IF(B192&lt;&gt;"",IFERROR(VLOOKUP(B192,'📦 Productos'!A:C,3,FALSE),IFERROR(VLOOKUP(B192&amp;"",'📦 Productos'!A:C,3,FALSE),IFERROR(VLOOKUP(VALUE(B192),'📦 Productos'!A:C,3,FALSE),""))),"")</f>
      </c>
      <c r="D192" s="7" t="s">
        <v>2217</v>
      </c>
      <c r="E192" s="8" t="s">
        <v>26</v>
      </c>
      <c r="F192" s="12">
        <v>0</v>
      </c>
      <c r="G192" s="25">
        <v>45900</v>
      </c>
      <c r="H192" s="26">
        <v>29835</v>
      </c>
      <c r="I192" s="14">
        <f>IF(AND(G192&gt;0,H192&gt;0),ROUND((1-H192/G192)*100,0),0)</f>
        <v>35</v>
      </c>
      <c r="J192" s="27" t="s">
        <v>29</v>
      </c>
      <c r="K192" s="12" t="s">
        <v>1888</v>
      </c>
      <c r="L192" s="8" t="s">
        <v>26</v>
      </c>
    </row>
    <row r="193" ht="20" customHeight="1" spans="1:12" x14ac:dyDescent="0.25">
      <c r="A193" s="28" t="s">
        <v>2218</v>
      </c>
      <c r="B193" s="28" t="s">
        <v>239</v>
      </c>
      <c r="C193" s="24">
        <f>IF(B193&lt;&gt;"",IFERROR(VLOOKUP(B193,'📦 Productos'!A:C,3,FALSE),IFERROR(VLOOKUP(B193&amp;"",'📦 Productos'!A:C,3,FALSE),IFERROR(VLOOKUP(VALUE(B193),'📦 Productos'!A:C,3,FALSE),""))),"")</f>
      </c>
      <c r="D193" s="28" t="s">
        <v>26</v>
      </c>
      <c r="E193" s="29" t="s">
        <v>26</v>
      </c>
      <c r="F193" s="30">
        <v>0</v>
      </c>
      <c r="G193" s="31">
        <v>22600</v>
      </c>
      <c r="H193" s="32">
        <v>11300</v>
      </c>
      <c r="I193" s="14">
        <f>IF(AND(G193&gt;0,H193&gt;0),ROUND((1-H193/G193)*100,0),0)</f>
        <v>50</v>
      </c>
      <c r="J193" s="33" t="s">
        <v>29</v>
      </c>
      <c r="K193" s="30" t="s">
        <v>1888</v>
      </c>
      <c r="L193" s="29" t="s">
        <v>26</v>
      </c>
    </row>
    <row r="194" ht="20" customHeight="1" spans="1:12" x14ac:dyDescent="0.25">
      <c r="A194" s="7" t="s">
        <v>2219</v>
      </c>
      <c r="B194" s="7" t="s">
        <v>241</v>
      </c>
      <c r="C194" s="24">
        <f>IF(B194&lt;&gt;"",IFERROR(VLOOKUP(B194,'📦 Productos'!A:C,3,FALSE),IFERROR(VLOOKUP(B194&amp;"",'📦 Productos'!A:C,3,FALSE),IFERROR(VLOOKUP(VALUE(B194),'📦 Productos'!A:C,3,FALSE),""))),"")</f>
      </c>
      <c r="D194" s="7" t="s">
        <v>242</v>
      </c>
      <c r="E194" s="8" t="s">
        <v>26</v>
      </c>
      <c r="F194" s="12">
        <v>0</v>
      </c>
      <c r="G194" s="25">
        <v>41500</v>
      </c>
      <c r="H194" s="26">
        <v>26975</v>
      </c>
      <c r="I194" s="14">
        <f>IF(AND(G194&gt;0,H194&gt;0),ROUND((1-H194/G194)*100,0),0)</f>
        <v>35</v>
      </c>
      <c r="J194" s="27" t="s">
        <v>29</v>
      </c>
      <c r="K194" s="12" t="s">
        <v>1888</v>
      </c>
      <c r="L194" s="8" t="s">
        <v>26</v>
      </c>
    </row>
    <row r="195" ht="20" customHeight="1" spans="1:12" x14ac:dyDescent="0.25">
      <c r="A195" s="28" t="s">
        <v>2220</v>
      </c>
      <c r="B195" s="28" t="s">
        <v>241</v>
      </c>
      <c r="C195" s="24">
        <f>IF(B195&lt;&gt;"",IFERROR(VLOOKUP(B195,'📦 Productos'!A:C,3,FALSE),IFERROR(VLOOKUP(B195&amp;"",'📦 Productos'!A:C,3,FALSE),IFERROR(VLOOKUP(VALUE(B195),'📦 Productos'!A:C,3,FALSE),""))),"")</f>
      </c>
      <c r="D195" s="28" t="s">
        <v>2221</v>
      </c>
      <c r="E195" s="29" t="s">
        <v>26</v>
      </c>
      <c r="F195" s="30">
        <v>0</v>
      </c>
      <c r="G195" s="31">
        <v>41500</v>
      </c>
      <c r="H195" s="32">
        <v>26975</v>
      </c>
      <c r="I195" s="14">
        <f>IF(AND(G195&gt;0,H195&gt;0),ROUND((1-H195/G195)*100,0),0)</f>
        <v>35</v>
      </c>
      <c r="J195" s="33" t="s">
        <v>29</v>
      </c>
      <c r="K195" s="30" t="s">
        <v>1888</v>
      </c>
      <c r="L195" s="29" t="s">
        <v>26</v>
      </c>
    </row>
    <row r="196" ht="20" customHeight="1" spans="1:12" x14ac:dyDescent="0.25">
      <c r="A196" s="7" t="s">
        <v>2222</v>
      </c>
      <c r="B196" s="7" t="s">
        <v>241</v>
      </c>
      <c r="C196" s="24">
        <f>IF(B196&lt;&gt;"",IFERROR(VLOOKUP(B196,'📦 Productos'!A:C,3,FALSE),IFERROR(VLOOKUP(B196&amp;"",'📦 Productos'!A:C,3,FALSE),IFERROR(VLOOKUP(VALUE(B196),'📦 Productos'!A:C,3,FALSE),""))),"")</f>
      </c>
      <c r="D196" s="7" t="s">
        <v>2223</v>
      </c>
      <c r="E196" s="8" t="s">
        <v>26</v>
      </c>
      <c r="F196" s="12">
        <v>0</v>
      </c>
      <c r="G196" s="25">
        <v>41500</v>
      </c>
      <c r="H196" s="26">
        <v>26975</v>
      </c>
      <c r="I196" s="14">
        <f>IF(AND(G196&gt;0,H196&gt;0),ROUND((1-H196/G196)*100,0),0)</f>
        <v>35</v>
      </c>
      <c r="J196" s="27" t="s">
        <v>29</v>
      </c>
      <c r="K196" s="12" t="s">
        <v>1888</v>
      </c>
      <c r="L196" s="8" t="s">
        <v>26</v>
      </c>
    </row>
    <row r="197" ht="20" customHeight="1" spans="1:12" x14ac:dyDescent="0.25">
      <c r="A197" s="28" t="s">
        <v>2224</v>
      </c>
      <c r="B197" s="28" t="s">
        <v>241</v>
      </c>
      <c r="C197" s="24">
        <f>IF(B197&lt;&gt;"",IFERROR(VLOOKUP(B197,'📦 Productos'!A:C,3,FALSE),IFERROR(VLOOKUP(B197&amp;"",'📦 Productos'!A:C,3,FALSE),IFERROR(VLOOKUP(VALUE(B197),'📦 Productos'!A:C,3,FALSE),""))),"")</f>
      </c>
      <c r="D197" s="28" t="s">
        <v>2225</v>
      </c>
      <c r="E197" s="29" t="s">
        <v>26</v>
      </c>
      <c r="F197" s="30">
        <v>0</v>
      </c>
      <c r="G197" s="31">
        <v>41500</v>
      </c>
      <c r="H197" s="32">
        <v>26975</v>
      </c>
      <c r="I197" s="14">
        <f>IF(AND(G197&gt;0,H197&gt;0),ROUND((1-H197/G197)*100,0),0)</f>
        <v>35</v>
      </c>
      <c r="J197" s="33" t="s">
        <v>29</v>
      </c>
      <c r="K197" s="30" t="s">
        <v>1888</v>
      </c>
      <c r="L197" s="29" t="s">
        <v>26</v>
      </c>
    </row>
    <row r="198" ht="20" customHeight="1" spans="1:12" x14ac:dyDescent="0.25">
      <c r="A198" s="7" t="s">
        <v>2226</v>
      </c>
      <c r="B198" s="7" t="s">
        <v>241</v>
      </c>
      <c r="C198" s="24">
        <f>IF(B198&lt;&gt;"",IFERROR(VLOOKUP(B198,'📦 Productos'!A:C,3,FALSE),IFERROR(VLOOKUP(B198&amp;"",'📦 Productos'!A:C,3,FALSE),IFERROR(VLOOKUP(VALUE(B198),'📦 Productos'!A:C,3,FALSE),""))),"")</f>
      </c>
      <c r="D198" s="7" t="s">
        <v>2227</v>
      </c>
      <c r="E198" s="8" t="s">
        <v>26</v>
      </c>
      <c r="F198" s="12">
        <v>0</v>
      </c>
      <c r="G198" s="25">
        <v>41500</v>
      </c>
      <c r="H198" s="26">
        <v>26975</v>
      </c>
      <c r="I198" s="14">
        <f>IF(AND(G198&gt;0,H198&gt;0),ROUND((1-H198/G198)*100,0),0)</f>
        <v>35</v>
      </c>
      <c r="J198" s="27" t="s">
        <v>29</v>
      </c>
      <c r="K198" s="12" t="s">
        <v>1888</v>
      </c>
      <c r="L198" s="8" t="s">
        <v>26</v>
      </c>
    </row>
    <row r="199" ht="20" customHeight="1" spans="1:12" x14ac:dyDescent="0.25">
      <c r="A199" s="28" t="s">
        <v>2228</v>
      </c>
      <c r="B199" s="28" t="s">
        <v>245</v>
      </c>
      <c r="C199" s="24">
        <f>IF(B199&lt;&gt;"",IFERROR(VLOOKUP(B199,'📦 Productos'!A:C,3,FALSE),IFERROR(VLOOKUP(B199&amp;"",'📦 Productos'!A:C,3,FALSE),IFERROR(VLOOKUP(VALUE(B199),'📦 Productos'!A:C,3,FALSE),""))),"")</f>
      </c>
      <c r="D199" s="28" t="s">
        <v>246</v>
      </c>
      <c r="E199" s="29" t="s">
        <v>26</v>
      </c>
      <c r="F199" s="30">
        <v>0</v>
      </c>
      <c r="G199" s="31">
        <v>41500</v>
      </c>
      <c r="H199" s="32">
        <v>26975</v>
      </c>
      <c r="I199" s="14">
        <f>IF(AND(G199&gt;0,H199&gt;0),ROUND((1-H199/G199)*100,0),0)</f>
        <v>35</v>
      </c>
      <c r="J199" s="33" t="s">
        <v>29</v>
      </c>
      <c r="K199" s="30" t="s">
        <v>1888</v>
      </c>
      <c r="L199" s="29" t="s">
        <v>26</v>
      </c>
    </row>
    <row r="200" ht="20" customHeight="1" spans="1:12" x14ac:dyDescent="0.25">
      <c r="A200" s="7" t="s">
        <v>2229</v>
      </c>
      <c r="B200" s="7" t="s">
        <v>245</v>
      </c>
      <c r="C200" s="24">
        <f>IF(B200&lt;&gt;"",IFERROR(VLOOKUP(B200,'📦 Productos'!A:C,3,FALSE),IFERROR(VLOOKUP(B200&amp;"",'📦 Productos'!A:C,3,FALSE),IFERROR(VLOOKUP(VALUE(B200),'📦 Productos'!A:C,3,FALSE),""))),"")</f>
      </c>
      <c r="D200" s="7" t="s">
        <v>2230</v>
      </c>
      <c r="E200" s="8" t="s">
        <v>26</v>
      </c>
      <c r="F200" s="12">
        <v>0</v>
      </c>
      <c r="G200" s="25">
        <v>41500</v>
      </c>
      <c r="H200" s="26">
        <v>26975</v>
      </c>
      <c r="I200" s="14">
        <f>IF(AND(G200&gt;0,H200&gt;0),ROUND((1-H200/G200)*100,0),0)</f>
        <v>35</v>
      </c>
      <c r="J200" s="27" t="s">
        <v>29</v>
      </c>
      <c r="K200" s="12" t="s">
        <v>1888</v>
      </c>
      <c r="L200" s="8" t="s">
        <v>26</v>
      </c>
    </row>
    <row r="201" ht="20" customHeight="1" spans="1:12" x14ac:dyDescent="0.25">
      <c r="A201" s="28" t="s">
        <v>2231</v>
      </c>
      <c r="B201" s="28" t="s">
        <v>245</v>
      </c>
      <c r="C201" s="24">
        <f>IF(B201&lt;&gt;"",IFERROR(VLOOKUP(B201,'📦 Productos'!A:C,3,FALSE),IFERROR(VLOOKUP(B201&amp;"",'📦 Productos'!A:C,3,FALSE),IFERROR(VLOOKUP(VALUE(B201),'📦 Productos'!A:C,3,FALSE),""))),"")</f>
      </c>
      <c r="D201" s="28" t="s">
        <v>2232</v>
      </c>
      <c r="E201" s="29" t="s">
        <v>26</v>
      </c>
      <c r="F201" s="30">
        <v>0</v>
      </c>
      <c r="G201" s="31">
        <v>41500</v>
      </c>
      <c r="H201" s="32">
        <v>26975</v>
      </c>
      <c r="I201" s="14">
        <f>IF(AND(G201&gt;0,H201&gt;0),ROUND((1-H201/G201)*100,0),0)</f>
        <v>35</v>
      </c>
      <c r="J201" s="33" t="s">
        <v>29</v>
      </c>
      <c r="K201" s="30" t="s">
        <v>1888</v>
      </c>
      <c r="L201" s="29" t="s">
        <v>26</v>
      </c>
    </row>
    <row r="202" ht="20" customHeight="1" spans="1:12" x14ac:dyDescent="0.25">
      <c r="A202" s="7" t="s">
        <v>2233</v>
      </c>
      <c r="B202" s="7" t="s">
        <v>245</v>
      </c>
      <c r="C202" s="24">
        <f>IF(B202&lt;&gt;"",IFERROR(VLOOKUP(B202,'📦 Productos'!A:C,3,FALSE),IFERROR(VLOOKUP(B202&amp;"",'📦 Productos'!A:C,3,FALSE),IFERROR(VLOOKUP(VALUE(B202),'📦 Productos'!A:C,3,FALSE),""))),"")</f>
      </c>
      <c r="D202" s="7" t="s">
        <v>2234</v>
      </c>
      <c r="E202" s="8" t="s">
        <v>26</v>
      </c>
      <c r="F202" s="12">
        <v>0</v>
      </c>
      <c r="G202" s="25">
        <v>41500</v>
      </c>
      <c r="H202" s="26">
        <v>26975</v>
      </c>
      <c r="I202" s="14">
        <f>IF(AND(G202&gt;0,H202&gt;0),ROUND((1-H202/G202)*100,0),0)</f>
        <v>35</v>
      </c>
      <c r="J202" s="27" t="s">
        <v>29</v>
      </c>
      <c r="K202" s="12" t="s">
        <v>1888</v>
      </c>
      <c r="L202" s="8" t="s">
        <v>26</v>
      </c>
    </row>
    <row r="203" ht="20" customHeight="1" spans="1:12" x14ac:dyDescent="0.25">
      <c r="A203" s="28" t="s">
        <v>2235</v>
      </c>
      <c r="B203" s="28" t="s">
        <v>245</v>
      </c>
      <c r="C203" s="24">
        <f>IF(B203&lt;&gt;"",IFERROR(VLOOKUP(B203,'📦 Productos'!A:C,3,FALSE),IFERROR(VLOOKUP(B203&amp;"",'📦 Productos'!A:C,3,FALSE),IFERROR(VLOOKUP(VALUE(B203),'📦 Productos'!A:C,3,FALSE),""))),"")</f>
      </c>
      <c r="D203" s="28" t="s">
        <v>2236</v>
      </c>
      <c r="E203" s="29" t="s">
        <v>26</v>
      </c>
      <c r="F203" s="30">
        <v>0</v>
      </c>
      <c r="G203" s="31">
        <v>41500</v>
      </c>
      <c r="H203" s="32">
        <v>26975</v>
      </c>
      <c r="I203" s="14">
        <f>IF(AND(G203&gt;0,H203&gt;0),ROUND((1-H203/G203)*100,0),0)</f>
        <v>35</v>
      </c>
      <c r="J203" s="33" t="s">
        <v>29</v>
      </c>
      <c r="K203" s="30" t="s">
        <v>1888</v>
      </c>
      <c r="L203" s="29" t="s">
        <v>26</v>
      </c>
    </row>
    <row r="204" ht="20" customHeight="1" spans="1:12" x14ac:dyDescent="0.25">
      <c r="A204" s="7" t="s">
        <v>2237</v>
      </c>
      <c r="B204" s="7" t="s">
        <v>249</v>
      </c>
      <c r="C204" s="24">
        <f>IF(B204&lt;&gt;"",IFERROR(VLOOKUP(B204,'📦 Productos'!A:C,3,FALSE),IFERROR(VLOOKUP(B204&amp;"",'📦 Productos'!A:C,3,FALSE),IFERROR(VLOOKUP(VALUE(B204),'📦 Productos'!A:C,3,FALSE),""))),"")</f>
      </c>
      <c r="D204" s="7" t="s">
        <v>250</v>
      </c>
      <c r="E204" s="8" t="s">
        <v>26</v>
      </c>
      <c r="F204" s="12">
        <v>0</v>
      </c>
      <c r="G204" s="25">
        <v>24300</v>
      </c>
      <c r="H204" s="26">
        <v>12150</v>
      </c>
      <c r="I204" s="14">
        <f>IF(AND(G204&gt;0,H204&gt;0),ROUND((1-H204/G204)*100,0),0)</f>
        <v>50</v>
      </c>
      <c r="J204" s="27" t="s">
        <v>29</v>
      </c>
      <c r="K204" s="12" t="s">
        <v>1888</v>
      </c>
      <c r="L204" s="8" t="s">
        <v>26</v>
      </c>
    </row>
    <row r="205" ht="20" customHeight="1" spans="1:12" x14ac:dyDescent="0.25">
      <c r="A205" s="28" t="s">
        <v>2238</v>
      </c>
      <c r="B205" s="28" t="s">
        <v>253</v>
      </c>
      <c r="C205" s="24">
        <f>IF(B205&lt;&gt;"",IFERROR(VLOOKUP(B205,'📦 Productos'!A:C,3,FALSE),IFERROR(VLOOKUP(B205&amp;"",'📦 Productos'!A:C,3,FALSE),IFERROR(VLOOKUP(VALUE(B205),'📦 Productos'!A:C,3,FALSE),""))),"")</f>
      </c>
      <c r="D205" s="28" t="s">
        <v>254</v>
      </c>
      <c r="E205" s="29" t="s">
        <v>26</v>
      </c>
      <c r="F205" s="30">
        <v>0</v>
      </c>
      <c r="G205" s="31">
        <v>24300</v>
      </c>
      <c r="H205" s="32">
        <v>12150</v>
      </c>
      <c r="I205" s="14">
        <f>IF(AND(G205&gt;0,H205&gt;0),ROUND((1-H205/G205)*100,0),0)</f>
        <v>50</v>
      </c>
      <c r="J205" s="33" t="s">
        <v>29</v>
      </c>
      <c r="K205" s="30" t="s">
        <v>1888</v>
      </c>
      <c r="L205" s="29" t="s">
        <v>26</v>
      </c>
    </row>
    <row r="206" ht="20" customHeight="1" spans="1:12" x14ac:dyDescent="0.25">
      <c r="A206" s="7" t="s">
        <v>2239</v>
      </c>
      <c r="B206" s="7" t="s">
        <v>257</v>
      </c>
      <c r="C206" s="24">
        <f>IF(B206&lt;&gt;"",IFERROR(VLOOKUP(B206,'📦 Productos'!A:C,3,FALSE),IFERROR(VLOOKUP(B206&amp;"",'📦 Productos'!A:C,3,FALSE),IFERROR(VLOOKUP(VALUE(B206),'📦 Productos'!A:C,3,FALSE),""))),"")</f>
      </c>
      <c r="D206" s="7" t="s">
        <v>258</v>
      </c>
      <c r="E206" s="8" t="s">
        <v>26</v>
      </c>
      <c r="F206" s="12">
        <v>0</v>
      </c>
      <c r="G206" s="25">
        <v>32600</v>
      </c>
      <c r="H206" s="26">
        <v>21190</v>
      </c>
      <c r="I206" s="14">
        <f>IF(AND(G206&gt;0,H206&gt;0),ROUND((1-H206/G206)*100,0),0)</f>
        <v>35</v>
      </c>
      <c r="J206" s="27" t="s">
        <v>29</v>
      </c>
      <c r="K206" s="12" t="s">
        <v>1888</v>
      </c>
      <c r="L206" s="8" t="s">
        <v>26</v>
      </c>
    </row>
    <row r="207" ht="20" customHeight="1" spans="1:12" x14ac:dyDescent="0.25">
      <c r="A207" s="28" t="s">
        <v>2240</v>
      </c>
      <c r="B207" s="28" t="s">
        <v>257</v>
      </c>
      <c r="C207" s="24">
        <f>IF(B207&lt;&gt;"",IFERROR(VLOOKUP(B207,'📦 Productos'!A:C,3,FALSE),IFERROR(VLOOKUP(B207&amp;"",'📦 Productos'!A:C,3,FALSE),IFERROR(VLOOKUP(VALUE(B207),'📦 Productos'!A:C,3,FALSE),""))),"")</f>
      </c>
      <c r="D207" s="28" t="s">
        <v>258</v>
      </c>
      <c r="E207" s="29" t="s">
        <v>26</v>
      </c>
      <c r="F207" s="30">
        <v>0</v>
      </c>
      <c r="G207" s="31">
        <v>32600</v>
      </c>
      <c r="H207" s="32">
        <v>21190</v>
      </c>
      <c r="I207" s="14">
        <f>IF(AND(G207&gt;0,H207&gt;0),ROUND((1-H207/G207)*100,0),0)</f>
        <v>35</v>
      </c>
      <c r="J207" s="33" t="s">
        <v>29</v>
      </c>
      <c r="K207" s="30" t="s">
        <v>1888</v>
      </c>
      <c r="L207" s="29" t="s">
        <v>26</v>
      </c>
    </row>
    <row r="208" ht="20" customHeight="1" spans="1:12" x14ac:dyDescent="0.25">
      <c r="A208" s="7" t="s">
        <v>2241</v>
      </c>
      <c r="B208" s="7" t="s">
        <v>261</v>
      </c>
      <c r="C208" s="24">
        <f>IF(B208&lt;&gt;"",IFERROR(VLOOKUP(B208,'📦 Productos'!A:C,3,FALSE),IFERROR(VLOOKUP(B208&amp;"",'📦 Productos'!A:C,3,FALSE),IFERROR(VLOOKUP(VALUE(B208),'📦 Productos'!A:C,3,FALSE),""))),"")</f>
      </c>
      <c r="D208" s="7" t="s">
        <v>26</v>
      </c>
      <c r="E208" s="8" t="s">
        <v>26</v>
      </c>
      <c r="F208" s="12">
        <v>0</v>
      </c>
      <c r="G208" s="25">
        <v>22600</v>
      </c>
      <c r="H208" s="26">
        <v>11300</v>
      </c>
      <c r="I208" s="14">
        <f>IF(AND(G208&gt;0,H208&gt;0),ROUND((1-H208/G208)*100,0),0)</f>
        <v>50</v>
      </c>
      <c r="J208" s="27" t="s">
        <v>29</v>
      </c>
      <c r="K208" s="12" t="s">
        <v>1888</v>
      </c>
      <c r="L208" s="8" t="s">
        <v>26</v>
      </c>
    </row>
    <row r="209" ht="20" customHeight="1" spans="1:12" x14ac:dyDescent="0.25">
      <c r="A209" s="28" t="s">
        <v>2242</v>
      </c>
      <c r="B209" s="28" t="s">
        <v>264</v>
      </c>
      <c r="C209" s="24">
        <f>IF(B209&lt;&gt;"",IFERROR(VLOOKUP(B209,'📦 Productos'!A:C,3,FALSE),IFERROR(VLOOKUP(B209&amp;"",'📦 Productos'!A:C,3,FALSE),IFERROR(VLOOKUP(VALUE(B209),'📦 Productos'!A:C,3,FALSE),""))),"")</f>
      </c>
      <c r="D209" s="28" t="s">
        <v>26</v>
      </c>
      <c r="E209" s="29" t="s">
        <v>26</v>
      </c>
      <c r="F209" s="30">
        <v>0</v>
      </c>
      <c r="G209" s="31">
        <v>31600</v>
      </c>
      <c r="H209" s="32">
        <v>15800</v>
      </c>
      <c r="I209" s="14">
        <f>IF(AND(G209&gt;0,H209&gt;0),ROUND((1-H209/G209)*100,0),0)</f>
        <v>50</v>
      </c>
      <c r="J209" s="33" t="s">
        <v>29</v>
      </c>
      <c r="K209" s="30" t="s">
        <v>1888</v>
      </c>
      <c r="L209" s="29" t="s">
        <v>26</v>
      </c>
    </row>
    <row r="210" ht="20" customHeight="1" spans="1:12" x14ac:dyDescent="0.25">
      <c r="A210" s="7" t="s">
        <v>2243</v>
      </c>
      <c r="B210" s="7" t="s">
        <v>264</v>
      </c>
      <c r="C210" s="24">
        <f>IF(B210&lt;&gt;"",IFERROR(VLOOKUP(B210,'📦 Productos'!A:C,3,FALSE),IFERROR(VLOOKUP(B210&amp;"",'📦 Productos'!A:C,3,FALSE),IFERROR(VLOOKUP(VALUE(B210),'📦 Productos'!A:C,3,FALSE),""))),"")</f>
      </c>
      <c r="D210" s="7" t="s">
        <v>26</v>
      </c>
      <c r="E210" s="8" t="s">
        <v>26</v>
      </c>
      <c r="F210" s="12">
        <v>0</v>
      </c>
      <c r="G210" s="25">
        <v>31600</v>
      </c>
      <c r="H210" s="26">
        <v>15800</v>
      </c>
      <c r="I210" s="14">
        <f>IF(AND(G210&gt;0,H210&gt;0),ROUND((1-H210/G210)*100,0),0)</f>
        <v>50</v>
      </c>
      <c r="J210" s="27" t="s">
        <v>29</v>
      </c>
      <c r="K210" s="12" t="s">
        <v>1888</v>
      </c>
      <c r="L210" s="8" t="s">
        <v>26</v>
      </c>
    </row>
    <row r="211" ht="20" customHeight="1" spans="1:12" x14ac:dyDescent="0.25">
      <c r="A211" s="28" t="s">
        <v>2244</v>
      </c>
      <c r="B211" s="28" t="s">
        <v>267</v>
      </c>
      <c r="C211" s="24">
        <f>IF(B211&lt;&gt;"",IFERROR(VLOOKUP(B211,'📦 Productos'!A:C,3,FALSE),IFERROR(VLOOKUP(B211&amp;"",'📦 Productos'!A:C,3,FALSE),IFERROR(VLOOKUP(VALUE(B211),'📦 Productos'!A:C,3,FALSE),""))),"")</f>
      </c>
      <c r="D211" s="28" t="s">
        <v>268</v>
      </c>
      <c r="E211" s="29" t="s">
        <v>26</v>
      </c>
      <c r="F211" s="30">
        <v>0</v>
      </c>
      <c r="G211" s="31">
        <v>24300</v>
      </c>
      <c r="H211" s="32">
        <v>12150</v>
      </c>
      <c r="I211" s="14">
        <f>IF(AND(G211&gt;0,H211&gt;0),ROUND((1-H211/G211)*100,0),0)</f>
        <v>50</v>
      </c>
      <c r="J211" s="33" t="s">
        <v>29</v>
      </c>
      <c r="K211" s="30" t="s">
        <v>1888</v>
      </c>
      <c r="L211" s="29" t="s">
        <v>26</v>
      </c>
    </row>
    <row r="212" ht="20" customHeight="1" spans="1:12" x14ac:dyDescent="0.25">
      <c r="A212" s="7" t="s">
        <v>2245</v>
      </c>
      <c r="B212" s="7" t="s">
        <v>271</v>
      </c>
      <c r="C212" s="24">
        <f>IF(B212&lt;&gt;"",IFERROR(VLOOKUP(B212,'📦 Productos'!A:C,3,FALSE),IFERROR(VLOOKUP(B212&amp;"",'📦 Productos'!A:C,3,FALSE),IFERROR(VLOOKUP(VALUE(B212),'📦 Productos'!A:C,3,FALSE),""))),"")</f>
      </c>
      <c r="D212" s="7" t="s">
        <v>272</v>
      </c>
      <c r="E212" s="8" t="s">
        <v>26</v>
      </c>
      <c r="F212" s="12">
        <v>0</v>
      </c>
      <c r="G212" s="25">
        <v>28400</v>
      </c>
      <c r="H212" s="26"/>
      <c r="I212" s="14">
        <f>IF(AND(G212&gt;0,H212&gt;0),ROUND((1-H212/G212)*100,0),0)</f>
        <v>0</v>
      </c>
      <c r="J212" s="27" t="s">
        <v>29</v>
      </c>
      <c r="K212" s="12" t="s">
        <v>1888</v>
      </c>
      <c r="L212" s="8" t="s">
        <v>26</v>
      </c>
    </row>
    <row r="213" ht="20" customHeight="1" spans="1:12" x14ac:dyDescent="0.25">
      <c r="A213" s="28" t="s">
        <v>2246</v>
      </c>
      <c r="B213" s="28" t="s">
        <v>271</v>
      </c>
      <c r="C213" s="24">
        <f>IF(B213&lt;&gt;"",IFERROR(VLOOKUP(B213,'📦 Productos'!A:C,3,FALSE),IFERROR(VLOOKUP(B213&amp;"",'📦 Productos'!A:C,3,FALSE),IFERROR(VLOOKUP(VALUE(B213),'📦 Productos'!A:C,3,FALSE),""))),"")</f>
      </c>
      <c r="D213" s="28" t="s">
        <v>2247</v>
      </c>
      <c r="E213" s="29" t="s">
        <v>26</v>
      </c>
      <c r="F213" s="30">
        <v>0</v>
      </c>
      <c r="G213" s="31">
        <v>28400</v>
      </c>
      <c r="H213" s="32"/>
      <c r="I213" s="14">
        <f>IF(AND(G213&gt;0,H213&gt;0),ROUND((1-H213/G213)*100,0),0)</f>
        <v>0</v>
      </c>
      <c r="J213" s="33" t="s">
        <v>29</v>
      </c>
      <c r="K213" s="30" t="s">
        <v>1888</v>
      </c>
      <c r="L213" s="29" t="s">
        <v>26</v>
      </c>
    </row>
    <row r="214" ht="20" customHeight="1" spans="1:12" x14ac:dyDescent="0.25">
      <c r="A214" s="7" t="s">
        <v>2248</v>
      </c>
      <c r="B214" s="7" t="s">
        <v>271</v>
      </c>
      <c r="C214" s="24">
        <f>IF(B214&lt;&gt;"",IFERROR(VLOOKUP(B214,'📦 Productos'!A:C,3,FALSE),IFERROR(VLOOKUP(B214&amp;"",'📦 Productos'!A:C,3,FALSE),IFERROR(VLOOKUP(VALUE(B214),'📦 Productos'!A:C,3,FALSE),""))),"")</f>
      </c>
      <c r="D214" s="7" t="s">
        <v>2249</v>
      </c>
      <c r="E214" s="8" t="s">
        <v>26</v>
      </c>
      <c r="F214" s="12">
        <v>0</v>
      </c>
      <c r="G214" s="25">
        <v>28400</v>
      </c>
      <c r="H214" s="26">
        <v>14200</v>
      </c>
      <c r="I214" s="14">
        <f>IF(AND(G214&gt;0,H214&gt;0),ROUND((1-H214/G214)*100,0),0)</f>
        <v>50</v>
      </c>
      <c r="J214" s="27" t="s">
        <v>29</v>
      </c>
      <c r="K214" s="12" t="s">
        <v>1888</v>
      </c>
      <c r="L214" s="8" t="s">
        <v>26</v>
      </c>
    </row>
    <row r="215" ht="20" customHeight="1" spans="1:12" x14ac:dyDescent="0.25">
      <c r="A215" s="28" t="s">
        <v>2250</v>
      </c>
      <c r="B215" s="28" t="s">
        <v>277</v>
      </c>
      <c r="C215" s="24">
        <f>IF(B215&lt;&gt;"",IFERROR(VLOOKUP(B215,'📦 Productos'!A:C,3,FALSE),IFERROR(VLOOKUP(B215&amp;"",'📦 Productos'!A:C,3,FALSE),IFERROR(VLOOKUP(VALUE(B215),'📦 Productos'!A:C,3,FALSE),""))),"")</f>
      </c>
      <c r="D215" s="28" t="s">
        <v>26</v>
      </c>
      <c r="E215" s="29" t="s">
        <v>26</v>
      </c>
      <c r="F215" s="30">
        <v>0</v>
      </c>
      <c r="G215" s="31">
        <v>28400</v>
      </c>
      <c r="H215" s="32">
        <v>14200</v>
      </c>
      <c r="I215" s="14">
        <f>IF(AND(G215&gt;0,H215&gt;0),ROUND((1-H215/G215)*100,0),0)</f>
        <v>50</v>
      </c>
      <c r="J215" s="33" t="s">
        <v>29</v>
      </c>
      <c r="K215" s="30" t="s">
        <v>1888</v>
      </c>
      <c r="L215" s="29" t="s">
        <v>26</v>
      </c>
    </row>
    <row r="216" ht="20" customHeight="1" spans="1:12" x14ac:dyDescent="0.25">
      <c r="A216" s="7" t="s">
        <v>2251</v>
      </c>
      <c r="B216" s="7" t="s">
        <v>279</v>
      </c>
      <c r="C216" s="24">
        <f>IF(B216&lt;&gt;"",IFERROR(VLOOKUP(B216,'📦 Productos'!A:C,3,FALSE),IFERROR(VLOOKUP(B216&amp;"",'📦 Productos'!A:C,3,FALSE),IFERROR(VLOOKUP(VALUE(B216),'📦 Productos'!A:C,3,FALSE),""))),"")</f>
      </c>
      <c r="D216" s="7" t="s">
        <v>280</v>
      </c>
      <c r="E216" s="8" t="s">
        <v>26</v>
      </c>
      <c r="F216" s="12">
        <v>0</v>
      </c>
      <c r="G216" s="25">
        <v>26900</v>
      </c>
      <c r="H216" s="26">
        <v>17485</v>
      </c>
      <c r="I216" s="14">
        <f>IF(AND(G216&gt;0,H216&gt;0),ROUND((1-H216/G216)*100,0),0)</f>
        <v>35</v>
      </c>
      <c r="J216" s="27" t="s">
        <v>29</v>
      </c>
      <c r="K216" s="12" t="s">
        <v>1888</v>
      </c>
      <c r="L216" s="8" t="s">
        <v>26</v>
      </c>
    </row>
    <row r="217" ht="20" customHeight="1" spans="1:12" x14ac:dyDescent="0.25">
      <c r="A217" s="28" t="s">
        <v>2252</v>
      </c>
      <c r="B217" s="28" t="s">
        <v>283</v>
      </c>
      <c r="C217" s="24">
        <f>IF(B217&lt;&gt;"",IFERROR(VLOOKUP(B217,'📦 Productos'!A:C,3,FALSE),IFERROR(VLOOKUP(B217&amp;"",'📦 Productos'!A:C,3,FALSE),IFERROR(VLOOKUP(VALUE(B217),'📦 Productos'!A:C,3,FALSE),""))),"")</f>
      </c>
      <c r="D217" s="28" t="s">
        <v>26</v>
      </c>
      <c r="E217" s="29" t="s">
        <v>26</v>
      </c>
      <c r="F217" s="30">
        <v>0</v>
      </c>
      <c r="G217" s="31">
        <v>19300</v>
      </c>
      <c r="H217" s="32">
        <v>9650</v>
      </c>
      <c r="I217" s="14">
        <f>IF(AND(G217&gt;0,H217&gt;0),ROUND((1-H217/G217)*100,0),0)</f>
        <v>50</v>
      </c>
      <c r="J217" s="33" t="s">
        <v>29</v>
      </c>
      <c r="K217" s="30" t="s">
        <v>1888</v>
      </c>
      <c r="L217" s="29" t="s">
        <v>26</v>
      </c>
    </row>
    <row r="218" ht="20" customHeight="1" spans="1:12" x14ac:dyDescent="0.25">
      <c r="A218" s="7" t="s">
        <v>2253</v>
      </c>
      <c r="B218" s="7" t="s">
        <v>286</v>
      </c>
      <c r="C218" s="24">
        <f>IF(B218&lt;&gt;"",IFERROR(VLOOKUP(B218,'📦 Productos'!A:C,3,FALSE),IFERROR(VLOOKUP(B218&amp;"",'📦 Productos'!A:C,3,FALSE),IFERROR(VLOOKUP(VALUE(B218),'📦 Productos'!A:C,3,FALSE),""))),"")</f>
      </c>
      <c r="D218" s="7" t="s">
        <v>26</v>
      </c>
      <c r="E218" s="8" t="s">
        <v>26</v>
      </c>
      <c r="F218" s="12">
        <v>0</v>
      </c>
      <c r="G218" s="25">
        <v>30700</v>
      </c>
      <c r="H218" s="26"/>
      <c r="I218" s="14">
        <f>IF(AND(G218&gt;0,H218&gt;0),ROUND((1-H218/G218)*100,0),0)</f>
        <v>0</v>
      </c>
      <c r="J218" s="27" t="s">
        <v>29</v>
      </c>
      <c r="K218" s="12" t="s">
        <v>1888</v>
      </c>
      <c r="L218" s="8" t="s">
        <v>26</v>
      </c>
    </row>
    <row r="219" ht="20" customHeight="1" spans="1:12" x14ac:dyDescent="0.25">
      <c r="A219" s="28" t="s">
        <v>2254</v>
      </c>
      <c r="B219" s="28" t="s">
        <v>286</v>
      </c>
      <c r="C219" s="24">
        <f>IF(B219&lt;&gt;"",IFERROR(VLOOKUP(B219,'📦 Productos'!A:C,3,FALSE),IFERROR(VLOOKUP(B219&amp;"",'📦 Productos'!A:C,3,FALSE),IFERROR(VLOOKUP(VALUE(B219),'📦 Productos'!A:C,3,FALSE),""))),"")</f>
      </c>
      <c r="D219" s="28" t="s">
        <v>26</v>
      </c>
      <c r="E219" s="29" t="s">
        <v>26</v>
      </c>
      <c r="F219" s="30">
        <v>0</v>
      </c>
      <c r="G219" s="31">
        <v>30700</v>
      </c>
      <c r="H219" s="32">
        <v>15350</v>
      </c>
      <c r="I219" s="14">
        <f>IF(AND(G219&gt;0,H219&gt;0),ROUND((1-H219/G219)*100,0),0)</f>
        <v>50</v>
      </c>
      <c r="J219" s="33" t="s">
        <v>29</v>
      </c>
      <c r="K219" s="30" t="s">
        <v>1888</v>
      </c>
      <c r="L219" s="29" t="s">
        <v>26</v>
      </c>
    </row>
    <row r="220" ht="20" customHeight="1" spans="1:12" x14ac:dyDescent="0.25">
      <c r="A220" s="7" t="s">
        <v>2255</v>
      </c>
      <c r="B220" s="7" t="s">
        <v>288</v>
      </c>
      <c r="C220" s="24">
        <f>IF(B220&lt;&gt;"",IFERROR(VLOOKUP(B220,'📦 Productos'!A:C,3,FALSE),IFERROR(VLOOKUP(B220&amp;"",'📦 Productos'!A:C,3,FALSE),IFERROR(VLOOKUP(VALUE(B220),'📦 Productos'!A:C,3,FALSE),""))),"")</f>
      </c>
      <c r="D220" s="7" t="s">
        <v>289</v>
      </c>
      <c r="E220" s="8" t="s">
        <v>26</v>
      </c>
      <c r="F220" s="12">
        <v>0</v>
      </c>
      <c r="G220" s="25">
        <v>32500</v>
      </c>
      <c r="H220" s="26">
        <v>16250</v>
      </c>
      <c r="I220" s="14">
        <f>IF(AND(G220&gt;0,H220&gt;0),ROUND((1-H220/G220)*100,0),0)</f>
        <v>50</v>
      </c>
      <c r="J220" s="27" t="s">
        <v>29</v>
      </c>
      <c r="K220" s="12" t="s">
        <v>1888</v>
      </c>
      <c r="L220" s="8" t="s">
        <v>26</v>
      </c>
    </row>
    <row r="221" ht="20" customHeight="1" spans="1:12" x14ac:dyDescent="0.25">
      <c r="A221" s="28" t="s">
        <v>2256</v>
      </c>
      <c r="B221" s="28" t="s">
        <v>288</v>
      </c>
      <c r="C221" s="24">
        <f>IF(B221&lt;&gt;"",IFERROR(VLOOKUP(B221,'📦 Productos'!A:C,3,FALSE),IFERROR(VLOOKUP(B221&amp;"",'📦 Productos'!A:C,3,FALSE),IFERROR(VLOOKUP(VALUE(B221),'📦 Productos'!A:C,3,FALSE),""))),"")</f>
      </c>
      <c r="D221" s="28" t="s">
        <v>2257</v>
      </c>
      <c r="E221" s="29" t="s">
        <v>26</v>
      </c>
      <c r="F221" s="30">
        <v>0</v>
      </c>
      <c r="G221" s="31">
        <v>31500</v>
      </c>
      <c r="H221" s="32">
        <v>20475</v>
      </c>
      <c r="I221" s="14">
        <f>IF(AND(G221&gt;0,H221&gt;0),ROUND((1-H221/G221)*100,0),0)</f>
        <v>35</v>
      </c>
      <c r="J221" s="33" t="s">
        <v>29</v>
      </c>
      <c r="K221" s="30" t="s">
        <v>1888</v>
      </c>
      <c r="L221" s="29" t="s">
        <v>26</v>
      </c>
    </row>
    <row r="222" ht="20" customHeight="1" spans="1:12" x14ac:dyDescent="0.25">
      <c r="A222" s="7" t="s">
        <v>2258</v>
      </c>
      <c r="B222" s="7" t="s">
        <v>288</v>
      </c>
      <c r="C222" s="24">
        <f>IF(B222&lt;&gt;"",IFERROR(VLOOKUP(B222,'📦 Productos'!A:C,3,FALSE),IFERROR(VLOOKUP(B222&amp;"",'📦 Productos'!A:C,3,FALSE),IFERROR(VLOOKUP(VALUE(B222),'📦 Productos'!A:C,3,FALSE),""))),"")</f>
      </c>
      <c r="D222" s="7" t="s">
        <v>2259</v>
      </c>
      <c r="E222" s="8" t="s">
        <v>26</v>
      </c>
      <c r="F222" s="12">
        <v>0</v>
      </c>
      <c r="G222" s="25">
        <v>31500</v>
      </c>
      <c r="H222" s="26">
        <v>20475</v>
      </c>
      <c r="I222" s="14">
        <f>IF(AND(G222&gt;0,H222&gt;0),ROUND((1-H222/G222)*100,0),0)</f>
        <v>35</v>
      </c>
      <c r="J222" s="27" t="s">
        <v>29</v>
      </c>
      <c r="K222" s="12" t="s">
        <v>1888</v>
      </c>
      <c r="L222" s="8" t="s">
        <v>26</v>
      </c>
    </row>
    <row r="223" ht="20" customHeight="1" spans="1:12" x14ac:dyDescent="0.25">
      <c r="A223" s="28" t="s">
        <v>2260</v>
      </c>
      <c r="B223" s="28" t="s">
        <v>288</v>
      </c>
      <c r="C223" s="24">
        <f>IF(B223&lt;&gt;"",IFERROR(VLOOKUP(B223,'📦 Productos'!A:C,3,FALSE),IFERROR(VLOOKUP(B223&amp;"",'📦 Productos'!A:C,3,FALSE),IFERROR(VLOOKUP(VALUE(B223),'📦 Productos'!A:C,3,FALSE),""))),"")</f>
      </c>
      <c r="D223" s="28" t="s">
        <v>2261</v>
      </c>
      <c r="E223" s="29" t="s">
        <v>26</v>
      </c>
      <c r="F223" s="30">
        <v>0</v>
      </c>
      <c r="G223" s="31">
        <v>31500</v>
      </c>
      <c r="H223" s="32">
        <v>20475</v>
      </c>
      <c r="I223" s="14">
        <f>IF(AND(G223&gt;0,H223&gt;0),ROUND((1-H223/G223)*100,0),0)</f>
        <v>35</v>
      </c>
      <c r="J223" s="33" t="s">
        <v>29</v>
      </c>
      <c r="K223" s="30" t="s">
        <v>1888</v>
      </c>
      <c r="L223" s="29" t="s">
        <v>26</v>
      </c>
    </row>
    <row r="224" ht="20" customHeight="1" spans="1:12" x14ac:dyDescent="0.25">
      <c r="A224" s="7" t="s">
        <v>2262</v>
      </c>
      <c r="B224" s="7" t="s">
        <v>292</v>
      </c>
      <c r="C224" s="24">
        <f>IF(B224&lt;&gt;"",IFERROR(VLOOKUP(B224,'📦 Productos'!A:C,3,FALSE),IFERROR(VLOOKUP(B224&amp;"",'📦 Productos'!A:C,3,FALSE),IFERROR(VLOOKUP(VALUE(B224),'📦 Productos'!A:C,3,FALSE),""))),"")</f>
      </c>
      <c r="D224" s="7" t="s">
        <v>293</v>
      </c>
      <c r="E224" s="8" t="s">
        <v>26</v>
      </c>
      <c r="F224" s="12">
        <v>0</v>
      </c>
      <c r="G224" s="25">
        <v>26900</v>
      </c>
      <c r="H224" s="26">
        <v>17485</v>
      </c>
      <c r="I224" s="14">
        <f>IF(AND(G224&gt;0,H224&gt;0),ROUND((1-H224/G224)*100,0),0)</f>
        <v>35</v>
      </c>
      <c r="J224" s="27" t="s">
        <v>29</v>
      </c>
      <c r="K224" s="12" t="s">
        <v>1888</v>
      </c>
      <c r="L224" s="8" t="s">
        <v>26</v>
      </c>
    </row>
    <row r="225" ht="20" customHeight="1" spans="1:12" x14ac:dyDescent="0.25">
      <c r="A225" s="28" t="s">
        <v>2263</v>
      </c>
      <c r="B225" s="28" t="s">
        <v>292</v>
      </c>
      <c r="C225" s="24">
        <f>IF(B225&lt;&gt;"",IFERROR(VLOOKUP(B225,'📦 Productos'!A:C,3,FALSE),IFERROR(VLOOKUP(B225&amp;"",'📦 Productos'!A:C,3,FALSE),IFERROR(VLOOKUP(VALUE(B225),'📦 Productos'!A:C,3,FALSE),""))),"")</f>
      </c>
      <c r="D225" s="28" t="s">
        <v>2264</v>
      </c>
      <c r="E225" s="29" t="s">
        <v>26</v>
      </c>
      <c r="F225" s="30">
        <v>0</v>
      </c>
      <c r="G225" s="31">
        <v>26900</v>
      </c>
      <c r="H225" s="32">
        <v>13450</v>
      </c>
      <c r="I225" s="14">
        <f>IF(AND(G225&gt;0,H225&gt;0),ROUND((1-H225/G225)*100,0),0)</f>
        <v>50</v>
      </c>
      <c r="J225" s="33" t="s">
        <v>29</v>
      </c>
      <c r="K225" s="30" t="s">
        <v>1888</v>
      </c>
      <c r="L225" s="29" t="s">
        <v>26</v>
      </c>
    </row>
    <row r="226" ht="20" customHeight="1" spans="1:12" x14ac:dyDescent="0.25">
      <c r="A226" s="7" t="s">
        <v>2265</v>
      </c>
      <c r="B226" s="7" t="s">
        <v>292</v>
      </c>
      <c r="C226" s="24">
        <f>IF(B226&lt;&gt;"",IFERROR(VLOOKUP(B226,'📦 Productos'!A:C,3,FALSE),IFERROR(VLOOKUP(B226&amp;"",'📦 Productos'!A:C,3,FALSE),IFERROR(VLOOKUP(VALUE(B226),'📦 Productos'!A:C,3,FALSE),""))),"")</f>
      </c>
      <c r="D226" s="7" t="s">
        <v>2266</v>
      </c>
      <c r="E226" s="8" t="s">
        <v>26</v>
      </c>
      <c r="F226" s="12">
        <v>0</v>
      </c>
      <c r="G226" s="25">
        <v>26900</v>
      </c>
      <c r="H226" s="26">
        <v>13450</v>
      </c>
      <c r="I226" s="14">
        <f>IF(AND(G226&gt;0,H226&gt;0),ROUND((1-H226/G226)*100,0),0)</f>
        <v>50</v>
      </c>
      <c r="J226" s="27" t="s">
        <v>29</v>
      </c>
      <c r="K226" s="12" t="s">
        <v>1888</v>
      </c>
      <c r="L226" s="8" t="s">
        <v>26</v>
      </c>
    </row>
    <row r="227" ht="20" customHeight="1" spans="1:12" x14ac:dyDescent="0.25">
      <c r="A227" s="28" t="s">
        <v>2267</v>
      </c>
      <c r="B227" s="28" t="s">
        <v>292</v>
      </c>
      <c r="C227" s="24">
        <f>IF(B227&lt;&gt;"",IFERROR(VLOOKUP(B227,'📦 Productos'!A:C,3,FALSE),IFERROR(VLOOKUP(B227&amp;"",'📦 Productos'!A:C,3,FALSE),IFERROR(VLOOKUP(VALUE(B227),'📦 Productos'!A:C,3,FALSE),""))),"")</f>
      </c>
      <c r="D227" s="28" t="s">
        <v>2268</v>
      </c>
      <c r="E227" s="29" t="s">
        <v>26</v>
      </c>
      <c r="F227" s="30">
        <v>0</v>
      </c>
      <c r="G227" s="31">
        <v>26900</v>
      </c>
      <c r="H227" s="32">
        <v>17485</v>
      </c>
      <c r="I227" s="14">
        <f>IF(AND(G227&gt;0,H227&gt;0),ROUND((1-H227/G227)*100,0),0)</f>
        <v>35</v>
      </c>
      <c r="J227" s="33" t="s">
        <v>29</v>
      </c>
      <c r="K227" s="30" t="s">
        <v>1888</v>
      </c>
      <c r="L227" s="29" t="s">
        <v>26</v>
      </c>
    </row>
    <row r="228" ht="20" customHeight="1" spans="1:12" x14ac:dyDescent="0.25">
      <c r="A228" s="7" t="s">
        <v>2269</v>
      </c>
      <c r="B228" s="7" t="s">
        <v>292</v>
      </c>
      <c r="C228" s="24">
        <f>IF(B228&lt;&gt;"",IFERROR(VLOOKUP(B228,'📦 Productos'!A:C,3,FALSE),IFERROR(VLOOKUP(B228&amp;"",'📦 Productos'!A:C,3,FALSE),IFERROR(VLOOKUP(VALUE(B228),'📦 Productos'!A:C,3,FALSE),""))),"")</f>
      </c>
      <c r="D228" s="7" t="s">
        <v>2270</v>
      </c>
      <c r="E228" s="8" t="s">
        <v>26</v>
      </c>
      <c r="F228" s="12">
        <v>0</v>
      </c>
      <c r="G228" s="25">
        <v>26900</v>
      </c>
      <c r="H228" s="26">
        <v>17485</v>
      </c>
      <c r="I228" s="14">
        <f>IF(AND(G228&gt;0,H228&gt;0),ROUND((1-H228/G228)*100,0),0)</f>
        <v>35</v>
      </c>
      <c r="J228" s="27" t="s">
        <v>29</v>
      </c>
      <c r="K228" s="12" t="s">
        <v>1888</v>
      </c>
      <c r="L228" s="8" t="s">
        <v>26</v>
      </c>
    </row>
    <row r="229" ht="20" customHeight="1" spans="1:12" x14ac:dyDescent="0.25">
      <c r="A229" s="28" t="s">
        <v>2271</v>
      </c>
      <c r="B229" s="28" t="s">
        <v>292</v>
      </c>
      <c r="C229" s="24">
        <f>IF(B229&lt;&gt;"",IFERROR(VLOOKUP(B229,'📦 Productos'!A:C,3,FALSE),IFERROR(VLOOKUP(B229&amp;"",'📦 Productos'!A:C,3,FALSE),IFERROR(VLOOKUP(VALUE(B229),'📦 Productos'!A:C,3,FALSE),""))),"")</f>
      </c>
      <c r="D229" s="28" t="s">
        <v>2272</v>
      </c>
      <c r="E229" s="29" t="s">
        <v>26</v>
      </c>
      <c r="F229" s="30">
        <v>0</v>
      </c>
      <c r="G229" s="31">
        <v>26900</v>
      </c>
      <c r="H229" s="32">
        <v>17485</v>
      </c>
      <c r="I229" s="14">
        <f>IF(AND(G229&gt;0,H229&gt;0),ROUND((1-H229/G229)*100,0),0)</f>
        <v>35</v>
      </c>
      <c r="J229" s="33" t="s">
        <v>29</v>
      </c>
      <c r="K229" s="30" t="s">
        <v>1888</v>
      </c>
      <c r="L229" s="29" t="s">
        <v>26</v>
      </c>
    </row>
    <row r="230" ht="20" customHeight="1" spans="1:12" x14ac:dyDescent="0.25">
      <c r="A230" s="7" t="s">
        <v>2273</v>
      </c>
      <c r="B230" s="7" t="s">
        <v>292</v>
      </c>
      <c r="C230" s="24">
        <f>IF(B230&lt;&gt;"",IFERROR(VLOOKUP(B230,'📦 Productos'!A:C,3,FALSE),IFERROR(VLOOKUP(B230&amp;"",'📦 Productos'!A:C,3,FALSE),IFERROR(VLOOKUP(VALUE(B230),'📦 Productos'!A:C,3,FALSE),""))),"")</f>
      </c>
      <c r="D230" s="7" t="s">
        <v>2274</v>
      </c>
      <c r="E230" s="8" t="s">
        <v>26</v>
      </c>
      <c r="F230" s="12">
        <v>0</v>
      </c>
      <c r="G230" s="25">
        <v>26900</v>
      </c>
      <c r="H230" s="26">
        <v>17485</v>
      </c>
      <c r="I230" s="14">
        <f>IF(AND(G230&gt;0,H230&gt;0),ROUND((1-H230/G230)*100,0),0)</f>
        <v>35</v>
      </c>
      <c r="J230" s="27" t="s">
        <v>29</v>
      </c>
      <c r="K230" s="12" t="s">
        <v>1888</v>
      </c>
      <c r="L230" s="8" t="s">
        <v>26</v>
      </c>
    </row>
    <row r="231" ht="20" customHeight="1" spans="1:12" x14ac:dyDescent="0.25">
      <c r="A231" s="28" t="s">
        <v>2275</v>
      </c>
      <c r="B231" s="28" t="s">
        <v>292</v>
      </c>
      <c r="C231" s="24">
        <f>IF(B231&lt;&gt;"",IFERROR(VLOOKUP(B231,'📦 Productos'!A:C,3,FALSE),IFERROR(VLOOKUP(B231&amp;"",'📦 Productos'!A:C,3,FALSE),IFERROR(VLOOKUP(VALUE(B231),'📦 Productos'!A:C,3,FALSE),""))),"")</f>
      </c>
      <c r="D231" s="28" t="s">
        <v>2276</v>
      </c>
      <c r="E231" s="29" t="s">
        <v>26</v>
      </c>
      <c r="F231" s="30">
        <v>0</v>
      </c>
      <c r="G231" s="31">
        <v>26900</v>
      </c>
      <c r="H231" s="32">
        <v>17485</v>
      </c>
      <c r="I231" s="14">
        <f>IF(AND(G231&gt;0,H231&gt;0),ROUND((1-H231/G231)*100,0),0)</f>
        <v>35</v>
      </c>
      <c r="J231" s="33" t="s">
        <v>29</v>
      </c>
      <c r="K231" s="30" t="s">
        <v>1888</v>
      </c>
      <c r="L231" s="29" t="s">
        <v>26</v>
      </c>
    </row>
    <row r="232" ht="20" customHeight="1" spans="1:12" x14ac:dyDescent="0.25">
      <c r="A232" s="7" t="s">
        <v>2277</v>
      </c>
      <c r="B232" s="7" t="s">
        <v>292</v>
      </c>
      <c r="C232" s="24">
        <f>IF(B232&lt;&gt;"",IFERROR(VLOOKUP(B232,'📦 Productos'!A:C,3,FALSE),IFERROR(VLOOKUP(B232&amp;"",'📦 Productos'!A:C,3,FALSE),IFERROR(VLOOKUP(VALUE(B232),'📦 Productos'!A:C,3,FALSE),""))),"")</f>
      </c>
      <c r="D232" s="7" t="s">
        <v>2278</v>
      </c>
      <c r="E232" s="8" t="s">
        <v>26</v>
      </c>
      <c r="F232" s="12">
        <v>0</v>
      </c>
      <c r="G232" s="25">
        <v>26900</v>
      </c>
      <c r="H232" s="26">
        <v>17485</v>
      </c>
      <c r="I232" s="14">
        <f>IF(AND(G232&gt;0,H232&gt;0),ROUND((1-H232/G232)*100,0),0)</f>
        <v>35</v>
      </c>
      <c r="J232" s="27" t="s">
        <v>29</v>
      </c>
      <c r="K232" s="12" t="s">
        <v>1888</v>
      </c>
      <c r="L232" s="8" t="s">
        <v>26</v>
      </c>
    </row>
    <row r="233" ht="20" customHeight="1" spans="1:12" x14ac:dyDescent="0.25">
      <c r="A233" s="28" t="s">
        <v>2279</v>
      </c>
      <c r="B233" s="28" t="s">
        <v>292</v>
      </c>
      <c r="C233" s="24">
        <f>IF(B233&lt;&gt;"",IFERROR(VLOOKUP(B233,'📦 Productos'!A:C,3,FALSE),IFERROR(VLOOKUP(B233&amp;"",'📦 Productos'!A:C,3,FALSE),IFERROR(VLOOKUP(VALUE(B233),'📦 Productos'!A:C,3,FALSE),""))),"")</f>
      </c>
      <c r="D233" s="28" t="s">
        <v>2280</v>
      </c>
      <c r="E233" s="29" t="s">
        <v>26</v>
      </c>
      <c r="F233" s="30">
        <v>0</v>
      </c>
      <c r="G233" s="31">
        <v>26900</v>
      </c>
      <c r="H233" s="32">
        <v>17485</v>
      </c>
      <c r="I233" s="14">
        <f>IF(AND(G233&gt;0,H233&gt;0),ROUND((1-H233/G233)*100,0),0)</f>
        <v>35</v>
      </c>
      <c r="J233" s="33" t="s">
        <v>29</v>
      </c>
      <c r="K233" s="30" t="s">
        <v>1888</v>
      </c>
      <c r="L233" s="29" t="s">
        <v>26</v>
      </c>
    </row>
    <row r="234" ht="20" customHeight="1" spans="1:12" x14ac:dyDescent="0.25">
      <c r="A234" s="7" t="s">
        <v>2281</v>
      </c>
      <c r="B234" s="7" t="s">
        <v>292</v>
      </c>
      <c r="C234" s="24">
        <f>IF(B234&lt;&gt;"",IFERROR(VLOOKUP(B234,'📦 Productos'!A:C,3,FALSE),IFERROR(VLOOKUP(B234&amp;"",'📦 Productos'!A:C,3,FALSE),IFERROR(VLOOKUP(VALUE(B234),'📦 Productos'!A:C,3,FALSE),""))),"")</f>
      </c>
      <c r="D234" s="7" t="s">
        <v>2282</v>
      </c>
      <c r="E234" s="8" t="s">
        <v>26</v>
      </c>
      <c r="F234" s="12">
        <v>0</v>
      </c>
      <c r="G234" s="25">
        <v>26900</v>
      </c>
      <c r="H234" s="26">
        <v>17485</v>
      </c>
      <c r="I234" s="14">
        <f>IF(AND(G234&gt;0,H234&gt;0),ROUND((1-H234/G234)*100,0),0)</f>
        <v>35</v>
      </c>
      <c r="J234" s="27" t="s">
        <v>29</v>
      </c>
      <c r="K234" s="12" t="s">
        <v>1888</v>
      </c>
      <c r="L234" s="8" t="s">
        <v>26</v>
      </c>
    </row>
    <row r="235" ht="20" customHeight="1" spans="1:12" x14ac:dyDescent="0.25">
      <c r="A235" s="28" t="s">
        <v>2283</v>
      </c>
      <c r="B235" s="28" t="s">
        <v>292</v>
      </c>
      <c r="C235" s="24">
        <f>IF(B235&lt;&gt;"",IFERROR(VLOOKUP(B235,'📦 Productos'!A:C,3,FALSE),IFERROR(VLOOKUP(B235&amp;"",'📦 Productos'!A:C,3,FALSE),IFERROR(VLOOKUP(VALUE(B235),'📦 Productos'!A:C,3,FALSE),""))),"")</f>
      </c>
      <c r="D235" s="28" t="s">
        <v>2284</v>
      </c>
      <c r="E235" s="29" t="s">
        <v>26</v>
      </c>
      <c r="F235" s="30">
        <v>0</v>
      </c>
      <c r="G235" s="31">
        <v>26900</v>
      </c>
      <c r="H235" s="32">
        <v>17485</v>
      </c>
      <c r="I235" s="14">
        <f>IF(AND(G235&gt;0,H235&gt;0),ROUND((1-H235/G235)*100,0),0)</f>
        <v>35</v>
      </c>
      <c r="J235" s="33" t="s">
        <v>29</v>
      </c>
      <c r="K235" s="30" t="s">
        <v>1888</v>
      </c>
      <c r="L235" s="29" t="s">
        <v>26</v>
      </c>
    </row>
    <row r="236" ht="20" customHeight="1" spans="1:12" x14ac:dyDescent="0.25">
      <c r="A236" s="7" t="s">
        <v>2285</v>
      </c>
      <c r="B236" s="7" t="s">
        <v>292</v>
      </c>
      <c r="C236" s="24">
        <f>IF(B236&lt;&gt;"",IFERROR(VLOOKUP(B236,'📦 Productos'!A:C,3,FALSE),IFERROR(VLOOKUP(B236&amp;"",'📦 Productos'!A:C,3,FALSE),IFERROR(VLOOKUP(VALUE(B236),'📦 Productos'!A:C,3,FALSE),""))),"")</f>
      </c>
      <c r="D236" s="7" t="s">
        <v>2286</v>
      </c>
      <c r="E236" s="8" t="s">
        <v>26</v>
      </c>
      <c r="F236" s="12">
        <v>0</v>
      </c>
      <c r="G236" s="25">
        <v>26900</v>
      </c>
      <c r="H236" s="26">
        <v>13450</v>
      </c>
      <c r="I236" s="14">
        <f>IF(AND(G236&gt;0,H236&gt;0),ROUND((1-H236/G236)*100,0),0)</f>
        <v>50</v>
      </c>
      <c r="J236" s="27" t="s">
        <v>29</v>
      </c>
      <c r="K236" s="12" t="s">
        <v>1888</v>
      </c>
      <c r="L236" s="8" t="s">
        <v>26</v>
      </c>
    </row>
    <row r="237" ht="20" customHeight="1" spans="1:12" x14ac:dyDescent="0.25">
      <c r="A237" s="28" t="s">
        <v>2287</v>
      </c>
      <c r="B237" s="28" t="s">
        <v>292</v>
      </c>
      <c r="C237" s="24">
        <f>IF(B237&lt;&gt;"",IFERROR(VLOOKUP(B237,'📦 Productos'!A:C,3,FALSE),IFERROR(VLOOKUP(B237&amp;"",'📦 Productos'!A:C,3,FALSE),IFERROR(VLOOKUP(VALUE(B237),'📦 Productos'!A:C,3,FALSE),""))),"")</f>
      </c>
      <c r="D237" s="28" t="s">
        <v>2288</v>
      </c>
      <c r="E237" s="29" t="s">
        <v>26</v>
      </c>
      <c r="F237" s="30">
        <v>0</v>
      </c>
      <c r="G237" s="31">
        <v>26900</v>
      </c>
      <c r="H237" s="32">
        <v>17485</v>
      </c>
      <c r="I237" s="14">
        <f>IF(AND(G237&gt;0,H237&gt;0),ROUND((1-H237/G237)*100,0),0)</f>
        <v>35</v>
      </c>
      <c r="J237" s="33" t="s">
        <v>29</v>
      </c>
      <c r="K237" s="30" t="s">
        <v>1888</v>
      </c>
      <c r="L237" s="29" t="s">
        <v>26</v>
      </c>
    </row>
    <row r="238" ht="20" customHeight="1" spans="1:12" x14ac:dyDescent="0.25">
      <c r="A238" s="7" t="s">
        <v>2289</v>
      </c>
      <c r="B238" s="7" t="s">
        <v>292</v>
      </c>
      <c r="C238" s="24">
        <f>IF(B238&lt;&gt;"",IFERROR(VLOOKUP(B238,'📦 Productos'!A:C,3,FALSE),IFERROR(VLOOKUP(B238&amp;"",'📦 Productos'!A:C,3,FALSE),IFERROR(VLOOKUP(VALUE(B238),'📦 Productos'!A:C,3,FALSE),""))),"")</f>
      </c>
      <c r="D238" s="7" t="s">
        <v>2290</v>
      </c>
      <c r="E238" s="8" t="s">
        <v>26</v>
      </c>
      <c r="F238" s="12">
        <v>0</v>
      </c>
      <c r="G238" s="25">
        <v>26900</v>
      </c>
      <c r="H238" s="26">
        <v>17485</v>
      </c>
      <c r="I238" s="14">
        <f>IF(AND(G238&gt;0,H238&gt;0),ROUND((1-H238/G238)*100,0),0)</f>
        <v>35</v>
      </c>
      <c r="J238" s="27" t="s">
        <v>29</v>
      </c>
      <c r="K238" s="12" t="s">
        <v>1888</v>
      </c>
      <c r="L238" s="8" t="s">
        <v>26</v>
      </c>
    </row>
    <row r="239" ht="20" customHeight="1" spans="1:12" x14ac:dyDescent="0.25">
      <c r="A239" s="28" t="s">
        <v>2291</v>
      </c>
      <c r="B239" s="28" t="s">
        <v>292</v>
      </c>
      <c r="C239" s="24">
        <f>IF(B239&lt;&gt;"",IFERROR(VLOOKUP(B239,'📦 Productos'!A:C,3,FALSE),IFERROR(VLOOKUP(B239&amp;"",'📦 Productos'!A:C,3,FALSE),IFERROR(VLOOKUP(VALUE(B239),'📦 Productos'!A:C,3,FALSE),""))),"")</f>
      </c>
      <c r="D239" s="28" t="s">
        <v>2292</v>
      </c>
      <c r="E239" s="29" t="s">
        <v>26</v>
      </c>
      <c r="F239" s="30">
        <v>0</v>
      </c>
      <c r="G239" s="31">
        <v>26900</v>
      </c>
      <c r="H239" s="32">
        <v>13450</v>
      </c>
      <c r="I239" s="14">
        <f>IF(AND(G239&gt;0,H239&gt;0),ROUND((1-H239/G239)*100,0),0)</f>
        <v>50</v>
      </c>
      <c r="J239" s="33" t="s">
        <v>29</v>
      </c>
      <c r="K239" s="30" t="s">
        <v>1888</v>
      </c>
      <c r="L239" s="29" t="s">
        <v>26</v>
      </c>
    </row>
    <row r="240" ht="20" customHeight="1" spans="1:12" x14ac:dyDescent="0.25">
      <c r="A240" s="7" t="s">
        <v>2293</v>
      </c>
      <c r="B240" s="7" t="s">
        <v>296</v>
      </c>
      <c r="C240" s="24">
        <f>IF(B240&lt;&gt;"",IFERROR(VLOOKUP(B240,'📦 Productos'!A:C,3,FALSE),IFERROR(VLOOKUP(B240&amp;"",'📦 Productos'!A:C,3,FALSE),IFERROR(VLOOKUP(VALUE(B240),'📦 Productos'!A:C,3,FALSE),""))),"")</f>
      </c>
      <c r="D240" s="7" t="s">
        <v>297</v>
      </c>
      <c r="E240" s="8" t="s">
        <v>26</v>
      </c>
      <c r="F240" s="12">
        <v>0</v>
      </c>
      <c r="G240" s="25">
        <v>31600</v>
      </c>
      <c r="H240" s="26">
        <v>20540</v>
      </c>
      <c r="I240" s="14">
        <f>IF(AND(G240&gt;0,H240&gt;0),ROUND((1-H240/G240)*100,0),0)</f>
        <v>35</v>
      </c>
      <c r="J240" s="27" t="s">
        <v>29</v>
      </c>
      <c r="K240" s="12" t="s">
        <v>1888</v>
      </c>
      <c r="L240" s="8" t="s">
        <v>26</v>
      </c>
    </row>
    <row r="241" ht="20" customHeight="1" spans="1:12" x14ac:dyDescent="0.25">
      <c r="A241" s="28" t="s">
        <v>2294</v>
      </c>
      <c r="B241" s="28" t="s">
        <v>296</v>
      </c>
      <c r="C241" s="24">
        <f>IF(B241&lt;&gt;"",IFERROR(VLOOKUP(B241,'📦 Productos'!A:C,3,FALSE),IFERROR(VLOOKUP(B241&amp;"",'📦 Productos'!A:C,3,FALSE),IFERROR(VLOOKUP(VALUE(B241),'📦 Productos'!A:C,3,FALSE),""))),"")</f>
      </c>
      <c r="D241" s="28" t="s">
        <v>2295</v>
      </c>
      <c r="E241" s="29" t="s">
        <v>26</v>
      </c>
      <c r="F241" s="30">
        <v>0</v>
      </c>
      <c r="G241" s="31">
        <v>31600</v>
      </c>
      <c r="H241" s="32">
        <v>20540</v>
      </c>
      <c r="I241" s="14">
        <f>IF(AND(G241&gt;0,H241&gt;0),ROUND((1-H241/G241)*100,0),0)</f>
        <v>35</v>
      </c>
      <c r="J241" s="33" t="s">
        <v>29</v>
      </c>
      <c r="K241" s="30" t="s">
        <v>1888</v>
      </c>
      <c r="L241" s="29" t="s">
        <v>26</v>
      </c>
    </row>
    <row r="242" ht="20" customHeight="1" spans="1:12" x14ac:dyDescent="0.25">
      <c r="A242" s="7" t="s">
        <v>2296</v>
      </c>
      <c r="B242" s="7" t="s">
        <v>296</v>
      </c>
      <c r="C242" s="24">
        <f>IF(B242&lt;&gt;"",IFERROR(VLOOKUP(B242,'📦 Productos'!A:C,3,FALSE),IFERROR(VLOOKUP(B242&amp;"",'📦 Productos'!A:C,3,FALSE),IFERROR(VLOOKUP(VALUE(B242),'📦 Productos'!A:C,3,FALSE),""))),"")</f>
      </c>
      <c r="D242" s="7" t="s">
        <v>2297</v>
      </c>
      <c r="E242" s="8" t="s">
        <v>26</v>
      </c>
      <c r="F242" s="12">
        <v>0</v>
      </c>
      <c r="G242" s="25">
        <v>31600</v>
      </c>
      <c r="H242" s="26">
        <v>20540</v>
      </c>
      <c r="I242" s="14">
        <f>IF(AND(G242&gt;0,H242&gt;0),ROUND((1-H242/G242)*100,0),0)</f>
        <v>35</v>
      </c>
      <c r="J242" s="27" t="s">
        <v>29</v>
      </c>
      <c r="K242" s="12" t="s">
        <v>1888</v>
      </c>
      <c r="L242" s="8" t="s">
        <v>26</v>
      </c>
    </row>
    <row r="243" ht="20" customHeight="1" spans="1:12" x14ac:dyDescent="0.25">
      <c r="A243" s="28" t="s">
        <v>2298</v>
      </c>
      <c r="B243" s="28" t="s">
        <v>296</v>
      </c>
      <c r="C243" s="24">
        <f>IF(B243&lt;&gt;"",IFERROR(VLOOKUP(B243,'📦 Productos'!A:C,3,FALSE),IFERROR(VLOOKUP(B243&amp;"",'📦 Productos'!A:C,3,FALSE),IFERROR(VLOOKUP(VALUE(B243),'📦 Productos'!A:C,3,FALSE),""))),"")</f>
      </c>
      <c r="D243" s="28" t="s">
        <v>2299</v>
      </c>
      <c r="E243" s="29" t="s">
        <v>26</v>
      </c>
      <c r="F243" s="30">
        <v>0</v>
      </c>
      <c r="G243" s="31">
        <v>31600</v>
      </c>
      <c r="H243" s="32">
        <v>15800</v>
      </c>
      <c r="I243" s="14">
        <f>IF(AND(G243&gt;0,H243&gt;0),ROUND((1-H243/G243)*100,0),0)</f>
        <v>50</v>
      </c>
      <c r="J243" s="33" t="s">
        <v>29</v>
      </c>
      <c r="K243" s="30" t="s">
        <v>1888</v>
      </c>
      <c r="L243" s="29" t="s">
        <v>26</v>
      </c>
    </row>
    <row r="244" ht="20" customHeight="1" spans="1:12" x14ac:dyDescent="0.25">
      <c r="A244" s="7" t="s">
        <v>2300</v>
      </c>
      <c r="B244" s="7" t="s">
        <v>296</v>
      </c>
      <c r="C244" s="24">
        <f>IF(B244&lt;&gt;"",IFERROR(VLOOKUP(B244,'📦 Productos'!A:C,3,FALSE),IFERROR(VLOOKUP(B244&amp;"",'📦 Productos'!A:C,3,FALSE),IFERROR(VLOOKUP(VALUE(B244),'📦 Productos'!A:C,3,FALSE),""))),"")</f>
      </c>
      <c r="D244" s="7" t="s">
        <v>2301</v>
      </c>
      <c r="E244" s="8" t="s">
        <v>26</v>
      </c>
      <c r="F244" s="12">
        <v>0</v>
      </c>
      <c r="G244" s="25">
        <v>31600</v>
      </c>
      <c r="H244" s="26">
        <v>15800</v>
      </c>
      <c r="I244" s="14">
        <f>IF(AND(G244&gt;0,H244&gt;0),ROUND((1-H244/G244)*100,0),0)</f>
        <v>50</v>
      </c>
      <c r="J244" s="27" t="s">
        <v>29</v>
      </c>
      <c r="K244" s="12" t="s">
        <v>1888</v>
      </c>
      <c r="L244" s="8" t="s">
        <v>26</v>
      </c>
    </row>
    <row r="245" ht="20" customHeight="1" spans="1:12" x14ac:dyDescent="0.25">
      <c r="A245" s="28" t="s">
        <v>2302</v>
      </c>
      <c r="B245" s="28" t="s">
        <v>300</v>
      </c>
      <c r="C245" s="24">
        <f>IF(B245&lt;&gt;"",IFERROR(VLOOKUP(B245,'📦 Productos'!A:C,3,FALSE),IFERROR(VLOOKUP(B245&amp;"",'📦 Productos'!A:C,3,FALSE),IFERROR(VLOOKUP(VALUE(B245),'📦 Productos'!A:C,3,FALSE),""))),"")</f>
      </c>
      <c r="D245" s="28" t="s">
        <v>26</v>
      </c>
      <c r="E245" s="29" t="s">
        <v>26</v>
      </c>
      <c r="F245" s="30">
        <v>0</v>
      </c>
      <c r="G245" s="31">
        <v>31600</v>
      </c>
      <c r="H245" s="32">
        <v>15800</v>
      </c>
      <c r="I245" s="14">
        <f>IF(AND(G245&gt;0,H245&gt;0),ROUND((1-H245/G245)*100,0),0)</f>
        <v>50</v>
      </c>
      <c r="J245" s="33" t="s">
        <v>29</v>
      </c>
      <c r="K245" s="30" t="s">
        <v>1888</v>
      </c>
      <c r="L245" s="29" t="s">
        <v>26</v>
      </c>
    </row>
    <row r="246" ht="20" customHeight="1" spans="1:12" x14ac:dyDescent="0.25">
      <c r="A246" s="7" t="s">
        <v>2303</v>
      </c>
      <c r="B246" s="7" t="s">
        <v>302</v>
      </c>
      <c r="C246" s="24">
        <f>IF(B246&lt;&gt;"",IFERROR(VLOOKUP(B246,'📦 Productos'!A:C,3,FALSE),IFERROR(VLOOKUP(B246&amp;"",'📦 Productos'!A:C,3,FALSE),IFERROR(VLOOKUP(VALUE(B246),'📦 Productos'!A:C,3,FALSE),""))),"")</f>
      </c>
      <c r="D246" s="7" t="s">
        <v>303</v>
      </c>
      <c r="E246" s="8" t="s">
        <v>26</v>
      </c>
      <c r="F246" s="12">
        <v>0</v>
      </c>
      <c r="G246" s="25">
        <v>26900</v>
      </c>
      <c r="H246" s="26">
        <v>13450</v>
      </c>
      <c r="I246" s="14">
        <f>IF(AND(G246&gt;0,H246&gt;0),ROUND((1-H246/G246)*100,0),0)</f>
        <v>50</v>
      </c>
      <c r="J246" s="27" t="s">
        <v>29</v>
      </c>
      <c r="K246" s="12" t="s">
        <v>1888</v>
      </c>
      <c r="L246" s="8" t="s">
        <v>26</v>
      </c>
    </row>
    <row r="247" ht="20" customHeight="1" spans="1:12" x14ac:dyDescent="0.25">
      <c r="A247" s="28" t="s">
        <v>2304</v>
      </c>
      <c r="B247" s="28" t="s">
        <v>302</v>
      </c>
      <c r="C247" s="24">
        <f>IF(B247&lt;&gt;"",IFERROR(VLOOKUP(B247,'📦 Productos'!A:C,3,FALSE),IFERROR(VLOOKUP(B247&amp;"",'📦 Productos'!A:C,3,FALSE),IFERROR(VLOOKUP(VALUE(B247),'📦 Productos'!A:C,3,FALSE),""))),"")</f>
      </c>
      <c r="D247" s="28" t="s">
        <v>2305</v>
      </c>
      <c r="E247" s="29" t="s">
        <v>26</v>
      </c>
      <c r="F247" s="30">
        <v>0</v>
      </c>
      <c r="G247" s="31">
        <v>26900</v>
      </c>
      <c r="H247" s="32">
        <v>13450</v>
      </c>
      <c r="I247" s="14">
        <f>IF(AND(G247&gt;0,H247&gt;0),ROUND((1-H247/G247)*100,0),0)</f>
        <v>50</v>
      </c>
      <c r="J247" s="33" t="s">
        <v>29</v>
      </c>
      <c r="K247" s="30" t="s">
        <v>1888</v>
      </c>
      <c r="L247" s="29" t="s">
        <v>26</v>
      </c>
    </row>
    <row r="248" ht="20" customHeight="1" spans="1:12" x14ac:dyDescent="0.25">
      <c r="A248" s="7" t="s">
        <v>2306</v>
      </c>
      <c r="B248" s="7" t="s">
        <v>302</v>
      </c>
      <c r="C248" s="24">
        <f>IF(B248&lt;&gt;"",IFERROR(VLOOKUP(B248,'📦 Productos'!A:C,3,FALSE),IFERROR(VLOOKUP(B248&amp;"",'📦 Productos'!A:C,3,FALSE),IFERROR(VLOOKUP(VALUE(B248),'📦 Productos'!A:C,3,FALSE),""))),"")</f>
      </c>
      <c r="D248" s="7" t="s">
        <v>2307</v>
      </c>
      <c r="E248" s="8" t="s">
        <v>26</v>
      </c>
      <c r="F248" s="12">
        <v>0</v>
      </c>
      <c r="G248" s="25">
        <v>26900</v>
      </c>
      <c r="H248" s="26">
        <v>13450</v>
      </c>
      <c r="I248" s="14">
        <f>IF(AND(G248&gt;0,H248&gt;0),ROUND((1-H248/G248)*100,0),0)</f>
        <v>50</v>
      </c>
      <c r="J248" s="27" t="s">
        <v>29</v>
      </c>
      <c r="K248" s="12" t="s">
        <v>1888</v>
      </c>
      <c r="L248" s="8" t="s">
        <v>26</v>
      </c>
    </row>
    <row r="249" ht="20" customHeight="1" spans="1:12" x14ac:dyDescent="0.25">
      <c r="A249" s="28" t="s">
        <v>2308</v>
      </c>
      <c r="B249" s="28" t="s">
        <v>302</v>
      </c>
      <c r="C249" s="24">
        <f>IF(B249&lt;&gt;"",IFERROR(VLOOKUP(B249,'📦 Productos'!A:C,3,FALSE),IFERROR(VLOOKUP(B249&amp;"",'📦 Productos'!A:C,3,FALSE),IFERROR(VLOOKUP(VALUE(B249),'📦 Productos'!A:C,3,FALSE),""))),"")</f>
      </c>
      <c r="D249" s="28" t="s">
        <v>2309</v>
      </c>
      <c r="E249" s="29" t="s">
        <v>26</v>
      </c>
      <c r="F249" s="30">
        <v>0</v>
      </c>
      <c r="G249" s="31">
        <v>26900</v>
      </c>
      <c r="H249" s="32">
        <v>13450</v>
      </c>
      <c r="I249" s="14">
        <f>IF(AND(G249&gt;0,H249&gt;0),ROUND((1-H249/G249)*100,0),0)</f>
        <v>50</v>
      </c>
      <c r="J249" s="33" t="s">
        <v>29</v>
      </c>
      <c r="K249" s="30" t="s">
        <v>1888</v>
      </c>
      <c r="L249" s="29" t="s">
        <v>26</v>
      </c>
    </row>
    <row r="250" ht="20" customHeight="1" spans="1:12" x14ac:dyDescent="0.25">
      <c r="A250" s="7" t="s">
        <v>2310</v>
      </c>
      <c r="B250" s="7" t="s">
        <v>306</v>
      </c>
      <c r="C250" s="24">
        <f>IF(B250&lt;&gt;"",IFERROR(VLOOKUP(B250,'📦 Productos'!A:C,3,FALSE),IFERROR(VLOOKUP(B250&amp;"",'📦 Productos'!A:C,3,FALSE),IFERROR(VLOOKUP(VALUE(B250),'📦 Productos'!A:C,3,FALSE),""))),"")</f>
      </c>
      <c r="D250" s="7" t="s">
        <v>307</v>
      </c>
      <c r="E250" s="8" t="s">
        <v>26</v>
      </c>
      <c r="F250" s="12">
        <v>0</v>
      </c>
      <c r="G250" s="25">
        <v>28400</v>
      </c>
      <c r="H250" s="26"/>
      <c r="I250" s="14">
        <f>IF(AND(G250&gt;0,H250&gt;0),ROUND((1-H250/G250)*100,0),0)</f>
        <v>0</v>
      </c>
      <c r="J250" s="27" t="s">
        <v>29</v>
      </c>
      <c r="K250" s="12" t="s">
        <v>1888</v>
      </c>
      <c r="L250" s="8" t="s">
        <v>26</v>
      </c>
    </row>
    <row r="251" ht="20" customHeight="1" spans="1:12" x14ac:dyDescent="0.25">
      <c r="A251" s="28" t="s">
        <v>2311</v>
      </c>
      <c r="B251" s="28" t="s">
        <v>309</v>
      </c>
      <c r="C251" s="24">
        <f>IF(B251&lt;&gt;"",IFERROR(VLOOKUP(B251,'📦 Productos'!A:C,3,FALSE),IFERROR(VLOOKUP(B251&amp;"",'📦 Productos'!A:C,3,FALSE),IFERROR(VLOOKUP(VALUE(B251),'📦 Productos'!A:C,3,FALSE),""))),"")</f>
      </c>
      <c r="D251" s="28" t="s">
        <v>310</v>
      </c>
      <c r="E251" s="29" t="s">
        <v>26</v>
      </c>
      <c r="F251" s="30">
        <v>0</v>
      </c>
      <c r="G251" s="31">
        <v>28400</v>
      </c>
      <c r="H251" s="32"/>
      <c r="I251" s="14">
        <f>IF(AND(G251&gt;0,H251&gt;0),ROUND((1-H251/G251)*100,0),0)</f>
        <v>0</v>
      </c>
      <c r="J251" s="33" t="s">
        <v>29</v>
      </c>
      <c r="K251" s="30" t="s">
        <v>1888</v>
      </c>
      <c r="L251" s="29" t="s">
        <v>26</v>
      </c>
    </row>
    <row r="252" ht="20" customHeight="1" spans="1:12" x14ac:dyDescent="0.25">
      <c r="A252" s="7" t="s">
        <v>2312</v>
      </c>
      <c r="B252" s="7" t="s">
        <v>312</v>
      </c>
      <c r="C252" s="24">
        <f>IF(B252&lt;&gt;"",IFERROR(VLOOKUP(B252,'📦 Productos'!A:C,3,FALSE),IFERROR(VLOOKUP(B252&amp;"",'📦 Productos'!A:C,3,FALSE),IFERROR(VLOOKUP(VALUE(B252),'📦 Productos'!A:C,3,FALSE),""))),"")</f>
      </c>
      <c r="D252" s="7" t="s">
        <v>313</v>
      </c>
      <c r="E252" s="8" t="s">
        <v>26</v>
      </c>
      <c r="F252" s="12">
        <v>0</v>
      </c>
      <c r="G252" s="25">
        <v>30700</v>
      </c>
      <c r="H252" s="26">
        <v>15350</v>
      </c>
      <c r="I252" s="14">
        <f>IF(AND(G252&gt;0,H252&gt;0),ROUND((1-H252/G252)*100,0),0)</f>
        <v>50</v>
      </c>
      <c r="J252" s="27" t="s">
        <v>29</v>
      </c>
      <c r="K252" s="12" t="s">
        <v>1888</v>
      </c>
      <c r="L252" s="8" t="s">
        <v>26</v>
      </c>
    </row>
    <row r="253" ht="20" customHeight="1" spans="1:12" x14ac:dyDescent="0.25">
      <c r="A253" s="28" t="s">
        <v>2313</v>
      </c>
      <c r="B253" s="28" t="s">
        <v>312</v>
      </c>
      <c r="C253" s="24">
        <f>IF(B253&lt;&gt;"",IFERROR(VLOOKUP(B253,'📦 Productos'!A:C,3,FALSE),IFERROR(VLOOKUP(B253&amp;"",'📦 Productos'!A:C,3,FALSE),IFERROR(VLOOKUP(VALUE(B253),'📦 Productos'!A:C,3,FALSE),""))),"")</f>
      </c>
      <c r="D253" s="28" t="s">
        <v>2314</v>
      </c>
      <c r="E253" s="29" t="s">
        <v>26</v>
      </c>
      <c r="F253" s="30">
        <v>0</v>
      </c>
      <c r="G253" s="31">
        <v>30700</v>
      </c>
      <c r="H253" s="32"/>
      <c r="I253" s="14">
        <f>IF(AND(G253&gt;0,H253&gt;0),ROUND((1-H253/G253)*100,0),0)</f>
        <v>0</v>
      </c>
      <c r="J253" s="33" t="s">
        <v>29</v>
      </c>
      <c r="K253" s="30" t="s">
        <v>1888</v>
      </c>
      <c r="L253" s="29" t="s">
        <v>26</v>
      </c>
    </row>
    <row r="254" ht="20" customHeight="1" spans="1:12" x14ac:dyDescent="0.25">
      <c r="A254" s="7" t="s">
        <v>2315</v>
      </c>
      <c r="B254" s="7" t="s">
        <v>312</v>
      </c>
      <c r="C254" s="24">
        <f>IF(B254&lt;&gt;"",IFERROR(VLOOKUP(B254,'📦 Productos'!A:C,3,FALSE),IFERROR(VLOOKUP(B254&amp;"",'📦 Productos'!A:C,3,FALSE),IFERROR(VLOOKUP(VALUE(B254),'📦 Productos'!A:C,3,FALSE),""))),"")</f>
      </c>
      <c r="D254" s="7" t="s">
        <v>2316</v>
      </c>
      <c r="E254" s="8" t="s">
        <v>26</v>
      </c>
      <c r="F254" s="12">
        <v>0</v>
      </c>
      <c r="G254" s="25">
        <v>30700</v>
      </c>
      <c r="H254" s="26"/>
      <c r="I254" s="14">
        <f>IF(AND(G254&gt;0,H254&gt;0),ROUND((1-H254/G254)*100,0),0)</f>
        <v>0</v>
      </c>
      <c r="J254" s="27" t="s">
        <v>29</v>
      </c>
      <c r="K254" s="12" t="s">
        <v>1888</v>
      </c>
      <c r="L254" s="8" t="s">
        <v>26</v>
      </c>
    </row>
    <row r="255" ht="20" customHeight="1" spans="1:12" x14ac:dyDescent="0.25">
      <c r="A255" s="28" t="s">
        <v>2317</v>
      </c>
      <c r="B255" s="28" t="s">
        <v>312</v>
      </c>
      <c r="C255" s="24">
        <f>IF(B255&lt;&gt;"",IFERROR(VLOOKUP(B255,'📦 Productos'!A:C,3,FALSE),IFERROR(VLOOKUP(B255&amp;"",'📦 Productos'!A:C,3,FALSE),IFERROR(VLOOKUP(VALUE(B255),'📦 Productos'!A:C,3,FALSE),""))),"")</f>
      </c>
      <c r="D255" s="28" t="s">
        <v>2318</v>
      </c>
      <c r="E255" s="29" t="s">
        <v>26</v>
      </c>
      <c r="F255" s="30">
        <v>0</v>
      </c>
      <c r="G255" s="31">
        <v>30700</v>
      </c>
      <c r="H255" s="32"/>
      <c r="I255" s="14">
        <f>IF(AND(G255&gt;0,H255&gt;0),ROUND((1-H255/G255)*100,0),0)</f>
        <v>0</v>
      </c>
      <c r="J255" s="33" t="s">
        <v>29</v>
      </c>
      <c r="K255" s="30" t="s">
        <v>1888</v>
      </c>
      <c r="L255" s="29" t="s">
        <v>26</v>
      </c>
    </row>
    <row r="256" ht="20" customHeight="1" spans="1:12" x14ac:dyDescent="0.25">
      <c r="A256" s="7" t="s">
        <v>2319</v>
      </c>
      <c r="B256" s="7" t="s">
        <v>312</v>
      </c>
      <c r="C256" s="24">
        <f>IF(B256&lt;&gt;"",IFERROR(VLOOKUP(B256,'📦 Productos'!A:C,3,FALSE),IFERROR(VLOOKUP(B256&amp;"",'📦 Productos'!A:C,3,FALSE),IFERROR(VLOOKUP(VALUE(B256),'📦 Productos'!A:C,3,FALSE),""))),"")</f>
      </c>
      <c r="D256" s="7" t="s">
        <v>2320</v>
      </c>
      <c r="E256" s="8" t="s">
        <v>26</v>
      </c>
      <c r="F256" s="12">
        <v>0</v>
      </c>
      <c r="G256" s="25">
        <v>30700</v>
      </c>
      <c r="H256" s="26">
        <v>15350</v>
      </c>
      <c r="I256" s="14">
        <f>IF(AND(G256&gt;0,H256&gt;0),ROUND((1-H256/G256)*100,0),0)</f>
        <v>50</v>
      </c>
      <c r="J256" s="27" t="s">
        <v>29</v>
      </c>
      <c r="K256" s="12" t="s">
        <v>1888</v>
      </c>
      <c r="L256" s="8" t="s">
        <v>26</v>
      </c>
    </row>
    <row r="257" ht="20" customHeight="1" spans="1:12" x14ac:dyDescent="0.25">
      <c r="A257" s="28" t="s">
        <v>2321</v>
      </c>
      <c r="B257" s="28" t="s">
        <v>312</v>
      </c>
      <c r="C257" s="24">
        <f>IF(B257&lt;&gt;"",IFERROR(VLOOKUP(B257,'📦 Productos'!A:C,3,FALSE),IFERROR(VLOOKUP(B257&amp;"",'📦 Productos'!A:C,3,FALSE),IFERROR(VLOOKUP(VALUE(B257),'📦 Productos'!A:C,3,FALSE),""))),"")</f>
      </c>
      <c r="D257" s="28" t="s">
        <v>2322</v>
      </c>
      <c r="E257" s="29" t="s">
        <v>26</v>
      </c>
      <c r="F257" s="30">
        <v>0</v>
      </c>
      <c r="G257" s="31">
        <v>30700</v>
      </c>
      <c r="H257" s="32">
        <v>15350</v>
      </c>
      <c r="I257" s="14">
        <f>IF(AND(G257&gt;0,H257&gt;0),ROUND((1-H257/G257)*100,0),0)</f>
        <v>50</v>
      </c>
      <c r="J257" s="33" t="s">
        <v>29</v>
      </c>
      <c r="K257" s="30" t="s">
        <v>1888</v>
      </c>
      <c r="L257" s="29" t="s">
        <v>26</v>
      </c>
    </row>
    <row r="258" ht="20" customHeight="1" spans="1:12" x14ac:dyDescent="0.25">
      <c r="A258" s="7" t="s">
        <v>2323</v>
      </c>
      <c r="B258" s="7" t="s">
        <v>316</v>
      </c>
      <c r="C258" s="24">
        <f>IF(B258&lt;&gt;"",IFERROR(VLOOKUP(B258,'📦 Productos'!A:C,3,FALSE),IFERROR(VLOOKUP(B258&amp;"",'📦 Productos'!A:C,3,FALSE),IFERROR(VLOOKUP(VALUE(B258),'📦 Productos'!A:C,3,FALSE),""))),"")</f>
      </c>
      <c r="D258" s="7" t="s">
        <v>317</v>
      </c>
      <c r="E258" s="8" t="s">
        <v>26</v>
      </c>
      <c r="F258" s="12">
        <v>0</v>
      </c>
      <c r="G258" s="25">
        <v>28400</v>
      </c>
      <c r="H258" s="26"/>
      <c r="I258" s="14">
        <f>IF(AND(G258&gt;0,H258&gt;0),ROUND((1-H258/G258)*100,0),0)</f>
        <v>0</v>
      </c>
      <c r="J258" s="27" t="s">
        <v>29</v>
      </c>
      <c r="K258" s="12" t="s">
        <v>1888</v>
      </c>
      <c r="L258" s="8" t="s">
        <v>26</v>
      </c>
    </row>
    <row r="259" ht="20" customHeight="1" spans="1:12" x14ac:dyDescent="0.25">
      <c r="A259" s="28" t="s">
        <v>2324</v>
      </c>
      <c r="B259" s="28" t="s">
        <v>320</v>
      </c>
      <c r="C259" s="24">
        <f>IF(B259&lt;&gt;"",IFERROR(VLOOKUP(B259,'📦 Productos'!A:C,3,FALSE),IFERROR(VLOOKUP(B259&amp;"",'📦 Productos'!A:C,3,FALSE),IFERROR(VLOOKUP(VALUE(B259),'📦 Productos'!A:C,3,FALSE),""))),"")</f>
      </c>
      <c r="D259" s="28" t="s">
        <v>26</v>
      </c>
      <c r="E259" s="29" t="s">
        <v>26</v>
      </c>
      <c r="F259" s="30">
        <v>0</v>
      </c>
      <c r="G259" s="31">
        <v>24300</v>
      </c>
      <c r="H259" s="32">
        <v>12150</v>
      </c>
      <c r="I259" s="14">
        <f>IF(AND(G259&gt;0,H259&gt;0),ROUND((1-H259/G259)*100,0),0)</f>
        <v>50</v>
      </c>
      <c r="J259" s="33" t="s">
        <v>29</v>
      </c>
      <c r="K259" s="30" t="s">
        <v>1888</v>
      </c>
      <c r="L259" s="29" t="s">
        <v>26</v>
      </c>
    </row>
    <row r="260" ht="20" customHeight="1" spans="1:12" x14ac:dyDescent="0.25">
      <c r="A260" s="7" t="s">
        <v>2325</v>
      </c>
      <c r="B260" s="7" t="s">
        <v>322</v>
      </c>
      <c r="C260" s="24">
        <f>IF(B260&lt;&gt;"",IFERROR(VLOOKUP(B260,'📦 Productos'!A:C,3,FALSE),IFERROR(VLOOKUP(B260&amp;"",'📦 Productos'!A:C,3,FALSE),IFERROR(VLOOKUP(VALUE(B260),'📦 Productos'!A:C,3,FALSE),""))),"")</f>
      </c>
      <c r="D260" s="7" t="s">
        <v>323</v>
      </c>
      <c r="E260" s="8" t="s">
        <v>26</v>
      </c>
      <c r="F260" s="12">
        <v>0</v>
      </c>
      <c r="G260" s="25">
        <v>27300</v>
      </c>
      <c r="H260" s="26"/>
      <c r="I260" s="14">
        <f>IF(AND(G260&gt;0,H260&gt;0),ROUND((1-H260/G260)*100,0),0)</f>
        <v>0</v>
      </c>
      <c r="J260" s="27" t="s">
        <v>29</v>
      </c>
      <c r="K260" s="12" t="s">
        <v>1888</v>
      </c>
      <c r="L260" s="8" t="s">
        <v>26</v>
      </c>
    </row>
    <row r="261" ht="20" customHeight="1" spans="1:12" x14ac:dyDescent="0.25">
      <c r="A261" s="28" t="s">
        <v>2326</v>
      </c>
      <c r="B261" s="28" t="s">
        <v>325</v>
      </c>
      <c r="C261" s="24">
        <f>IF(B261&lt;&gt;"",IFERROR(VLOOKUP(B261,'📦 Productos'!A:C,3,FALSE),IFERROR(VLOOKUP(B261&amp;"",'📦 Productos'!A:C,3,FALSE),IFERROR(VLOOKUP(VALUE(B261),'📦 Productos'!A:C,3,FALSE),""))),"")</f>
      </c>
      <c r="D261" s="28" t="s">
        <v>326</v>
      </c>
      <c r="E261" s="29" t="s">
        <v>26</v>
      </c>
      <c r="F261" s="30">
        <v>0</v>
      </c>
      <c r="G261" s="31">
        <v>27300</v>
      </c>
      <c r="H261" s="32"/>
      <c r="I261" s="14">
        <f>IF(AND(G261&gt;0,H261&gt;0),ROUND((1-H261/G261)*100,0),0)</f>
        <v>0</v>
      </c>
      <c r="J261" s="33" t="s">
        <v>29</v>
      </c>
      <c r="K261" s="30" t="s">
        <v>1888</v>
      </c>
      <c r="L261" s="29" t="s">
        <v>26</v>
      </c>
    </row>
    <row r="262" ht="20" customHeight="1" spans="1:12" x14ac:dyDescent="0.25">
      <c r="A262" s="7" t="s">
        <v>2327</v>
      </c>
      <c r="B262" s="7" t="s">
        <v>328</v>
      </c>
      <c r="C262" s="24">
        <f>IF(B262&lt;&gt;"",IFERROR(VLOOKUP(B262,'📦 Productos'!A:C,3,FALSE),IFERROR(VLOOKUP(B262&amp;"",'📦 Productos'!A:C,3,FALSE),IFERROR(VLOOKUP(VALUE(B262),'📦 Productos'!A:C,3,FALSE),""))),"")</f>
      </c>
      <c r="D262" s="7" t="s">
        <v>26</v>
      </c>
      <c r="E262" s="8" t="s">
        <v>26</v>
      </c>
      <c r="F262" s="12">
        <v>0</v>
      </c>
      <c r="G262" s="25">
        <v>24300</v>
      </c>
      <c r="H262" s="26">
        <v>12150</v>
      </c>
      <c r="I262" s="14">
        <f>IF(AND(G262&gt;0,H262&gt;0),ROUND((1-H262/G262)*100,0),0)</f>
        <v>50</v>
      </c>
      <c r="J262" s="27" t="s">
        <v>29</v>
      </c>
      <c r="K262" s="12" t="s">
        <v>1888</v>
      </c>
      <c r="L262" s="8" t="s">
        <v>26</v>
      </c>
    </row>
    <row r="263" ht="20" customHeight="1" spans="1:12" x14ac:dyDescent="0.25">
      <c r="A263" s="28" t="s">
        <v>2328</v>
      </c>
      <c r="B263" s="28" t="s">
        <v>330</v>
      </c>
      <c r="C263" s="24">
        <f>IF(B263&lt;&gt;"",IFERROR(VLOOKUP(B263,'📦 Productos'!A:C,3,FALSE),IFERROR(VLOOKUP(B263&amp;"",'📦 Productos'!A:C,3,FALSE),IFERROR(VLOOKUP(VALUE(B263),'📦 Productos'!A:C,3,FALSE),""))),"")</f>
      </c>
      <c r="D263" s="28" t="s">
        <v>331</v>
      </c>
      <c r="E263" s="29" t="s">
        <v>26</v>
      </c>
      <c r="F263" s="30">
        <v>0</v>
      </c>
      <c r="G263" s="31">
        <v>19500</v>
      </c>
      <c r="H263" s="32">
        <v>9750</v>
      </c>
      <c r="I263" s="14">
        <f>IF(AND(G263&gt;0,H263&gt;0),ROUND((1-H263/G263)*100,0),0)</f>
        <v>50</v>
      </c>
      <c r="J263" s="33" t="s">
        <v>29</v>
      </c>
      <c r="K263" s="30" t="s">
        <v>1888</v>
      </c>
      <c r="L263" s="29" t="s">
        <v>26</v>
      </c>
    </row>
    <row r="264" ht="20" customHeight="1" spans="1:12" x14ac:dyDescent="0.25">
      <c r="A264" s="7" t="s">
        <v>2329</v>
      </c>
      <c r="B264" s="7" t="s">
        <v>334</v>
      </c>
      <c r="C264" s="24">
        <f>IF(B264&lt;&gt;"",IFERROR(VLOOKUP(B264,'📦 Productos'!A:C,3,FALSE),IFERROR(VLOOKUP(B264&amp;"",'📦 Productos'!A:C,3,FALSE),IFERROR(VLOOKUP(VALUE(B264),'📦 Productos'!A:C,3,FALSE),""))),"")</f>
      </c>
      <c r="D264" s="7" t="s">
        <v>335</v>
      </c>
      <c r="E264" s="8" t="s">
        <v>26</v>
      </c>
      <c r="F264" s="12">
        <v>0</v>
      </c>
      <c r="G264" s="25">
        <v>19500</v>
      </c>
      <c r="H264" s="26">
        <v>12675</v>
      </c>
      <c r="I264" s="14">
        <f>IF(AND(G264&gt;0,H264&gt;0),ROUND((1-H264/G264)*100,0),0)</f>
        <v>35</v>
      </c>
      <c r="J264" s="27" t="s">
        <v>29</v>
      </c>
      <c r="K264" s="12" t="s">
        <v>1888</v>
      </c>
      <c r="L264" s="8" t="s">
        <v>26</v>
      </c>
    </row>
    <row r="265" ht="20" customHeight="1" spans="1:12" x14ac:dyDescent="0.25">
      <c r="A265" s="28" t="s">
        <v>2330</v>
      </c>
      <c r="B265" s="28" t="s">
        <v>337</v>
      </c>
      <c r="C265" s="24">
        <f>IF(B265&lt;&gt;"",IFERROR(VLOOKUP(B265,'📦 Productos'!A:C,3,FALSE),IFERROR(VLOOKUP(B265&amp;"",'📦 Productos'!A:C,3,FALSE),IFERROR(VLOOKUP(VALUE(B265),'📦 Productos'!A:C,3,FALSE),""))),"")</f>
      </c>
      <c r="D265" s="28" t="s">
        <v>338</v>
      </c>
      <c r="E265" s="29" t="s">
        <v>26</v>
      </c>
      <c r="F265" s="30">
        <v>0</v>
      </c>
      <c r="G265" s="31">
        <v>19500</v>
      </c>
      <c r="H265" s="32">
        <v>12675</v>
      </c>
      <c r="I265" s="14">
        <f>IF(AND(G265&gt;0,H265&gt;0),ROUND((1-H265/G265)*100,0),0)</f>
        <v>35</v>
      </c>
      <c r="J265" s="33" t="s">
        <v>29</v>
      </c>
      <c r="K265" s="30" t="s">
        <v>1888</v>
      </c>
      <c r="L265" s="29" t="s">
        <v>26</v>
      </c>
    </row>
    <row r="266" ht="20" customHeight="1" spans="1:12" x14ac:dyDescent="0.25">
      <c r="A266" s="7" t="s">
        <v>2331</v>
      </c>
      <c r="B266" s="7" t="s">
        <v>340</v>
      </c>
      <c r="C266" s="24">
        <f>IF(B266&lt;&gt;"",IFERROR(VLOOKUP(B266,'📦 Productos'!A:C,3,FALSE),IFERROR(VLOOKUP(B266&amp;"",'📦 Productos'!A:C,3,FALSE),IFERROR(VLOOKUP(VALUE(B266),'📦 Productos'!A:C,3,FALSE),""))),"")</f>
      </c>
      <c r="D266" s="7" t="s">
        <v>341</v>
      </c>
      <c r="E266" s="8" t="s">
        <v>26</v>
      </c>
      <c r="F266" s="12">
        <v>0</v>
      </c>
      <c r="G266" s="25">
        <v>19500</v>
      </c>
      <c r="H266" s="26">
        <v>12675</v>
      </c>
      <c r="I266" s="14">
        <f>IF(AND(G266&gt;0,H266&gt;0),ROUND((1-H266/G266)*100,0),0)</f>
        <v>35</v>
      </c>
      <c r="J266" s="27" t="s">
        <v>29</v>
      </c>
      <c r="K266" s="12" t="s">
        <v>1888</v>
      </c>
      <c r="L266" s="8" t="s">
        <v>26</v>
      </c>
    </row>
    <row r="267" ht="20" customHeight="1" spans="1:12" x14ac:dyDescent="0.25">
      <c r="A267" s="28" t="s">
        <v>2332</v>
      </c>
      <c r="B267" s="28" t="s">
        <v>343</v>
      </c>
      <c r="C267" s="24">
        <f>IF(B267&lt;&gt;"",IFERROR(VLOOKUP(B267,'📦 Productos'!A:C,3,FALSE),IFERROR(VLOOKUP(B267&amp;"",'📦 Productos'!A:C,3,FALSE),IFERROR(VLOOKUP(VALUE(B267),'📦 Productos'!A:C,3,FALSE),""))),"")</f>
      </c>
      <c r="D267" s="28" t="s">
        <v>344</v>
      </c>
      <c r="E267" s="29" t="s">
        <v>26</v>
      </c>
      <c r="F267" s="30">
        <v>0</v>
      </c>
      <c r="G267" s="31">
        <v>19500</v>
      </c>
      <c r="H267" s="32">
        <v>12675</v>
      </c>
      <c r="I267" s="14">
        <f>IF(AND(G267&gt;0,H267&gt;0),ROUND((1-H267/G267)*100,0),0)</f>
        <v>35</v>
      </c>
      <c r="J267" s="33" t="s">
        <v>29</v>
      </c>
      <c r="K267" s="30" t="s">
        <v>1888</v>
      </c>
      <c r="L267" s="29" t="s">
        <v>26</v>
      </c>
    </row>
    <row r="268" ht="20" customHeight="1" spans="1:12" x14ac:dyDescent="0.25">
      <c r="A268" s="7" t="s">
        <v>2333</v>
      </c>
      <c r="B268" s="7" t="s">
        <v>346</v>
      </c>
      <c r="C268" s="24">
        <f>IF(B268&lt;&gt;"",IFERROR(VLOOKUP(B268,'📦 Productos'!A:C,3,FALSE),IFERROR(VLOOKUP(B268&amp;"",'📦 Productos'!A:C,3,FALSE),IFERROR(VLOOKUP(VALUE(B268),'📦 Productos'!A:C,3,FALSE),""))),"")</f>
      </c>
      <c r="D268" s="7" t="s">
        <v>347</v>
      </c>
      <c r="E268" s="8" t="s">
        <v>26</v>
      </c>
      <c r="F268" s="12">
        <v>0</v>
      </c>
      <c r="G268" s="25">
        <v>19500</v>
      </c>
      <c r="H268" s="26">
        <v>12675</v>
      </c>
      <c r="I268" s="14">
        <f>IF(AND(G268&gt;0,H268&gt;0),ROUND((1-H268/G268)*100,0),0)</f>
        <v>35</v>
      </c>
      <c r="J268" s="27" t="s">
        <v>29</v>
      </c>
      <c r="K268" s="12" t="s">
        <v>1888</v>
      </c>
      <c r="L268" s="8" t="s">
        <v>26</v>
      </c>
    </row>
    <row r="269" ht="20" customHeight="1" spans="1:12" x14ac:dyDescent="0.25">
      <c r="A269" s="28" t="s">
        <v>2334</v>
      </c>
      <c r="B269" s="28" t="s">
        <v>349</v>
      </c>
      <c r="C269" s="24">
        <f>IF(B269&lt;&gt;"",IFERROR(VLOOKUP(B269,'📦 Productos'!A:C,3,FALSE),IFERROR(VLOOKUP(B269&amp;"",'📦 Productos'!A:C,3,FALSE),IFERROR(VLOOKUP(VALUE(B269),'📦 Productos'!A:C,3,FALSE),""))),"")</f>
      </c>
      <c r="D269" s="28" t="s">
        <v>26</v>
      </c>
      <c r="E269" s="29" t="s">
        <v>26</v>
      </c>
      <c r="F269" s="30">
        <v>0</v>
      </c>
      <c r="G269" s="31">
        <v>26500</v>
      </c>
      <c r="H269" s="32">
        <v>13250</v>
      </c>
      <c r="I269" s="14">
        <f>IF(AND(G269&gt;0,H269&gt;0),ROUND((1-H269/G269)*100,0),0)</f>
        <v>50</v>
      </c>
      <c r="J269" s="33" t="s">
        <v>29</v>
      </c>
      <c r="K269" s="30" t="s">
        <v>1888</v>
      </c>
      <c r="L269" s="29" t="s">
        <v>26</v>
      </c>
    </row>
    <row r="270" ht="20" customHeight="1" spans="1:12" x14ac:dyDescent="0.25">
      <c r="A270" s="7" t="s">
        <v>2335</v>
      </c>
      <c r="B270" s="7" t="s">
        <v>351</v>
      </c>
      <c r="C270" s="24">
        <f>IF(B270&lt;&gt;"",IFERROR(VLOOKUP(B270,'📦 Productos'!A:C,3,FALSE),IFERROR(VLOOKUP(B270&amp;"",'📦 Productos'!A:C,3,FALSE),IFERROR(VLOOKUP(VALUE(B270),'📦 Productos'!A:C,3,FALSE),""))),"")</f>
      </c>
      <c r="D270" s="7" t="s">
        <v>352</v>
      </c>
      <c r="E270" s="8" t="s">
        <v>26</v>
      </c>
      <c r="F270" s="12">
        <v>0</v>
      </c>
      <c r="G270" s="25">
        <v>26500</v>
      </c>
      <c r="H270" s="26"/>
      <c r="I270" s="14">
        <f>IF(AND(G270&gt;0,H270&gt;0),ROUND((1-H270/G270)*100,0),0)</f>
        <v>0</v>
      </c>
      <c r="J270" s="27" t="s">
        <v>29</v>
      </c>
      <c r="K270" s="12" t="s">
        <v>1888</v>
      </c>
      <c r="L270" s="8" t="s">
        <v>26</v>
      </c>
    </row>
    <row r="271" ht="20" customHeight="1" spans="1:12" x14ac:dyDescent="0.25">
      <c r="A271" s="28" t="s">
        <v>2336</v>
      </c>
      <c r="B271" s="28" t="s">
        <v>355</v>
      </c>
      <c r="C271" s="24">
        <f>IF(B271&lt;&gt;"",IFERROR(VLOOKUP(B271,'📦 Productos'!A:C,3,FALSE),IFERROR(VLOOKUP(B271&amp;"",'📦 Productos'!A:C,3,FALSE),IFERROR(VLOOKUP(VALUE(B271),'📦 Productos'!A:C,3,FALSE),""))),"")</f>
      </c>
      <c r="D271" s="28" t="s">
        <v>356</v>
      </c>
      <c r="E271" s="29" t="s">
        <v>26</v>
      </c>
      <c r="F271" s="30">
        <v>0</v>
      </c>
      <c r="G271" s="31">
        <v>29400</v>
      </c>
      <c r="H271" s="32"/>
      <c r="I271" s="14">
        <f>IF(AND(G271&gt;0,H271&gt;0),ROUND((1-H271/G271)*100,0),0)</f>
        <v>0</v>
      </c>
      <c r="J271" s="33" t="s">
        <v>29</v>
      </c>
      <c r="K271" s="30" t="s">
        <v>1888</v>
      </c>
      <c r="L271" s="29" t="s">
        <v>26</v>
      </c>
    </row>
    <row r="272" ht="20" customHeight="1" spans="1:12" x14ac:dyDescent="0.25">
      <c r="A272" s="7" t="s">
        <v>2337</v>
      </c>
      <c r="B272" s="7" t="s">
        <v>359</v>
      </c>
      <c r="C272" s="24">
        <f>IF(B272&lt;&gt;"",IFERROR(VLOOKUP(B272,'📦 Productos'!A:C,3,FALSE),IFERROR(VLOOKUP(B272&amp;"",'📦 Productos'!A:C,3,FALSE),IFERROR(VLOOKUP(VALUE(B272),'📦 Productos'!A:C,3,FALSE),""))),"")</f>
      </c>
      <c r="D272" s="7" t="s">
        <v>360</v>
      </c>
      <c r="E272" s="8" t="s">
        <v>26</v>
      </c>
      <c r="F272" s="12">
        <v>0</v>
      </c>
      <c r="G272" s="25">
        <v>29400</v>
      </c>
      <c r="H272" s="26"/>
      <c r="I272" s="14">
        <f>IF(AND(G272&gt;0,H272&gt;0),ROUND((1-H272/G272)*100,0),0)</f>
        <v>0</v>
      </c>
      <c r="J272" s="27" t="s">
        <v>29</v>
      </c>
      <c r="K272" s="12" t="s">
        <v>1888</v>
      </c>
      <c r="L272" s="8" t="s">
        <v>26</v>
      </c>
    </row>
    <row r="273" ht="20" customHeight="1" spans="1:12" x14ac:dyDescent="0.25">
      <c r="A273" s="28" t="s">
        <v>2338</v>
      </c>
      <c r="B273" s="28" t="s">
        <v>362</v>
      </c>
      <c r="C273" s="24">
        <f>IF(B273&lt;&gt;"",IFERROR(VLOOKUP(B273,'📦 Productos'!A:C,3,FALSE),IFERROR(VLOOKUP(B273&amp;"",'📦 Productos'!A:C,3,FALSE),IFERROR(VLOOKUP(VALUE(B273),'📦 Productos'!A:C,3,FALSE),""))),"")</f>
      </c>
      <c r="D273" s="28" t="s">
        <v>26</v>
      </c>
      <c r="E273" s="29" t="s">
        <v>26</v>
      </c>
      <c r="F273" s="30">
        <v>0</v>
      </c>
      <c r="G273" s="31">
        <v>19300</v>
      </c>
      <c r="H273" s="32">
        <v>9650</v>
      </c>
      <c r="I273" s="14">
        <f>IF(AND(G273&gt;0,H273&gt;0),ROUND((1-H273/G273)*100,0),0)</f>
        <v>50</v>
      </c>
      <c r="J273" s="33" t="s">
        <v>29</v>
      </c>
      <c r="K273" s="30" t="s">
        <v>1888</v>
      </c>
      <c r="L273" s="29" t="s">
        <v>26</v>
      </c>
    </row>
    <row r="274" ht="20" customHeight="1" spans="1:12" x14ac:dyDescent="0.25">
      <c r="A274" s="7" t="s">
        <v>2339</v>
      </c>
      <c r="B274" s="7" t="s">
        <v>364</v>
      </c>
      <c r="C274" s="24">
        <f>IF(B274&lt;&gt;"",IFERROR(VLOOKUP(B274,'📦 Productos'!A:C,3,FALSE),IFERROR(VLOOKUP(B274&amp;"",'📦 Productos'!A:C,3,FALSE),IFERROR(VLOOKUP(VALUE(B274),'📦 Productos'!A:C,3,FALSE),""))),"")</f>
      </c>
      <c r="D274" s="7" t="s">
        <v>365</v>
      </c>
      <c r="E274" s="8" t="s">
        <v>26</v>
      </c>
      <c r="F274" s="12">
        <v>0</v>
      </c>
      <c r="G274" s="25">
        <v>19300</v>
      </c>
      <c r="H274" s="26"/>
      <c r="I274" s="14">
        <f>IF(AND(G274&gt;0,H274&gt;0),ROUND((1-H274/G274)*100,0),0)</f>
        <v>0</v>
      </c>
      <c r="J274" s="27" t="s">
        <v>29</v>
      </c>
      <c r="K274" s="12" t="s">
        <v>1888</v>
      </c>
      <c r="L274" s="8" t="s">
        <v>26</v>
      </c>
    </row>
    <row r="275" ht="20" customHeight="1" spans="1:12" x14ac:dyDescent="0.25">
      <c r="A275" s="28" t="s">
        <v>2340</v>
      </c>
      <c r="B275" s="28" t="s">
        <v>367</v>
      </c>
      <c r="C275" s="24">
        <f>IF(B275&lt;&gt;"",IFERROR(VLOOKUP(B275,'📦 Productos'!A:C,3,FALSE),IFERROR(VLOOKUP(B275&amp;"",'📦 Productos'!A:C,3,FALSE),IFERROR(VLOOKUP(VALUE(B275),'📦 Productos'!A:C,3,FALSE),""))),"")</f>
      </c>
      <c r="D275" s="28" t="s">
        <v>26</v>
      </c>
      <c r="E275" s="29" t="s">
        <v>26</v>
      </c>
      <c r="F275" s="30">
        <v>0</v>
      </c>
      <c r="G275" s="31">
        <v>19300</v>
      </c>
      <c r="H275" s="32">
        <v>9650</v>
      </c>
      <c r="I275" s="14">
        <f>IF(AND(G275&gt;0,H275&gt;0),ROUND((1-H275/G275)*100,0),0)</f>
        <v>50</v>
      </c>
      <c r="J275" s="33" t="s">
        <v>29</v>
      </c>
      <c r="K275" s="30" t="s">
        <v>1888</v>
      </c>
      <c r="L275" s="29" t="s">
        <v>26</v>
      </c>
    </row>
    <row r="276" ht="20" customHeight="1" spans="1:12" x14ac:dyDescent="0.25">
      <c r="A276" s="7" t="s">
        <v>2341</v>
      </c>
      <c r="B276" s="7" t="s">
        <v>369</v>
      </c>
      <c r="C276" s="24">
        <f>IF(B276&lt;&gt;"",IFERROR(VLOOKUP(B276,'📦 Productos'!A:C,3,FALSE),IFERROR(VLOOKUP(B276&amp;"",'📦 Productos'!A:C,3,FALSE),IFERROR(VLOOKUP(VALUE(B276),'📦 Productos'!A:C,3,FALSE),""))),"")</f>
      </c>
      <c r="D276" s="7" t="s">
        <v>370</v>
      </c>
      <c r="E276" s="8" t="s">
        <v>26</v>
      </c>
      <c r="F276" s="12">
        <v>0</v>
      </c>
      <c r="G276" s="25">
        <v>19300</v>
      </c>
      <c r="H276" s="26">
        <v>9650</v>
      </c>
      <c r="I276" s="14">
        <f>IF(AND(G276&gt;0,H276&gt;0),ROUND((1-H276/G276)*100,0),0)</f>
        <v>50</v>
      </c>
      <c r="J276" s="27" t="s">
        <v>29</v>
      </c>
      <c r="K276" s="12" t="s">
        <v>1888</v>
      </c>
      <c r="L276" s="8" t="s">
        <v>26</v>
      </c>
    </row>
    <row r="277" ht="20" customHeight="1" spans="1:12" x14ac:dyDescent="0.25">
      <c r="A277" s="28" t="s">
        <v>2342</v>
      </c>
      <c r="B277" s="28" t="s">
        <v>372</v>
      </c>
      <c r="C277" s="24">
        <f>IF(B277&lt;&gt;"",IFERROR(VLOOKUP(B277,'📦 Productos'!A:C,3,FALSE),IFERROR(VLOOKUP(B277&amp;"",'📦 Productos'!A:C,3,FALSE),IFERROR(VLOOKUP(VALUE(B277),'📦 Productos'!A:C,3,FALSE),""))),"")</f>
      </c>
      <c r="D277" s="28" t="s">
        <v>26</v>
      </c>
      <c r="E277" s="29" t="s">
        <v>26</v>
      </c>
      <c r="F277" s="30">
        <v>0</v>
      </c>
      <c r="G277" s="31">
        <v>19300</v>
      </c>
      <c r="H277" s="32">
        <v>9650</v>
      </c>
      <c r="I277" s="14">
        <f>IF(AND(G277&gt;0,H277&gt;0),ROUND((1-H277/G277)*100,0),0)</f>
        <v>50</v>
      </c>
      <c r="J277" s="33" t="s">
        <v>29</v>
      </c>
      <c r="K277" s="30" t="s">
        <v>1888</v>
      </c>
      <c r="L277" s="29" t="s">
        <v>26</v>
      </c>
    </row>
    <row r="278" ht="20" customHeight="1" spans="1:12" x14ac:dyDescent="0.25">
      <c r="A278" s="7" t="s">
        <v>2343</v>
      </c>
      <c r="B278" s="7" t="s">
        <v>374</v>
      </c>
      <c r="C278" s="24">
        <f>IF(B278&lt;&gt;"",IFERROR(VLOOKUP(B278,'📦 Productos'!A:C,3,FALSE),IFERROR(VLOOKUP(B278&amp;"",'📦 Productos'!A:C,3,FALSE),IFERROR(VLOOKUP(VALUE(B278),'📦 Productos'!A:C,3,FALSE),""))),"")</f>
      </c>
      <c r="D278" s="7" t="s">
        <v>375</v>
      </c>
      <c r="E278" s="8" t="s">
        <v>26</v>
      </c>
      <c r="F278" s="12">
        <v>0</v>
      </c>
      <c r="G278" s="25">
        <v>26500</v>
      </c>
      <c r="H278" s="26"/>
      <c r="I278" s="14">
        <f>IF(AND(G278&gt;0,H278&gt;0),ROUND((1-H278/G278)*100,0),0)</f>
        <v>0</v>
      </c>
      <c r="J278" s="27" t="s">
        <v>29</v>
      </c>
      <c r="K278" s="12" t="s">
        <v>1888</v>
      </c>
      <c r="L278" s="8" t="s">
        <v>26</v>
      </c>
    </row>
    <row r="279" ht="20" customHeight="1" spans="1:12" x14ac:dyDescent="0.25">
      <c r="A279" s="28" t="s">
        <v>2344</v>
      </c>
      <c r="B279" s="28" t="s">
        <v>378</v>
      </c>
      <c r="C279" s="24">
        <f>IF(B279&lt;&gt;"",IFERROR(VLOOKUP(B279,'📦 Productos'!A:C,3,FALSE),IFERROR(VLOOKUP(B279&amp;"",'📦 Productos'!A:C,3,FALSE),IFERROR(VLOOKUP(VALUE(B279),'📦 Productos'!A:C,3,FALSE),""))),"")</f>
      </c>
      <c r="D279" s="28" t="s">
        <v>26</v>
      </c>
      <c r="E279" s="29" t="s">
        <v>26</v>
      </c>
      <c r="F279" s="30">
        <v>0</v>
      </c>
      <c r="G279" s="31">
        <v>26500</v>
      </c>
      <c r="H279" s="32"/>
      <c r="I279" s="14">
        <f>IF(AND(G279&gt;0,H279&gt;0),ROUND((1-H279/G279)*100,0),0)</f>
        <v>0</v>
      </c>
      <c r="J279" s="33" t="s">
        <v>29</v>
      </c>
      <c r="K279" s="30" t="s">
        <v>1888</v>
      </c>
      <c r="L279" s="29" t="s">
        <v>26</v>
      </c>
    </row>
    <row r="280" ht="20" customHeight="1" spans="1:12" x14ac:dyDescent="0.25">
      <c r="A280" s="7" t="s">
        <v>2345</v>
      </c>
      <c r="B280" s="7" t="s">
        <v>380</v>
      </c>
      <c r="C280" s="24">
        <f>IF(B280&lt;&gt;"",IFERROR(VLOOKUP(B280,'📦 Productos'!A:C,3,FALSE),IFERROR(VLOOKUP(B280&amp;"",'📦 Productos'!A:C,3,FALSE),IFERROR(VLOOKUP(VALUE(B280),'📦 Productos'!A:C,3,FALSE),""))),"")</f>
      </c>
      <c r="D280" s="7" t="s">
        <v>26</v>
      </c>
      <c r="E280" s="8" t="s">
        <v>26</v>
      </c>
      <c r="F280" s="12">
        <v>0</v>
      </c>
      <c r="G280" s="25">
        <v>26500</v>
      </c>
      <c r="H280" s="26">
        <v>13250</v>
      </c>
      <c r="I280" s="14">
        <f>IF(AND(G280&gt;0,H280&gt;0),ROUND((1-H280/G280)*100,0),0)</f>
        <v>50</v>
      </c>
      <c r="J280" s="27" t="s">
        <v>29</v>
      </c>
      <c r="K280" s="12" t="s">
        <v>1888</v>
      </c>
      <c r="L280" s="8" t="s">
        <v>26</v>
      </c>
    </row>
    <row r="281" ht="20" customHeight="1" spans="1:12" x14ac:dyDescent="0.25">
      <c r="A281" s="28" t="s">
        <v>2346</v>
      </c>
      <c r="B281" s="28" t="s">
        <v>382</v>
      </c>
      <c r="C281" s="24">
        <f>IF(B281&lt;&gt;"",IFERROR(VLOOKUP(B281,'📦 Productos'!A:C,3,FALSE),IFERROR(VLOOKUP(B281&amp;"",'📦 Productos'!A:C,3,FALSE),IFERROR(VLOOKUP(VALUE(B281),'📦 Productos'!A:C,3,FALSE),""))),"")</f>
      </c>
      <c r="D281" s="28" t="s">
        <v>26</v>
      </c>
      <c r="E281" s="29" t="s">
        <v>26</v>
      </c>
      <c r="F281" s="30">
        <v>0</v>
      </c>
      <c r="G281" s="31">
        <v>26500</v>
      </c>
      <c r="H281" s="32">
        <v>13250</v>
      </c>
      <c r="I281" s="14">
        <f>IF(AND(G281&gt;0,H281&gt;0),ROUND((1-H281/G281)*100,0),0)</f>
        <v>50</v>
      </c>
      <c r="J281" s="33" t="s">
        <v>29</v>
      </c>
      <c r="K281" s="30" t="s">
        <v>1888</v>
      </c>
      <c r="L281" s="29" t="s">
        <v>26</v>
      </c>
    </row>
    <row r="282" ht="20" customHeight="1" spans="1:12" x14ac:dyDescent="0.25">
      <c r="A282" s="7" t="s">
        <v>2347</v>
      </c>
      <c r="B282" s="7" t="s">
        <v>384</v>
      </c>
      <c r="C282" s="24">
        <f>IF(B282&lt;&gt;"",IFERROR(VLOOKUP(B282,'📦 Productos'!A:C,3,FALSE),IFERROR(VLOOKUP(B282&amp;"",'📦 Productos'!A:C,3,FALSE),IFERROR(VLOOKUP(VALUE(B282),'📦 Productos'!A:C,3,FALSE),""))),"")</f>
      </c>
      <c r="D282" s="7" t="s">
        <v>385</v>
      </c>
      <c r="E282" s="8" t="s">
        <v>26</v>
      </c>
      <c r="F282" s="12">
        <v>0</v>
      </c>
      <c r="G282" s="25">
        <v>12400</v>
      </c>
      <c r="H282" s="26">
        <v>6200</v>
      </c>
      <c r="I282" s="14">
        <f>IF(AND(G282&gt;0,H282&gt;0),ROUND((1-H282/G282)*100,0),0)</f>
        <v>50</v>
      </c>
      <c r="J282" s="27" t="s">
        <v>29</v>
      </c>
      <c r="K282" s="12" t="s">
        <v>1888</v>
      </c>
      <c r="L282" s="8" t="s">
        <v>26</v>
      </c>
    </row>
    <row r="283" ht="20" customHeight="1" spans="1:12" x14ac:dyDescent="0.25">
      <c r="A283" s="28" t="s">
        <v>2348</v>
      </c>
      <c r="B283" s="28" t="s">
        <v>388</v>
      </c>
      <c r="C283" s="24">
        <f>IF(B283&lt;&gt;"",IFERROR(VLOOKUP(B283,'📦 Productos'!A:C,3,FALSE),IFERROR(VLOOKUP(B283&amp;"",'📦 Productos'!A:C,3,FALSE),IFERROR(VLOOKUP(VALUE(B283),'📦 Productos'!A:C,3,FALSE),""))),"")</f>
      </c>
      <c r="D283" s="28" t="s">
        <v>26</v>
      </c>
      <c r="E283" s="29" t="s">
        <v>26</v>
      </c>
      <c r="F283" s="30">
        <v>0</v>
      </c>
      <c r="G283" s="31">
        <v>12700</v>
      </c>
      <c r="H283" s="32"/>
      <c r="I283" s="14">
        <f>IF(AND(G283&gt;0,H283&gt;0),ROUND((1-H283/G283)*100,0),0)</f>
        <v>0</v>
      </c>
      <c r="J283" s="33" t="s">
        <v>29</v>
      </c>
      <c r="K283" s="30" t="s">
        <v>1888</v>
      </c>
      <c r="L283" s="29" t="s">
        <v>26</v>
      </c>
    </row>
    <row r="284" ht="20" customHeight="1" spans="1:12" x14ac:dyDescent="0.25">
      <c r="A284" s="7" t="s">
        <v>2349</v>
      </c>
      <c r="B284" s="7" t="s">
        <v>390</v>
      </c>
      <c r="C284" s="24">
        <f>IF(B284&lt;&gt;"",IFERROR(VLOOKUP(B284,'📦 Productos'!A:C,3,FALSE),IFERROR(VLOOKUP(B284&amp;"",'📦 Productos'!A:C,3,FALSE),IFERROR(VLOOKUP(VALUE(B284),'📦 Productos'!A:C,3,FALSE),""))),"")</f>
      </c>
      <c r="D284" s="7" t="s">
        <v>26</v>
      </c>
      <c r="E284" s="8" t="s">
        <v>26</v>
      </c>
      <c r="F284" s="12">
        <v>0</v>
      </c>
      <c r="G284" s="25">
        <v>12700</v>
      </c>
      <c r="H284" s="26">
        <v>6350</v>
      </c>
      <c r="I284" s="14">
        <f>IF(AND(G284&gt;0,H284&gt;0),ROUND((1-H284/G284)*100,0),0)</f>
        <v>50</v>
      </c>
      <c r="J284" s="27" t="s">
        <v>29</v>
      </c>
      <c r="K284" s="12" t="s">
        <v>1888</v>
      </c>
      <c r="L284" s="8" t="s">
        <v>26</v>
      </c>
    </row>
    <row r="285" ht="20" customHeight="1" spans="1:12" x14ac:dyDescent="0.25">
      <c r="A285" s="28" t="s">
        <v>2350</v>
      </c>
      <c r="B285" s="28" t="s">
        <v>390</v>
      </c>
      <c r="C285" s="24">
        <f>IF(B285&lt;&gt;"",IFERROR(VLOOKUP(B285,'📦 Productos'!A:C,3,FALSE),IFERROR(VLOOKUP(B285&amp;"",'📦 Productos'!A:C,3,FALSE),IFERROR(VLOOKUP(VALUE(B285),'📦 Productos'!A:C,3,FALSE),""))),"")</f>
      </c>
      <c r="D285" s="28" t="s">
        <v>26</v>
      </c>
      <c r="E285" s="29" t="s">
        <v>26</v>
      </c>
      <c r="F285" s="30">
        <v>0</v>
      </c>
      <c r="G285" s="31">
        <v>12700</v>
      </c>
      <c r="H285" s="32">
        <v>6350</v>
      </c>
      <c r="I285" s="14">
        <f>IF(AND(G285&gt;0,H285&gt;0),ROUND((1-H285/G285)*100,0),0)</f>
        <v>50</v>
      </c>
      <c r="J285" s="33" t="s">
        <v>29</v>
      </c>
      <c r="K285" s="30" t="s">
        <v>1888</v>
      </c>
      <c r="L285" s="29" t="s">
        <v>26</v>
      </c>
    </row>
    <row r="286" ht="20" customHeight="1" spans="1:12" x14ac:dyDescent="0.25">
      <c r="A286" s="7" t="s">
        <v>2351</v>
      </c>
      <c r="B286" s="7" t="s">
        <v>390</v>
      </c>
      <c r="C286" s="24">
        <f>IF(B286&lt;&gt;"",IFERROR(VLOOKUP(B286,'📦 Productos'!A:C,3,FALSE),IFERROR(VLOOKUP(B286&amp;"",'📦 Productos'!A:C,3,FALSE),IFERROR(VLOOKUP(VALUE(B286),'📦 Productos'!A:C,3,FALSE),""))),"")</f>
      </c>
      <c r="D286" s="7" t="s">
        <v>26</v>
      </c>
      <c r="E286" s="8" t="s">
        <v>26</v>
      </c>
      <c r="F286" s="12">
        <v>0</v>
      </c>
      <c r="G286" s="25">
        <v>12700</v>
      </c>
      <c r="H286" s="26">
        <v>6350</v>
      </c>
      <c r="I286" s="14">
        <f>IF(AND(G286&gt;0,H286&gt;0),ROUND((1-H286/G286)*100,0),0)</f>
        <v>50</v>
      </c>
      <c r="J286" s="27" t="s">
        <v>29</v>
      </c>
      <c r="K286" s="12" t="s">
        <v>1888</v>
      </c>
      <c r="L286" s="8" t="s">
        <v>26</v>
      </c>
    </row>
    <row r="287" ht="20" customHeight="1" spans="1:12" x14ac:dyDescent="0.25">
      <c r="A287" s="28" t="s">
        <v>2352</v>
      </c>
      <c r="B287" s="28" t="s">
        <v>390</v>
      </c>
      <c r="C287" s="24">
        <f>IF(B287&lt;&gt;"",IFERROR(VLOOKUP(B287,'📦 Productos'!A:C,3,FALSE),IFERROR(VLOOKUP(B287&amp;"",'📦 Productos'!A:C,3,FALSE),IFERROR(VLOOKUP(VALUE(B287),'📦 Productos'!A:C,3,FALSE),""))),"")</f>
      </c>
      <c r="D287" s="28" t="s">
        <v>26</v>
      </c>
      <c r="E287" s="29" t="s">
        <v>26</v>
      </c>
      <c r="F287" s="30">
        <v>0</v>
      </c>
      <c r="G287" s="31">
        <v>12700</v>
      </c>
      <c r="H287" s="32">
        <v>6350</v>
      </c>
      <c r="I287" s="14">
        <f>IF(AND(G287&gt;0,H287&gt;0),ROUND((1-H287/G287)*100,0),0)</f>
        <v>50</v>
      </c>
      <c r="J287" s="33" t="s">
        <v>29</v>
      </c>
      <c r="K287" s="30" t="s">
        <v>1888</v>
      </c>
      <c r="L287" s="29" t="s">
        <v>26</v>
      </c>
    </row>
    <row r="288" ht="20" customHeight="1" spans="1:12" x14ac:dyDescent="0.25">
      <c r="A288" s="7" t="s">
        <v>2353</v>
      </c>
      <c r="B288" s="7" t="s">
        <v>390</v>
      </c>
      <c r="C288" s="24">
        <f>IF(B288&lt;&gt;"",IFERROR(VLOOKUP(B288,'📦 Productos'!A:C,3,FALSE),IFERROR(VLOOKUP(B288&amp;"",'📦 Productos'!A:C,3,FALSE),IFERROR(VLOOKUP(VALUE(B288),'📦 Productos'!A:C,3,FALSE),""))),"")</f>
      </c>
      <c r="D288" s="7" t="s">
        <v>26</v>
      </c>
      <c r="E288" s="8" t="s">
        <v>26</v>
      </c>
      <c r="F288" s="12">
        <v>0</v>
      </c>
      <c r="G288" s="25">
        <v>12700</v>
      </c>
      <c r="H288" s="26">
        <v>6350</v>
      </c>
      <c r="I288" s="14">
        <f>IF(AND(G288&gt;0,H288&gt;0),ROUND((1-H288/G288)*100,0),0)</f>
        <v>50</v>
      </c>
      <c r="J288" s="27" t="s">
        <v>29</v>
      </c>
      <c r="K288" s="12" t="s">
        <v>1888</v>
      </c>
      <c r="L288" s="8" t="s">
        <v>26</v>
      </c>
    </row>
    <row r="289" ht="20" customHeight="1" spans="1:12" x14ac:dyDescent="0.25">
      <c r="A289" s="28" t="s">
        <v>2354</v>
      </c>
      <c r="B289" s="28" t="s">
        <v>390</v>
      </c>
      <c r="C289" s="24">
        <f>IF(B289&lt;&gt;"",IFERROR(VLOOKUP(B289,'📦 Productos'!A:C,3,FALSE),IFERROR(VLOOKUP(B289&amp;"",'📦 Productos'!A:C,3,FALSE),IFERROR(VLOOKUP(VALUE(B289),'📦 Productos'!A:C,3,FALSE),""))),"")</f>
      </c>
      <c r="D289" s="28" t="s">
        <v>26</v>
      </c>
      <c r="E289" s="29" t="s">
        <v>26</v>
      </c>
      <c r="F289" s="30">
        <v>0</v>
      </c>
      <c r="G289" s="31">
        <v>12700</v>
      </c>
      <c r="H289" s="32">
        <v>6350</v>
      </c>
      <c r="I289" s="14">
        <f>IF(AND(G289&gt;0,H289&gt;0),ROUND((1-H289/G289)*100,0),0)</f>
        <v>50</v>
      </c>
      <c r="J289" s="33" t="s">
        <v>29</v>
      </c>
      <c r="K289" s="30" t="s">
        <v>1888</v>
      </c>
      <c r="L289" s="29" t="s">
        <v>26</v>
      </c>
    </row>
    <row r="290" ht="20" customHeight="1" spans="1:12" x14ac:dyDescent="0.25">
      <c r="A290" s="7" t="s">
        <v>2355</v>
      </c>
      <c r="B290" s="7" t="s">
        <v>390</v>
      </c>
      <c r="C290" s="24">
        <f>IF(B290&lt;&gt;"",IFERROR(VLOOKUP(B290,'📦 Productos'!A:C,3,FALSE),IFERROR(VLOOKUP(B290&amp;"",'📦 Productos'!A:C,3,FALSE),IFERROR(VLOOKUP(VALUE(B290),'📦 Productos'!A:C,3,FALSE),""))),"")</f>
      </c>
      <c r="D290" s="7" t="s">
        <v>26</v>
      </c>
      <c r="E290" s="8" t="s">
        <v>26</v>
      </c>
      <c r="F290" s="12">
        <v>0</v>
      </c>
      <c r="G290" s="25">
        <v>12700</v>
      </c>
      <c r="H290" s="26">
        <v>6350</v>
      </c>
      <c r="I290" s="14">
        <f>IF(AND(G290&gt;0,H290&gt;0),ROUND((1-H290/G290)*100,0),0)</f>
        <v>50</v>
      </c>
      <c r="J290" s="27" t="s">
        <v>29</v>
      </c>
      <c r="K290" s="12" t="s">
        <v>1888</v>
      </c>
      <c r="L290" s="8" t="s">
        <v>26</v>
      </c>
    </row>
    <row r="291" ht="20" customHeight="1" spans="1:12" x14ac:dyDescent="0.25">
      <c r="A291" s="28" t="s">
        <v>2356</v>
      </c>
      <c r="B291" s="28" t="s">
        <v>390</v>
      </c>
      <c r="C291" s="24">
        <f>IF(B291&lt;&gt;"",IFERROR(VLOOKUP(B291,'📦 Productos'!A:C,3,FALSE),IFERROR(VLOOKUP(B291&amp;"",'📦 Productos'!A:C,3,FALSE),IFERROR(VLOOKUP(VALUE(B291),'📦 Productos'!A:C,3,FALSE),""))),"")</f>
      </c>
      <c r="D291" s="28" t="s">
        <v>26</v>
      </c>
      <c r="E291" s="29" t="s">
        <v>26</v>
      </c>
      <c r="F291" s="30">
        <v>0</v>
      </c>
      <c r="G291" s="31">
        <v>12700</v>
      </c>
      <c r="H291" s="32">
        <v>6350</v>
      </c>
      <c r="I291" s="14">
        <f>IF(AND(G291&gt;0,H291&gt;0),ROUND((1-H291/G291)*100,0),0)</f>
        <v>50</v>
      </c>
      <c r="J291" s="33" t="s">
        <v>29</v>
      </c>
      <c r="K291" s="30" t="s">
        <v>1888</v>
      </c>
      <c r="L291" s="29" t="s">
        <v>26</v>
      </c>
    </row>
    <row r="292" ht="20" customHeight="1" spans="1:12" x14ac:dyDescent="0.25">
      <c r="A292" s="7" t="s">
        <v>2357</v>
      </c>
      <c r="B292" s="7" t="s">
        <v>390</v>
      </c>
      <c r="C292" s="24">
        <f>IF(B292&lt;&gt;"",IFERROR(VLOOKUP(B292,'📦 Productos'!A:C,3,FALSE),IFERROR(VLOOKUP(B292&amp;"",'📦 Productos'!A:C,3,FALSE),IFERROR(VLOOKUP(VALUE(B292),'📦 Productos'!A:C,3,FALSE),""))),"")</f>
      </c>
      <c r="D292" s="7" t="s">
        <v>26</v>
      </c>
      <c r="E292" s="8" t="s">
        <v>26</v>
      </c>
      <c r="F292" s="12">
        <v>0</v>
      </c>
      <c r="G292" s="25">
        <v>12700</v>
      </c>
      <c r="H292" s="26">
        <v>6350</v>
      </c>
      <c r="I292" s="14">
        <f>IF(AND(G292&gt;0,H292&gt;0),ROUND((1-H292/G292)*100,0),0)</f>
        <v>50</v>
      </c>
      <c r="J292" s="27" t="s">
        <v>29</v>
      </c>
      <c r="K292" s="12" t="s">
        <v>1888</v>
      </c>
      <c r="L292" s="8" t="s">
        <v>26</v>
      </c>
    </row>
    <row r="293" ht="20" customHeight="1" spans="1:12" x14ac:dyDescent="0.25">
      <c r="A293" s="28" t="s">
        <v>2358</v>
      </c>
      <c r="B293" s="28" t="s">
        <v>390</v>
      </c>
      <c r="C293" s="24">
        <f>IF(B293&lt;&gt;"",IFERROR(VLOOKUP(B293,'📦 Productos'!A:C,3,FALSE),IFERROR(VLOOKUP(B293&amp;"",'📦 Productos'!A:C,3,FALSE),IFERROR(VLOOKUP(VALUE(B293),'📦 Productos'!A:C,3,FALSE),""))),"")</f>
      </c>
      <c r="D293" s="28" t="s">
        <v>26</v>
      </c>
      <c r="E293" s="29" t="s">
        <v>26</v>
      </c>
      <c r="F293" s="30">
        <v>0</v>
      </c>
      <c r="G293" s="31">
        <v>12700</v>
      </c>
      <c r="H293" s="32">
        <v>6350</v>
      </c>
      <c r="I293" s="14">
        <f>IF(AND(G293&gt;0,H293&gt;0),ROUND((1-H293/G293)*100,0),0)</f>
        <v>50</v>
      </c>
      <c r="J293" s="33" t="s">
        <v>29</v>
      </c>
      <c r="K293" s="30" t="s">
        <v>1888</v>
      </c>
      <c r="L293" s="29" t="s">
        <v>26</v>
      </c>
    </row>
    <row r="294" ht="20" customHeight="1" spans="1:12" x14ac:dyDescent="0.25">
      <c r="A294" s="7" t="s">
        <v>2359</v>
      </c>
      <c r="B294" s="7" t="s">
        <v>390</v>
      </c>
      <c r="C294" s="24">
        <f>IF(B294&lt;&gt;"",IFERROR(VLOOKUP(B294,'📦 Productos'!A:C,3,FALSE),IFERROR(VLOOKUP(B294&amp;"",'📦 Productos'!A:C,3,FALSE),IFERROR(VLOOKUP(VALUE(B294),'📦 Productos'!A:C,3,FALSE),""))),"")</f>
      </c>
      <c r="D294" s="7" t="s">
        <v>26</v>
      </c>
      <c r="E294" s="8" t="s">
        <v>26</v>
      </c>
      <c r="F294" s="12">
        <v>0</v>
      </c>
      <c r="G294" s="25">
        <v>12700</v>
      </c>
      <c r="H294" s="26">
        <v>6350</v>
      </c>
      <c r="I294" s="14">
        <f>IF(AND(G294&gt;0,H294&gt;0),ROUND((1-H294/G294)*100,0),0)</f>
        <v>50</v>
      </c>
      <c r="J294" s="27" t="s">
        <v>29</v>
      </c>
      <c r="K294" s="12" t="s">
        <v>1888</v>
      </c>
      <c r="L294" s="8" t="s">
        <v>26</v>
      </c>
    </row>
    <row r="295" ht="20" customHeight="1" spans="1:12" x14ac:dyDescent="0.25">
      <c r="A295" s="28" t="s">
        <v>2360</v>
      </c>
      <c r="B295" s="28" t="s">
        <v>392</v>
      </c>
      <c r="C295" s="24">
        <f>IF(B295&lt;&gt;"",IFERROR(VLOOKUP(B295,'📦 Productos'!A:C,3,FALSE),IFERROR(VLOOKUP(B295&amp;"",'📦 Productos'!A:C,3,FALSE),IFERROR(VLOOKUP(VALUE(B295),'📦 Productos'!A:C,3,FALSE),""))),"")</f>
      </c>
      <c r="D295" s="28" t="s">
        <v>393</v>
      </c>
      <c r="E295" s="29" t="s">
        <v>26</v>
      </c>
      <c r="F295" s="30">
        <v>0</v>
      </c>
      <c r="G295" s="31">
        <v>15500</v>
      </c>
      <c r="H295" s="32">
        <v>7750</v>
      </c>
      <c r="I295" s="14">
        <f>IF(AND(G295&gt;0,H295&gt;0),ROUND((1-H295/G295)*100,0),0)</f>
        <v>50</v>
      </c>
      <c r="J295" s="33" t="s">
        <v>29</v>
      </c>
      <c r="K295" s="30" t="s">
        <v>1888</v>
      </c>
      <c r="L295" s="29" t="s">
        <v>26</v>
      </c>
    </row>
    <row r="296" ht="20" customHeight="1" spans="1:12" x14ac:dyDescent="0.25">
      <c r="A296" s="7" t="s">
        <v>2361</v>
      </c>
      <c r="B296" s="7" t="s">
        <v>396</v>
      </c>
      <c r="C296" s="24">
        <f>IF(B296&lt;&gt;"",IFERROR(VLOOKUP(B296,'📦 Productos'!A:C,3,FALSE),IFERROR(VLOOKUP(B296&amp;"",'📦 Productos'!A:C,3,FALSE),IFERROR(VLOOKUP(VALUE(B296),'📦 Productos'!A:C,3,FALSE),""))),"")</f>
      </c>
      <c r="D296" s="7" t="s">
        <v>397</v>
      </c>
      <c r="E296" s="8" t="s">
        <v>26</v>
      </c>
      <c r="F296" s="12">
        <v>0</v>
      </c>
      <c r="G296" s="25">
        <v>15500</v>
      </c>
      <c r="H296" s="26">
        <v>7750</v>
      </c>
      <c r="I296" s="14">
        <f>IF(AND(G296&gt;0,H296&gt;0),ROUND((1-H296/G296)*100,0),0)</f>
        <v>50</v>
      </c>
      <c r="J296" s="27" t="s">
        <v>29</v>
      </c>
      <c r="K296" s="12" t="s">
        <v>1888</v>
      </c>
      <c r="L296" s="8" t="s">
        <v>26</v>
      </c>
    </row>
    <row r="297" ht="20" customHeight="1" spans="1:12" x14ac:dyDescent="0.25">
      <c r="A297" s="28" t="s">
        <v>2362</v>
      </c>
      <c r="B297" s="28" t="s">
        <v>399</v>
      </c>
      <c r="C297" s="24">
        <f>IF(B297&lt;&gt;"",IFERROR(VLOOKUP(B297,'📦 Productos'!A:C,3,FALSE),IFERROR(VLOOKUP(B297&amp;"",'📦 Productos'!A:C,3,FALSE),IFERROR(VLOOKUP(VALUE(B297),'📦 Productos'!A:C,3,FALSE),""))),"")</f>
      </c>
      <c r="D297" s="28" t="s">
        <v>400</v>
      </c>
      <c r="E297" s="29" t="s">
        <v>26</v>
      </c>
      <c r="F297" s="30">
        <v>0</v>
      </c>
      <c r="G297" s="31">
        <v>15500</v>
      </c>
      <c r="H297" s="32">
        <v>7750</v>
      </c>
      <c r="I297" s="14">
        <f>IF(AND(G297&gt;0,H297&gt;0),ROUND((1-H297/G297)*100,0),0)</f>
        <v>50</v>
      </c>
      <c r="J297" s="33" t="s">
        <v>29</v>
      </c>
      <c r="K297" s="30" t="s">
        <v>1888</v>
      </c>
      <c r="L297" s="29" t="s">
        <v>26</v>
      </c>
    </row>
    <row r="298" ht="20" customHeight="1" spans="1:12" x14ac:dyDescent="0.25">
      <c r="A298" s="7" t="s">
        <v>2363</v>
      </c>
      <c r="B298" s="7" t="s">
        <v>402</v>
      </c>
      <c r="C298" s="24">
        <f>IF(B298&lt;&gt;"",IFERROR(VLOOKUP(B298,'📦 Productos'!A:C,3,FALSE),IFERROR(VLOOKUP(B298&amp;"",'📦 Productos'!A:C,3,FALSE),IFERROR(VLOOKUP(VALUE(B298),'📦 Productos'!A:C,3,FALSE),""))),"")</f>
      </c>
      <c r="D298" s="7" t="s">
        <v>403</v>
      </c>
      <c r="E298" s="8" t="s">
        <v>26</v>
      </c>
      <c r="F298" s="12">
        <v>0</v>
      </c>
      <c r="G298" s="25">
        <v>15500</v>
      </c>
      <c r="H298" s="26"/>
      <c r="I298" s="14">
        <f>IF(AND(G298&gt;0,H298&gt;0),ROUND((1-H298/G298)*100,0),0)</f>
        <v>0</v>
      </c>
      <c r="J298" s="27" t="s">
        <v>29</v>
      </c>
      <c r="K298" s="12" t="s">
        <v>1888</v>
      </c>
      <c r="L298" s="8" t="s">
        <v>26</v>
      </c>
    </row>
    <row r="299" ht="20" customHeight="1" spans="1:12" x14ac:dyDescent="0.25">
      <c r="A299" s="28" t="s">
        <v>2364</v>
      </c>
      <c r="B299" s="28" t="s">
        <v>402</v>
      </c>
      <c r="C299" s="24">
        <f>IF(B299&lt;&gt;"",IFERROR(VLOOKUP(B299,'📦 Productos'!A:C,3,FALSE),IFERROR(VLOOKUP(B299&amp;"",'📦 Productos'!A:C,3,FALSE),IFERROR(VLOOKUP(VALUE(B299),'📦 Productos'!A:C,3,FALSE),""))),"")</f>
      </c>
      <c r="D299" s="28" t="s">
        <v>2365</v>
      </c>
      <c r="E299" s="29" t="s">
        <v>26</v>
      </c>
      <c r="F299" s="30">
        <v>0</v>
      </c>
      <c r="G299" s="31">
        <v>15500</v>
      </c>
      <c r="H299" s="32"/>
      <c r="I299" s="14">
        <f>IF(AND(G299&gt;0,H299&gt;0),ROUND((1-H299/G299)*100,0),0)</f>
        <v>0</v>
      </c>
      <c r="J299" s="33" t="s">
        <v>29</v>
      </c>
      <c r="K299" s="30" t="s">
        <v>1888</v>
      </c>
      <c r="L299" s="29" t="s">
        <v>26</v>
      </c>
    </row>
    <row r="300" ht="20" customHeight="1" spans="1:12" x14ac:dyDescent="0.25">
      <c r="A300" s="7" t="s">
        <v>2366</v>
      </c>
      <c r="B300" s="7" t="s">
        <v>402</v>
      </c>
      <c r="C300" s="24">
        <f>IF(B300&lt;&gt;"",IFERROR(VLOOKUP(B300,'📦 Productos'!A:C,3,FALSE),IFERROR(VLOOKUP(B300&amp;"",'📦 Productos'!A:C,3,FALSE),IFERROR(VLOOKUP(VALUE(B300),'📦 Productos'!A:C,3,FALSE),""))),"")</f>
      </c>
      <c r="D300" s="7" t="s">
        <v>2367</v>
      </c>
      <c r="E300" s="8" t="s">
        <v>26</v>
      </c>
      <c r="F300" s="12">
        <v>0</v>
      </c>
      <c r="G300" s="25">
        <v>15500</v>
      </c>
      <c r="H300" s="26"/>
      <c r="I300" s="14">
        <f>IF(AND(G300&gt;0,H300&gt;0),ROUND((1-H300/G300)*100,0),0)</f>
        <v>0</v>
      </c>
      <c r="J300" s="27" t="s">
        <v>29</v>
      </c>
      <c r="K300" s="12" t="s">
        <v>1888</v>
      </c>
      <c r="L300" s="8" t="s">
        <v>26</v>
      </c>
    </row>
    <row r="301" ht="20" customHeight="1" spans="1:12" x14ac:dyDescent="0.25">
      <c r="A301" s="28" t="s">
        <v>2368</v>
      </c>
      <c r="B301" s="28" t="s">
        <v>402</v>
      </c>
      <c r="C301" s="24">
        <f>IF(B301&lt;&gt;"",IFERROR(VLOOKUP(B301,'📦 Productos'!A:C,3,FALSE),IFERROR(VLOOKUP(B301&amp;"",'📦 Productos'!A:C,3,FALSE),IFERROR(VLOOKUP(VALUE(B301),'📦 Productos'!A:C,3,FALSE),""))),"")</f>
      </c>
      <c r="D301" s="28" t="s">
        <v>2369</v>
      </c>
      <c r="E301" s="29" t="s">
        <v>26</v>
      </c>
      <c r="F301" s="30">
        <v>0</v>
      </c>
      <c r="G301" s="31">
        <v>15500</v>
      </c>
      <c r="H301" s="32"/>
      <c r="I301" s="14">
        <f>IF(AND(G301&gt;0,H301&gt;0),ROUND((1-H301/G301)*100,0),0)</f>
        <v>0</v>
      </c>
      <c r="J301" s="33" t="s">
        <v>29</v>
      </c>
      <c r="K301" s="30" t="s">
        <v>1888</v>
      </c>
      <c r="L301" s="29" t="s">
        <v>26</v>
      </c>
    </row>
    <row r="302" ht="20" customHeight="1" spans="1:12" x14ac:dyDescent="0.25">
      <c r="A302" s="7" t="s">
        <v>2370</v>
      </c>
      <c r="B302" s="7" t="s">
        <v>402</v>
      </c>
      <c r="C302" s="24">
        <f>IF(B302&lt;&gt;"",IFERROR(VLOOKUP(B302,'📦 Productos'!A:C,3,FALSE),IFERROR(VLOOKUP(B302&amp;"",'📦 Productos'!A:C,3,FALSE),IFERROR(VLOOKUP(VALUE(B302),'📦 Productos'!A:C,3,FALSE),""))),"")</f>
      </c>
      <c r="D302" s="7" t="s">
        <v>2371</v>
      </c>
      <c r="E302" s="8" t="s">
        <v>26</v>
      </c>
      <c r="F302" s="12">
        <v>0</v>
      </c>
      <c r="G302" s="25">
        <v>15500</v>
      </c>
      <c r="H302" s="26"/>
      <c r="I302" s="14">
        <f>IF(AND(G302&gt;0,H302&gt;0),ROUND((1-H302/G302)*100,0),0)</f>
        <v>0</v>
      </c>
      <c r="J302" s="27" t="s">
        <v>29</v>
      </c>
      <c r="K302" s="12" t="s">
        <v>1888</v>
      </c>
      <c r="L302" s="8" t="s">
        <v>26</v>
      </c>
    </row>
    <row r="303" ht="20" customHeight="1" spans="1:12" x14ac:dyDescent="0.25">
      <c r="A303" s="28" t="s">
        <v>2372</v>
      </c>
      <c r="B303" s="28" t="s">
        <v>402</v>
      </c>
      <c r="C303" s="24">
        <f>IF(B303&lt;&gt;"",IFERROR(VLOOKUP(B303,'📦 Productos'!A:C,3,FALSE),IFERROR(VLOOKUP(B303&amp;"",'📦 Productos'!A:C,3,FALSE),IFERROR(VLOOKUP(VALUE(B303),'📦 Productos'!A:C,3,FALSE),""))),"")</f>
      </c>
      <c r="D303" s="28" t="s">
        <v>2373</v>
      </c>
      <c r="E303" s="29" t="s">
        <v>26</v>
      </c>
      <c r="F303" s="30">
        <v>0</v>
      </c>
      <c r="G303" s="31">
        <v>15500</v>
      </c>
      <c r="H303" s="32"/>
      <c r="I303" s="14">
        <f>IF(AND(G303&gt;0,H303&gt;0),ROUND((1-H303/G303)*100,0),0)</f>
        <v>0</v>
      </c>
      <c r="J303" s="33" t="s">
        <v>29</v>
      </c>
      <c r="K303" s="30" t="s">
        <v>1888</v>
      </c>
      <c r="L303" s="29" t="s">
        <v>26</v>
      </c>
    </row>
    <row r="304" ht="20" customHeight="1" spans="1:12" x14ac:dyDescent="0.25">
      <c r="A304" s="7" t="s">
        <v>2374</v>
      </c>
      <c r="B304" s="7" t="s">
        <v>402</v>
      </c>
      <c r="C304" s="24">
        <f>IF(B304&lt;&gt;"",IFERROR(VLOOKUP(B304,'📦 Productos'!A:C,3,FALSE),IFERROR(VLOOKUP(B304&amp;"",'📦 Productos'!A:C,3,FALSE),IFERROR(VLOOKUP(VALUE(B304),'📦 Productos'!A:C,3,FALSE),""))),"")</f>
      </c>
      <c r="D304" s="7" t="s">
        <v>2375</v>
      </c>
      <c r="E304" s="8" t="s">
        <v>26</v>
      </c>
      <c r="F304" s="12">
        <v>0</v>
      </c>
      <c r="G304" s="25">
        <v>15500</v>
      </c>
      <c r="H304" s="26"/>
      <c r="I304" s="14">
        <f>IF(AND(G304&gt;0,H304&gt;0),ROUND((1-H304/G304)*100,0),0)</f>
        <v>0</v>
      </c>
      <c r="J304" s="27" t="s">
        <v>29</v>
      </c>
      <c r="K304" s="12" t="s">
        <v>1888</v>
      </c>
      <c r="L304" s="8" t="s">
        <v>26</v>
      </c>
    </row>
    <row r="305" ht="20" customHeight="1" spans="1:12" x14ac:dyDescent="0.25">
      <c r="A305" s="28" t="s">
        <v>2376</v>
      </c>
      <c r="B305" s="28" t="s">
        <v>405</v>
      </c>
      <c r="C305" s="24">
        <f>IF(B305&lt;&gt;"",IFERROR(VLOOKUP(B305,'📦 Productos'!A:C,3,FALSE),IFERROR(VLOOKUP(B305&amp;"",'📦 Productos'!A:C,3,FALSE),IFERROR(VLOOKUP(VALUE(B305),'📦 Productos'!A:C,3,FALSE),""))),"")</f>
      </c>
      <c r="D305" s="28" t="s">
        <v>406</v>
      </c>
      <c r="E305" s="29" t="s">
        <v>26</v>
      </c>
      <c r="F305" s="30">
        <v>0</v>
      </c>
      <c r="G305" s="31">
        <v>15500</v>
      </c>
      <c r="H305" s="32">
        <v>7750</v>
      </c>
      <c r="I305" s="14">
        <f>IF(AND(G305&gt;0,H305&gt;0),ROUND((1-H305/G305)*100,0),0)</f>
        <v>50</v>
      </c>
      <c r="J305" s="33" t="s">
        <v>29</v>
      </c>
      <c r="K305" s="30" t="s">
        <v>1888</v>
      </c>
      <c r="L305" s="29" t="s">
        <v>26</v>
      </c>
    </row>
    <row r="306" ht="20" customHeight="1" spans="1:12" x14ac:dyDescent="0.25">
      <c r="A306" s="7" t="s">
        <v>2377</v>
      </c>
      <c r="B306" s="7" t="s">
        <v>408</v>
      </c>
      <c r="C306" s="24">
        <f>IF(B306&lt;&gt;"",IFERROR(VLOOKUP(B306,'📦 Productos'!A:C,3,FALSE),IFERROR(VLOOKUP(B306&amp;"",'📦 Productos'!A:C,3,FALSE),IFERROR(VLOOKUP(VALUE(B306),'📦 Productos'!A:C,3,FALSE),""))),"")</f>
      </c>
      <c r="D306" s="7" t="s">
        <v>409</v>
      </c>
      <c r="E306" s="8" t="s">
        <v>26</v>
      </c>
      <c r="F306" s="12">
        <v>0</v>
      </c>
      <c r="G306" s="25">
        <v>15500</v>
      </c>
      <c r="H306" s="26"/>
      <c r="I306" s="14">
        <f>IF(AND(G306&gt;0,H306&gt;0),ROUND((1-H306/G306)*100,0),0)</f>
        <v>0</v>
      </c>
      <c r="J306" s="27" t="s">
        <v>29</v>
      </c>
      <c r="K306" s="12" t="s">
        <v>1888</v>
      </c>
      <c r="L306" s="8" t="s">
        <v>26</v>
      </c>
    </row>
    <row r="307" ht="20" customHeight="1" spans="1:12" x14ac:dyDescent="0.25">
      <c r="A307" s="28" t="s">
        <v>2378</v>
      </c>
      <c r="B307" s="28" t="s">
        <v>411</v>
      </c>
      <c r="C307" s="24">
        <f>IF(B307&lt;&gt;"",IFERROR(VLOOKUP(B307,'📦 Productos'!A:C,3,FALSE),IFERROR(VLOOKUP(B307&amp;"",'📦 Productos'!A:C,3,FALSE),IFERROR(VLOOKUP(VALUE(B307),'📦 Productos'!A:C,3,FALSE),""))),"")</f>
      </c>
      <c r="D307" s="28" t="s">
        <v>412</v>
      </c>
      <c r="E307" s="29" t="s">
        <v>26</v>
      </c>
      <c r="F307" s="30">
        <v>0</v>
      </c>
      <c r="G307" s="31">
        <v>26400</v>
      </c>
      <c r="H307" s="32">
        <v>17160</v>
      </c>
      <c r="I307" s="14">
        <f>IF(AND(G307&gt;0,H307&gt;0),ROUND((1-H307/G307)*100,0),0)</f>
        <v>35</v>
      </c>
      <c r="J307" s="33" t="s">
        <v>29</v>
      </c>
      <c r="K307" s="30" t="s">
        <v>1888</v>
      </c>
      <c r="L307" s="29" t="s">
        <v>26</v>
      </c>
    </row>
    <row r="308" ht="20" customHeight="1" spans="1:12" x14ac:dyDescent="0.25">
      <c r="A308" s="7" t="s">
        <v>2379</v>
      </c>
      <c r="B308" s="7" t="s">
        <v>411</v>
      </c>
      <c r="C308" s="24">
        <f>IF(B308&lt;&gt;"",IFERROR(VLOOKUP(B308,'📦 Productos'!A:C,3,FALSE),IFERROR(VLOOKUP(B308&amp;"",'📦 Productos'!A:C,3,FALSE),IFERROR(VLOOKUP(VALUE(B308),'📦 Productos'!A:C,3,FALSE),""))),"")</f>
      </c>
      <c r="D308" s="7" t="s">
        <v>2380</v>
      </c>
      <c r="E308" s="8" t="s">
        <v>26</v>
      </c>
      <c r="F308" s="12">
        <v>0</v>
      </c>
      <c r="G308" s="25">
        <v>26400</v>
      </c>
      <c r="H308" s="26">
        <v>17160</v>
      </c>
      <c r="I308" s="14">
        <f>IF(AND(G308&gt;0,H308&gt;0),ROUND((1-H308/G308)*100,0),0)</f>
        <v>35</v>
      </c>
      <c r="J308" s="27" t="s">
        <v>29</v>
      </c>
      <c r="K308" s="12" t="s">
        <v>1888</v>
      </c>
      <c r="L308" s="8" t="s">
        <v>26</v>
      </c>
    </row>
    <row r="309" ht="20" customHeight="1" spans="1:12" x14ac:dyDescent="0.25">
      <c r="A309" s="28" t="s">
        <v>2381</v>
      </c>
      <c r="B309" s="28" t="s">
        <v>411</v>
      </c>
      <c r="C309" s="24">
        <f>IF(B309&lt;&gt;"",IFERROR(VLOOKUP(B309,'📦 Productos'!A:C,3,FALSE),IFERROR(VLOOKUP(B309&amp;"",'📦 Productos'!A:C,3,FALSE),IFERROR(VLOOKUP(VALUE(B309),'📦 Productos'!A:C,3,FALSE),""))),"")</f>
      </c>
      <c r="D309" s="28" t="s">
        <v>2382</v>
      </c>
      <c r="E309" s="29" t="s">
        <v>26</v>
      </c>
      <c r="F309" s="30">
        <v>0</v>
      </c>
      <c r="G309" s="31">
        <v>26400</v>
      </c>
      <c r="H309" s="32">
        <v>17160</v>
      </c>
      <c r="I309" s="14">
        <f>IF(AND(G309&gt;0,H309&gt;0),ROUND((1-H309/G309)*100,0),0)</f>
        <v>35</v>
      </c>
      <c r="J309" s="33" t="s">
        <v>29</v>
      </c>
      <c r="K309" s="30" t="s">
        <v>1888</v>
      </c>
      <c r="L309" s="29" t="s">
        <v>26</v>
      </c>
    </row>
    <row r="310" ht="20" customHeight="1" spans="1:12" x14ac:dyDescent="0.25">
      <c r="A310" s="7" t="s">
        <v>2383</v>
      </c>
      <c r="B310" s="7" t="s">
        <v>415</v>
      </c>
      <c r="C310" s="24">
        <f>IF(B310&lt;&gt;"",IFERROR(VLOOKUP(B310,'📦 Productos'!A:C,3,FALSE),IFERROR(VLOOKUP(B310&amp;"",'📦 Productos'!A:C,3,FALSE),IFERROR(VLOOKUP(VALUE(B310),'📦 Productos'!A:C,3,FALSE),""))),"")</f>
      </c>
      <c r="D310" s="7" t="s">
        <v>416</v>
      </c>
      <c r="E310" s="8" t="s">
        <v>26</v>
      </c>
      <c r="F310" s="12">
        <v>0</v>
      </c>
      <c r="G310" s="25">
        <v>24900</v>
      </c>
      <c r="H310" s="26">
        <v>12450</v>
      </c>
      <c r="I310" s="14">
        <f>IF(AND(G310&gt;0,H310&gt;0),ROUND((1-H310/G310)*100,0),0)</f>
        <v>50</v>
      </c>
      <c r="J310" s="27" t="s">
        <v>29</v>
      </c>
      <c r="K310" s="12" t="s">
        <v>1888</v>
      </c>
      <c r="L310" s="8" t="s">
        <v>26</v>
      </c>
    </row>
    <row r="311" ht="20" customHeight="1" spans="1:12" x14ac:dyDescent="0.25">
      <c r="A311" s="28" t="s">
        <v>2384</v>
      </c>
      <c r="B311" s="28" t="s">
        <v>420</v>
      </c>
      <c r="C311" s="24">
        <f>IF(B311&lt;&gt;"",IFERROR(VLOOKUP(B311,'📦 Productos'!A:C,3,FALSE),IFERROR(VLOOKUP(B311&amp;"",'📦 Productos'!A:C,3,FALSE),IFERROR(VLOOKUP(VALUE(B311),'📦 Productos'!A:C,3,FALSE),""))),"")</f>
      </c>
      <c r="D311" s="28" t="s">
        <v>421</v>
      </c>
      <c r="E311" s="29" t="s">
        <v>26</v>
      </c>
      <c r="F311" s="30">
        <v>0</v>
      </c>
      <c r="G311" s="31">
        <v>32500</v>
      </c>
      <c r="H311" s="32">
        <v>16250</v>
      </c>
      <c r="I311" s="14">
        <f>IF(AND(G311&gt;0,H311&gt;0),ROUND((1-H311/G311)*100,0),0)</f>
        <v>50</v>
      </c>
      <c r="J311" s="33" t="s">
        <v>29</v>
      </c>
      <c r="K311" s="30" t="s">
        <v>1888</v>
      </c>
      <c r="L311" s="29" t="s">
        <v>26</v>
      </c>
    </row>
    <row r="312" ht="20" customHeight="1" spans="1:12" x14ac:dyDescent="0.25">
      <c r="A312" s="7" t="s">
        <v>2385</v>
      </c>
      <c r="B312" s="7" t="s">
        <v>420</v>
      </c>
      <c r="C312" s="24">
        <f>IF(B312&lt;&gt;"",IFERROR(VLOOKUP(B312,'📦 Productos'!A:C,3,FALSE),IFERROR(VLOOKUP(B312&amp;"",'📦 Productos'!A:C,3,FALSE),IFERROR(VLOOKUP(VALUE(B312),'📦 Productos'!A:C,3,FALSE),""))),"")</f>
      </c>
      <c r="D312" s="7" t="s">
        <v>2386</v>
      </c>
      <c r="E312" s="8" t="s">
        <v>26</v>
      </c>
      <c r="F312" s="12">
        <v>0</v>
      </c>
      <c r="G312" s="25">
        <v>32500</v>
      </c>
      <c r="H312" s="26">
        <v>21125</v>
      </c>
      <c r="I312" s="14">
        <f>IF(AND(G312&gt;0,H312&gt;0),ROUND((1-H312/G312)*100,0),0)</f>
        <v>35</v>
      </c>
      <c r="J312" s="27" t="s">
        <v>29</v>
      </c>
      <c r="K312" s="12" t="s">
        <v>1888</v>
      </c>
      <c r="L312" s="8" t="s">
        <v>26</v>
      </c>
    </row>
    <row r="313" ht="20" customHeight="1" spans="1:12" x14ac:dyDescent="0.25">
      <c r="A313" s="28" t="s">
        <v>2387</v>
      </c>
      <c r="B313" s="28" t="s">
        <v>420</v>
      </c>
      <c r="C313" s="24">
        <f>IF(B313&lt;&gt;"",IFERROR(VLOOKUP(B313,'📦 Productos'!A:C,3,FALSE),IFERROR(VLOOKUP(B313&amp;"",'📦 Productos'!A:C,3,FALSE),IFERROR(VLOOKUP(VALUE(B313),'📦 Productos'!A:C,3,FALSE),""))),"")</f>
      </c>
      <c r="D313" s="28" t="s">
        <v>2388</v>
      </c>
      <c r="E313" s="29" t="s">
        <v>26</v>
      </c>
      <c r="F313" s="30">
        <v>0</v>
      </c>
      <c r="G313" s="31">
        <v>32500</v>
      </c>
      <c r="H313" s="32">
        <v>21125</v>
      </c>
      <c r="I313" s="14">
        <f>IF(AND(G313&gt;0,H313&gt;0),ROUND((1-H313/G313)*100,0),0)</f>
        <v>35</v>
      </c>
      <c r="J313" s="33" t="s">
        <v>29</v>
      </c>
      <c r="K313" s="30" t="s">
        <v>1888</v>
      </c>
      <c r="L313" s="29" t="s">
        <v>26</v>
      </c>
    </row>
    <row r="314" ht="20" customHeight="1" spans="1:12" x14ac:dyDescent="0.25">
      <c r="A314" s="7" t="s">
        <v>2389</v>
      </c>
      <c r="B314" s="7" t="s">
        <v>420</v>
      </c>
      <c r="C314" s="24">
        <f>IF(B314&lt;&gt;"",IFERROR(VLOOKUP(B314,'📦 Productos'!A:C,3,FALSE),IFERROR(VLOOKUP(B314&amp;"",'📦 Productos'!A:C,3,FALSE),IFERROR(VLOOKUP(VALUE(B314),'📦 Productos'!A:C,3,FALSE),""))),"")</f>
      </c>
      <c r="D314" s="7" t="s">
        <v>2390</v>
      </c>
      <c r="E314" s="8" t="s">
        <v>26</v>
      </c>
      <c r="F314" s="12">
        <v>0</v>
      </c>
      <c r="G314" s="25">
        <v>32500</v>
      </c>
      <c r="H314" s="26">
        <v>16250</v>
      </c>
      <c r="I314" s="14">
        <f>IF(AND(G314&gt;0,H314&gt;0),ROUND((1-H314/G314)*100,0),0)</f>
        <v>50</v>
      </c>
      <c r="J314" s="27" t="s">
        <v>29</v>
      </c>
      <c r="K314" s="12" t="s">
        <v>1888</v>
      </c>
      <c r="L314" s="8" t="s">
        <v>26</v>
      </c>
    </row>
    <row r="315" ht="20" customHeight="1" spans="1:12" x14ac:dyDescent="0.25">
      <c r="A315" s="28" t="s">
        <v>2391</v>
      </c>
      <c r="B315" s="28" t="s">
        <v>420</v>
      </c>
      <c r="C315" s="24">
        <f>IF(B315&lt;&gt;"",IFERROR(VLOOKUP(B315,'📦 Productos'!A:C,3,FALSE),IFERROR(VLOOKUP(B315&amp;"",'📦 Productos'!A:C,3,FALSE),IFERROR(VLOOKUP(VALUE(B315),'📦 Productos'!A:C,3,FALSE),""))),"")</f>
      </c>
      <c r="D315" s="28" t="s">
        <v>2392</v>
      </c>
      <c r="E315" s="29" t="s">
        <v>26</v>
      </c>
      <c r="F315" s="30">
        <v>0</v>
      </c>
      <c r="G315" s="31">
        <v>32500</v>
      </c>
      <c r="H315" s="32">
        <v>16250</v>
      </c>
      <c r="I315" s="14">
        <f>IF(AND(G315&gt;0,H315&gt;0),ROUND((1-H315/G315)*100,0),0)</f>
        <v>50</v>
      </c>
      <c r="J315" s="33" t="s">
        <v>29</v>
      </c>
      <c r="K315" s="30" t="s">
        <v>1888</v>
      </c>
      <c r="L315" s="29" t="s">
        <v>26</v>
      </c>
    </row>
    <row r="316" ht="20" customHeight="1" spans="1:12" x14ac:dyDescent="0.25">
      <c r="A316" s="7" t="s">
        <v>2393</v>
      </c>
      <c r="B316" s="7" t="s">
        <v>420</v>
      </c>
      <c r="C316" s="24">
        <f>IF(B316&lt;&gt;"",IFERROR(VLOOKUP(B316,'📦 Productos'!A:C,3,FALSE),IFERROR(VLOOKUP(B316&amp;"",'📦 Productos'!A:C,3,FALSE),IFERROR(VLOOKUP(VALUE(B316),'📦 Productos'!A:C,3,FALSE),""))),"")</f>
      </c>
      <c r="D316" s="7" t="s">
        <v>2394</v>
      </c>
      <c r="E316" s="8" t="s">
        <v>26</v>
      </c>
      <c r="F316" s="12">
        <v>0</v>
      </c>
      <c r="G316" s="25">
        <v>32500</v>
      </c>
      <c r="H316" s="26">
        <v>21125</v>
      </c>
      <c r="I316" s="14">
        <f>IF(AND(G316&gt;0,H316&gt;0),ROUND((1-H316/G316)*100,0),0)</f>
        <v>35</v>
      </c>
      <c r="J316" s="27" t="s">
        <v>29</v>
      </c>
      <c r="K316" s="12" t="s">
        <v>1888</v>
      </c>
      <c r="L316" s="8" t="s">
        <v>26</v>
      </c>
    </row>
    <row r="317" ht="20" customHeight="1" spans="1:12" x14ac:dyDescent="0.25">
      <c r="A317" s="28" t="s">
        <v>2395</v>
      </c>
      <c r="B317" s="28" t="s">
        <v>424</v>
      </c>
      <c r="C317" s="24">
        <f>IF(B317&lt;&gt;"",IFERROR(VLOOKUP(B317,'📦 Productos'!A:C,3,FALSE),IFERROR(VLOOKUP(B317&amp;"",'📦 Productos'!A:C,3,FALSE),IFERROR(VLOOKUP(VALUE(B317),'📦 Productos'!A:C,3,FALSE),""))),"")</f>
      </c>
      <c r="D317" s="28" t="s">
        <v>425</v>
      </c>
      <c r="E317" s="29" t="s">
        <v>26</v>
      </c>
      <c r="F317" s="30">
        <v>0</v>
      </c>
      <c r="G317" s="31">
        <v>27900</v>
      </c>
      <c r="H317" s="32">
        <v>18135</v>
      </c>
      <c r="I317" s="14">
        <f>IF(AND(G317&gt;0,H317&gt;0),ROUND((1-H317/G317)*100,0),0)</f>
        <v>35</v>
      </c>
      <c r="J317" s="33" t="s">
        <v>29</v>
      </c>
      <c r="K317" s="30" t="s">
        <v>1888</v>
      </c>
      <c r="L317" s="29" t="s">
        <v>26</v>
      </c>
    </row>
    <row r="318" ht="20" customHeight="1" spans="1:12" x14ac:dyDescent="0.25">
      <c r="A318" s="7" t="s">
        <v>2396</v>
      </c>
      <c r="B318" s="7" t="s">
        <v>424</v>
      </c>
      <c r="C318" s="24">
        <f>IF(B318&lt;&gt;"",IFERROR(VLOOKUP(B318,'📦 Productos'!A:C,3,FALSE),IFERROR(VLOOKUP(B318&amp;"",'📦 Productos'!A:C,3,FALSE),IFERROR(VLOOKUP(VALUE(B318),'📦 Productos'!A:C,3,FALSE),""))),"")</f>
      </c>
      <c r="D318" s="7" t="s">
        <v>2397</v>
      </c>
      <c r="E318" s="8" t="s">
        <v>26</v>
      </c>
      <c r="F318" s="12">
        <v>0</v>
      </c>
      <c r="G318" s="25">
        <v>27900</v>
      </c>
      <c r="H318" s="26">
        <v>18135</v>
      </c>
      <c r="I318" s="14">
        <f>IF(AND(G318&gt;0,H318&gt;0),ROUND((1-H318/G318)*100,0),0)</f>
        <v>35</v>
      </c>
      <c r="J318" s="27" t="s">
        <v>29</v>
      </c>
      <c r="K318" s="12" t="s">
        <v>1888</v>
      </c>
      <c r="L318" s="8" t="s">
        <v>26</v>
      </c>
    </row>
    <row r="319" ht="20" customHeight="1" spans="1:12" x14ac:dyDescent="0.25">
      <c r="A319" s="28" t="s">
        <v>2398</v>
      </c>
      <c r="B319" s="28" t="s">
        <v>424</v>
      </c>
      <c r="C319" s="24">
        <f>IF(B319&lt;&gt;"",IFERROR(VLOOKUP(B319,'📦 Productos'!A:C,3,FALSE),IFERROR(VLOOKUP(B319&amp;"",'📦 Productos'!A:C,3,FALSE),IFERROR(VLOOKUP(VALUE(B319),'📦 Productos'!A:C,3,FALSE),""))),"")</f>
      </c>
      <c r="D319" s="28" t="s">
        <v>2399</v>
      </c>
      <c r="E319" s="29" t="s">
        <v>26</v>
      </c>
      <c r="F319" s="30">
        <v>0</v>
      </c>
      <c r="G319" s="31">
        <v>27900</v>
      </c>
      <c r="H319" s="32">
        <v>18135</v>
      </c>
      <c r="I319" s="14">
        <f>IF(AND(G319&gt;0,H319&gt;0),ROUND((1-H319/G319)*100,0),0)</f>
        <v>35</v>
      </c>
      <c r="J319" s="33" t="s">
        <v>29</v>
      </c>
      <c r="K319" s="30" t="s">
        <v>1888</v>
      </c>
      <c r="L319" s="29" t="s">
        <v>26</v>
      </c>
    </row>
    <row r="320" ht="20" customHeight="1" spans="1:12" x14ac:dyDescent="0.25">
      <c r="A320" s="7" t="s">
        <v>2400</v>
      </c>
      <c r="B320" s="7" t="s">
        <v>424</v>
      </c>
      <c r="C320" s="24">
        <f>IF(B320&lt;&gt;"",IFERROR(VLOOKUP(B320,'📦 Productos'!A:C,3,FALSE),IFERROR(VLOOKUP(B320&amp;"",'📦 Productos'!A:C,3,FALSE),IFERROR(VLOOKUP(VALUE(B320),'📦 Productos'!A:C,3,FALSE),""))),"")</f>
      </c>
      <c r="D320" s="7" t="s">
        <v>2401</v>
      </c>
      <c r="E320" s="8" t="s">
        <v>26</v>
      </c>
      <c r="F320" s="12">
        <v>0</v>
      </c>
      <c r="G320" s="25">
        <v>27900</v>
      </c>
      <c r="H320" s="26">
        <v>18135</v>
      </c>
      <c r="I320" s="14">
        <f>IF(AND(G320&gt;0,H320&gt;0),ROUND((1-H320/G320)*100,0),0)</f>
        <v>35</v>
      </c>
      <c r="J320" s="27" t="s">
        <v>29</v>
      </c>
      <c r="K320" s="12" t="s">
        <v>1888</v>
      </c>
      <c r="L320" s="8" t="s">
        <v>26</v>
      </c>
    </row>
    <row r="321" ht="20" customHeight="1" spans="1:12" x14ac:dyDescent="0.25">
      <c r="A321" s="28" t="s">
        <v>2402</v>
      </c>
      <c r="B321" s="28" t="s">
        <v>424</v>
      </c>
      <c r="C321" s="24">
        <f>IF(B321&lt;&gt;"",IFERROR(VLOOKUP(B321,'📦 Productos'!A:C,3,FALSE),IFERROR(VLOOKUP(B321&amp;"",'📦 Productos'!A:C,3,FALSE),IFERROR(VLOOKUP(VALUE(B321),'📦 Productos'!A:C,3,FALSE),""))),"")</f>
      </c>
      <c r="D321" s="28" t="s">
        <v>2403</v>
      </c>
      <c r="E321" s="29" t="s">
        <v>26</v>
      </c>
      <c r="F321" s="30">
        <v>0</v>
      </c>
      <c r="G321" s="31">
        <v>27900</v>
      </c>
      <c r="H321" s="32">
        <v>18135</v>
      </c>
      <c r="I321" s="14">
        <f>IF(AND(G321&gt;0,H321&gt;0),ROUND((1-H321/G321)*100,0),0)</f>
        <v>35</v>
      </c>
      <c r="J321" s="33" t="s">
        <v>29</v>
      </c>
      <c r="K321" s="30" t="s">
        <v>1888</v>
      </c>
      <c r="L321" s="29" t="s">
        <v>26</v>
      </c>
    </row>
    <row r="322" ht="20" customHeight="1" spans="1:12" x14ac:dyDescent="0.25">
      <c r="A322" s="7" t="s">
        <v>2404</v>
      </c>
      <c r="B322" s="7" t="s">
        <v>428</v>
      </c>
      <c r="C322" s="24">
        <f>IF(B322&lt;&gt;"",IFERROR(VLOOKUP(B322,'📦 Productos'!A:C,3,FALSE),IFERROR(VLOOKUP(B322&amp;"",'📦 Productos'!A:C,3,FALSE),IFERROR(VLOOKUP(VALUE(B322),'📦 Productos'!A:C,3,FALSE),""))),"")</f>
      </c>
      <c r="D322" s="7" t="s">
        <v>429</v>
      </c>
      <c r="E322" s="8" t="s">
        <v>26</v>
      </c>
      <c r="F322" s="12">
        <v>0</v>
      </c>
      <c r="G322" s="25">
        <v>31500</v>
      </c>
      <c r="H322" s="26">
        <v>20475</v>
      </c>
      <c r="I322" s="14">
        <f>IF(AND(G322&gt;0,H322&gt;0),ROUND((1-H322/G322)*100,0),0)</f>
        <v>35</v>
      </c>
      <c r="J322" s="27" t="s">
        <v>29</v>
      </c>
      <c r="K322" s="12" t="s">
        <v>1888</v>
      </c>
      <c r="L322" s="8" t="s">
        <v>26</v>
      </c>
    </row>
    <row r="323" ht="20" customHeight="1" spans="1:12" x14ac:dyDescent="0.25">
      <c r="A323" s="28" t="s">
        <v>2405</v>
      </c>
      <c r="B323" s="28" t="s">
        <v>428</v>
      </c>
      <c r="C323" s="24">
        <f>IF(B323&lt;&gt;"",IFERROR(VLOOKUP(B323,'📦 Productos'!A:C,3,FALSE),IFERROR(VLOOKUP(B323&amp;"",'📦 Productos'!A:C,3,FALSE),IFERROR(VLOOKUP(VALUE(B323),'📦 Productos'!A:C,3,FALSE),""))),"")</f>
      </c>
      <c r="D323" s="28" t="s">
        <v>2406</v>
      </c>
      <c r="E323" s="29" t="s">
        <v>26</v>
      </c>
      <c r="F323" s="30">
        <v>0</v>
      </c>
      <c r="G323" s="31">
        <v>31500</v>
      </c>
      <c r="H323" s="32">
        <v>20475</v>
      </c>
      <c r="I323" s="14">
        <f>IF(AND(G323&gt;0,H323&gt;0),ROUND((1-H323/G323)*100,0),0)</f>
        <v>35</v>
      </c>
      <c r="J323" s="33" t="s">
        <v>29</v>
      </c>
      <c r="K323" s="30" t="s">
        <v>1888</v>
      </c>
      <c r="L323" s="29" t="s">
        <v>26</v>
      </c>
    </row>
    <row r="324" ht="20" customHeight="1" spans="1:12" x14ac:dyDescent="0.25">
      <c r="A324" s="7" t="s">
        <v>2407</v>
      </c>
      <c r="B324" s="7" t="s">
        <v>428</v>
      </c>
      <c r="C324" s="24">
        <f>IF(B324&lt;&gt;"",IFERROR(VLOOKUP(B324,'📦 Productos'!A:C,3,FALSE),IFERROR(VLOOKUP(B324&amp;"",'📦 Productos'!A:C,3,FALSE),IFERROR(VLOOKUP(VALUE(B324),'📦 Productos'!A:C,3,FALSE),""))),"")</f>
      </c>
      <c r="D324" s="7" t="s">
        <v>2408</v>
      </c>
      <c r="E324" s="8" t="s">
        <v>26</v>
      </c>
      <c r="F324" s="12">
        <v>0</v>
      </c>
      <c r="G324" s="25">
        <v>31500</v>
      </c>
      <c r="H324" s="26">
        <v>20475</v>
      </c>
      <c r="I324" s="14">
        <f>IF(AND(G324&gt;0,H324&gt;0),ROUND((1-H324/G324)*100,0),0)</f>
        <v>35</v>
      </c>
      <c r="J324" s="27" t="s">
        <v>29</v>
      </c>
      <c r="K324" s="12" t="s">
        <v>1888</v>
      </c>
      <c r="L324" s="8" t="s">
        <v>26</v>
      </c>
    </row>
    <row r="325" ht="20" customHeight="1" spans="1:12" x14ac:dyDescent="0.25">
      <c r="A325" s="28" t="s">
        <v>2409</v>
      </c>
      <c r="B325" s="28" t="s">
        <v>432</v>
      </c>
      <c r="C325" s="24">
        <f>IF(B325&lt;&gt;"",IFERROR(VLOOKUP(B325,'📦 Productos'!A:C,3,FALSE),IFERROR(VLOOKUP(B325&amp;"",'📦 Productos'!A:C,3,FALSE),IFERROR(VLOOKUP(VALUE(B325),'📦 Productos'!A:C,3,FALSE),""))),"")</f>
      </c>
      <c r="D325" s="28" t="s">
        <v>433</v>
      </c>
      <c r="E325" s="29" t="s">
        <v>26</v>
      </c>
      <c r="F325" s="30">
        <v>0</v>
      </c>
      <c r="G325" s="31">
        <v>28200</v>
      </c>
      <c r="H325" s="32">
        <v>18330</v>
      </c>
      <c r="I325" s="14">
        <f>IF(AND(G325&gt;0,H325&gt;0),ROUND((1-H325/G325)*100,0),0)</f>
        <v>35</v>
      </c>
      <c r="J325" s="33" t="s">
        <v>29</v>
      </c>
      <c r="K325" s="30" t="s">
        <v>1888</v>
      </c>
      <c r="L325" s="29" t="s">
        <v>26</v>
      </c>
    </row>
    <row r="326" ht="20" customHeight="1" spans="1:12" x14ac:dyDescent="0.25">
      <c r="A326" s="7" t="s">
        <v>2410</v>
      </c>
      <c r="B326" s="7" t="s">
        <v>435</v>
      </c>
      <c r="C326" s="24">
        <f>IF(B326&lt;&gt;"",IFERROR(VLOOKUP(B326,'📦 Productos'!A:C,3,FALSE),IFERROR(VLOOKUP(B326&amp;"",'📦 Productos'!A:C,3,FALSE),IFERROR(VLOOKUP(VALUE(B326),'📦 Productos'!A:C,3,FALSE),""))),"")</f>
      </c>
      <c r="D326" s="7" t="s">
        <v>436</v>
      </c>
      <c r="E326" s="8" t="s">
        <v>26</v>
      </c>
      <c r="F326" s="12">
        <v>0</v>
      </c>
      <c r="G326" s="25">
        <v>28200</v>
      </c>
      <c r="H326" s="26"/>
      <c r="I326" s="14">
        <f>IF(AND(G326&gt;0,H326&gt;0),ROUND((1-H326/G326)*100,0),0)</f>
        <v>0</v>
      </c>
      <c r="J326" s="27" t="s">
        <v>29</v>
      </c>
      <c r="K326" s="12" t="s">
        <v>1888</v>
      </c>
      <c r="L326" s="8" t="s">
        <v>26</v>
      </c>
    </row>
    <row r="327" ht="20" customHeight="1" spans="1:12" x14ac:dyDescent="0.25">
      <c r="A327" s="28" t="s">
        <v>2411</v>
      </c>
      <c r="B327" s="28" t="s">
        <v>435</v>
      </c>
      <c r="C327" s="24">
        <f>IF(B327&lt;&gt;"",IFERROR(VLOOKUP(B327,'📦 Productos'!A:C,3,FALSE),IFERROR(VLOOKUP(B327&amp;"",'📦 Productos'!A:C,3,FALSE),IFERROR(VLOOKUP(VALUE(B327),'📦 Productos'!A:C,3,FALSE),""))),"")</f>
      </c>
      <c r="D327" s="28" t="s">
        <v>2412</v>
      </c>
      <c r="E327" s="29" t="s">
        <v>26</v>
      </c>
      <c r="F327" s="30">
        <v>0</v>
      </c>
      <c r="G327" s="31">
        <v>28200</v>
      </c>
      <c r="H327" s="32"/>
      <c r="I327" s="14">
        <f>IF(AND(G327&gt;0,H327&gt;0),ROUND((1-H327/G327)*100,0),0)</f>
        <v>0</v>
      </c>
      <c r="J327" s="33" t="s">
        <v>29</v>
      </c>
      <c r="K327" s="30" t="s">
        <v>1888</v>
      </c>
      <c r="L327" s="29" t="s">
        <v>26</v>
      </c>
    </row>
    <row r="328" ht="20" customHeight="1" spans="1:12" x14ac:dyDescent="0.25">
      <c r="A328" s="7" t="s">
        <v>2413</v>
      </c>
      <c r="B328" s="7" t="s">
        <v>435</v>
      </c>
      <c r="C328" s="24">
        <f>IF(B328&lt;&gt;"",IFERROR(VLOOKUP(B328,'📦 Productos'!A:C,3,FALSE),IFERROR(VLOOKUP(B328&amp;"",'📦 Productos'!A:C,3,FALSE),IFERROR(VLOOKUP(VALUE(B328),'📦 Productos'!A:C,3,FALSE),""))),"")</f>
      </c>
      <c r="D328" s="7" t="s">
        <v>2414</v>
      </c>
      <c r="E328" s="8" t="s">
        <v>26</v>
      </c>
      <c r="F328" s="12">
        <v>0</v>
      </c>
      <c r="G328" s="25">
        <v>28200</v>
      </c>
      <c r="H328" s="26"/>
      <c r="I328" s="14">
        <f>IF(AND(G328&gt;0,H328&gt;0),ROUND((1-H328/G328)*100,0),0)</f>
        <v>0</v>
      </c>
      <c r="J328" s="27" t="s">
        <v>29</v>
      </c>
      <c r="K328" s="12" t="s">
        <v>1888</v>
      </c>
      <c r="L328" s="8" t="s">
        <v>26</v>
      </c>
    </row>
    <row r="329" ht="20" customHeight="1" spans="1:12" x14ac:dyDescent="0.25">
      <c r="A329" s="28" t="s">
        <v>2415</v>
      </c>
      <c r="B329" s="28" t="s">
        <v>435</v>
      </c>
      <c r="C329" s="24">
        <f>IF(B329&lt;&gt;"",IFERROR(VLOOKUP(B329,'📦 Productos'!A:C,3,FALSE),IFERROR(VLOOKUP(B329&amp;"",'📦 Productos'!A:C,3,FALSE),IFERROR(VLOOKUP(VALUE(B329),'📦 Productos'!A:C,3,FALSE),""))),"")</f>
      </c>
      <c r="D329" s="28" t="s">
        <v>2416</v>
      </c>
      <c r="E329" s="29" t="s">
        <v>26</v>
      </c>
      <c r="F329" s="30">
        <v>0</v>
      </c>
      <c r="G329" s="31">
        <v>28200</v>
      </c>
      <c r="H329" s="32"/>
      <c r="I329" s="14">
        <f>IF(AND(G329&gt;0,H329&gt;0),ROUND((1-H329/G329)*100,0),0)</f>
        <v>0</v>
      </c>
      <c r="J329" s="33" t="s">
        <v>29</v>
      </c>
      <c r="K329" s="30" t="s">
        <v>1888</v>
      </c>
      <c r="L329" s="29" t="s">
        <v>26</v>
      </c>
    </row>
    <row r="330" ht="20" customHeight="1" spans="1:12" x14ac:dyDescent="0.25">
      <c r="A330" s="7" t="s">
        <v>2417</v>
      </c>
      <c r="B330" s="7" t="s">
        <v>439</v>
      </c>
      <c r="C330" s="24">
        <f>IF(B330&lt;&gt;"",IFERROR(VLOOKUP(B330,'📦 Productos'!A:C,3,FALSE),IFERROR(VLOOKUP(B330&amp;"",'📦 Productos'!A:C,3,FALSE),IFERROR(VLOOKUP(VALUE(B330),'📦 Productos'!A:C,3,FALSE),""))),"")</f>
      </c>
      <c r="D330" s="7" t="s">
        <v>26</v>
      </c>
      <c r="E330" s="8" t="s">
        <v>26</v>
      </c>
      <c r="F330" s="12">
        <v>0</v>
      </c>
      <c r="G330" s="25">
        <v>28200</v>
      </c>
      <c r="H330" s="26">
        <v>18330</v>
      </c>
      <c r="I330" s="14">
        <f>IF(AND(G330&gt;0,H330&gt;0),ROUND((1-H330/G330)*100,0),0)</f>
        <v>35</v>
      </c>
      <c r="J330" s="27" t="s">
        <v>29</v>
      </c>
      <c r="K330" s="12" t="s">
        <v>1888</v>
      </c>
      <c r="L330" s="8" t="s">
        <v>26</v>
      </c>
    </row>
    <row r="331" ht="20" customHeight="1" spans="1:12" x14ac:dyDescent="0.25">
      <c r="A331" s="28" t="s">
        <v>2418</v>
      </c>
      <c r="B331" s="28" t="s">
        <v>439</v>
      </c>
      <c r="C331" s="24">
        <f>IF(B331&lt;&gt;"",IFERROR(VLOOKUP(B331,'📦 Productos'!A:C,3,FALSE),IFERROR(VLOOKUP(B331&amp;"",'📦 Productos'!A:C,3,FALSE),IFERROR(VLOOKUP(VALUE(B331),'📦 Productos'!A:C,3,FALSE),""))),"")</f>
      </c>
      <c r="D331" s="28" t="s">
        <v>26</v>
      </c>
      <c r="E331" s="29" t="s">
        <v>26</v>
      </c>
      <c r="F331" s="30">
        <v>0</v>
      </c>
      <c r="G331" s="31">
        <v>28200</v>
      </c>
      <c r="H331" s="32">
        <v>18330</v>
      </c>
      <c r="I331" s="14">
        <f>IF(AND(G331&gt;0,H331&gt;0),ROUND((1-H331/G331)*100,0),0)</f>
        <v>35</v>
      </c>
      <c r="J331" s="33" t="s">
        <v>29</v>
      </c>
      <c r="K331" s="30" t="s">
        <v>1888</v>
      </c>
      <c r="L331" s="29" t="s">
        <v>26</v>
      </c>
    </row>
    <row r="332" ht="20" customHeight="1" spans="1:12" x14ac:dyDescent="0.25">
      <c r="A332" s="7" t="s">
        <v>2419</v>
      </c>
      <c r="B332" s="7" t="s">
        <v>439</v>
      </c>
      <c r="C332" s="24">
        <f>IF(B332&lt;&gt;"",IFERROR(VLOOKUP(B332,'📦 Productos'!A:C,3,FALSE),IFERROR(VLOOKUP(B332&amp;"",'📦 Productos'!A:C,3,FALSE),IFERROR(VLOOKUP(VALUE(B332),'📦 Productos'!A:C,3,FALSE),""))),"")</f>
      </c>
      <c r="D332" s="7" t="s">
        <v>26</v>
      </c>
      <c r="E332" s="8" t="s">
        <v>26</v>
      </c>
      <c r="F332" s="12">
        <v>0</v>
      </c>
      <c r="G332" s="25">
        <v>28200</v>
      </c>
      <c r="H332" s="26">
        <v>18330</v>
      </c>
      <c r="I332" s="14">
        <f>IF(AND(G332&gt;0,H332&gt;0),ROUND((1-H332/G332)*100,0),0)</f>
        <v>35</v>
      </c>
      <c r="J332" s="27" t="s">
        <v>29</v>
      </c>
      <c r="K332" s="12" t="s">
        <v>1888</v>
      </c>
      <c r="L332" s="8" t="s">
        <v>26</v>
      </c>
    </row>
    <row r="333" ht="20" customHeight="1" spans="1:12" x14ac:dyDescent="0.25">
      <c r="A333" s="28" t="s">
        <v>2420</v>
      </c>
      <c r="B333" s="28" t="s">
        <v>439</v>
      </c>
      <c r="C333" s="24">
        <f>IF(B333&lt;&gt;"",IFERROR(VLOOKUP(B333,'📦 Productos'!A:C,3,FALSE),IFERROR(VLOOKUP(B333&amp;"",'📦 Productos'!A:C,3,FALSE),IFERROR(VLOOKUP(VALUE(B333),'📦 Productos'!A:C,3,FALSE),""))),"")</f>
      </c>
      <c r="D333" s="28" t="s">
        <v>26</v>
      </c>
      <c r="E333" s="29" t="s">
        <v>26</v>
      </c>
      <c r="F333" s="30">
        <v>0</v>
      </c>
      <c r="G333" s="31">
        <v>28200</v>
      </c>
      <c r="H333" s="32">
        <v>18330</v>
      </c>
      <c r="I333" s="14">
        <f>IF(AND(G333&gt;0,H333&gt;0),ROUND((1-H333/G333)*100,0),0)</f>
        <v>35</v>
      </c>
      <c r="J333" s="33" t="s">
        <v>29</v>
      </c>
      <c r="K333" s="30" t="s">
        <v>1888</v>
      </c>
      <c r="L333" s="29" t="s">
        <v>26</v>
      </c>
    </row>
    <row r="334" ht="20" customHeight="1" spans="1:12" x14ac:dyDescent="0.25">
      <c r="A334" s="7" t="s">
        <v>2421</v>
      </c>
      <c r="B334" s="7" t="s">
        <v>441</v>
      </c>
      <c r="C334" s="24">
        <f>IF(B334&lt;&gt;"",IFERROR(VLOOKUP(B334,'📦 Productos'!A:C,3,FALSE),IFERROR(VLOOKUP(B334&amp;"",'📦 Productos'!A:C,3,FALSE),IFERROR(VLOOKUP(VALUE(B334),'📦 Productos'!A:C,3,FALSE),""))),"")</f>
      </c>
      <c r="D334" s="7" t="s">
        <v>26</v>
      </c>
      <c r="E334" s="8" t="s">
        <v>26</v>
      </c>
      <c r="F334" s="12">
        <v>0</v>
      </c>
      <c r="G334" s="25">
        <v>42900</v>
      </c>
      <c r="H334" s="26">
        <v>27885</v>
      </c>
      <c r="I334" s="14">
        <f>IF(AND(G334&gt;0,H334&gt;0),ROUND((1-H334/G334)*100,0),0)</f>
        <v>35</v>
      </c>
      <c r="J334" s="27" t="s">
        <v>29</v>
      </c>
      <c r="K334" s="12" t="s">
        <v>1888</v>
      </c>
      <c r="L334" s="8" t="s">
        <v>26</v>
      </c>
    </row>
    <row r="335" ht="20" customHeight="1" spans="1:12" x14ac:dyDescent="0.25">
      <c r="A335" s="28" t="s">
        <v>2422</v>
      </c>
      <c r="B335" s="28" t="s">
        <v>441</v>
      </c>
      <c r="C335" s="24">
        <f>IF(B335&lt;&gt;"",IFERROR(VLOOKUP(B335,'📦 Productos'!A:C,3,FALSE),IFERROR(VLOOKUP(B335&amp;"",'📦 Productos'!A:C,3,FALSE),IFERROR(VLOOKUP(VALUE(B335),'📦 Productos'!A:C,3,FALSE),""))),"")</f>
      </c>
      <c r="D335" s="28" t="s">
        <v>26</v>
      </c>
      <c r="E335" s="29" t="s">
        <v>26</v>
      </c>
      <c r="F335" s="30">
        <v>0</v>
      </c>
      <c r="G335" s="31">
        <v>42900</v>
      </c>
      <c r="H335" s="32">
        <v>27885</v>
      </c>
      <c r="I335" s="14">
        <f>IF(AND(G335&gt;0,H335&gt;0),ROUND((1-H335/G335)*100,0),0)</f>
        <v>35</v>
      </c>
      <c r="J335" s="33" t="s">
        <v>29</v>
      </c>
      <c r="K335" s="30" t="s">
        <v>1888</v>
      </c>
      <c r="L335" s="29" t="s">
        <v>26</v>
      </c>
    </row>
    <row r="336" ht="20" customHeight="1" spans="1:12" x14ac:dyDescent="0.25">
      <c r="A336" s="7" t="s">
        <v>2423</v>
      </c>
      <c r="B336" s="7" t="s">
        <v>443</v>
      </c>
      <c r="C336" s="24">
        <f>IF(B336&lt;&gt;"",IFERROR(VLOOKUP(B336,'📦 Productos'!A:C,3,FALSE),IFERROR(VLOOKUP(B336&amp;"",'📦 Productos'!A:C,3,FALSE),IFERROR(VLOOKUP(VALUE(B336),'📦 Productos'!A:C,3,FALSE),""))),"")</f>
      </c>
      <c r="D336" s="7" t="s">
        <v>444</v>
      </c>
      <c r="E336" s="8" t="s">
        <v>26</v>
      </c>
      <c r="F336" s="12">
        <v>0</v>
      </c>
      <c r="G336" s="25">
        <v>42900</v>
      </c>
      <c r="H336" s="26">
        <v>21450</v>
      </c>
      <c r="I336" s="14">
        <f>IF(AND(G336&gt;0,H336&gt;0),ROUND((1-H336/G336)*100,0),0)</f>
        <v>50</v>
      </c>
      <c r="J336" s="27" t="s">
        <v>29</v>
      </c>
      <c r="K336" s="12" t="s">
        <v>1888</v>
      </c>
      <c r="L336" s="8" t="s">
        <v>26</v>
      </c>
    </row>
    <row r="337" ht="20" customHeight="1" spans="1:12" x14ac:dyDescent="0.25">
      <c r="A337" s="28" t="s">
        <v>2424</v>
      </c>
      <c r="B337" s="28" t="s">
        <v>443</v>
      </c>
      <c r="C337" s="24">
        <f>IF(B337&lt;&gt;"",IFERROR(VLOOKUP(B337,'📦 Productos'!A:C,3,FALSE),IFERROR(VLOOKUP(B337&amp;"",'📦 Productos'!A:C,3,FALSE),IFERROR(VLOOKUP(VALUE(B337),'📦 Productos'!A:C,3,FALSE),""))),"")</f>
      </c>
      <c r="D337" s="28" t="s">
        <v>2425</v>
      </c>
      <c r="E337" s="29" t="s">
        <v>26</v>
      </c>
      <c r="F337" s="30">
        <v>0</v>
      </c>
      <c r="G337" s="31">
        <v>42900</v>
      </c>
      <c r="H337" s="32">
        <v>21450</v>
      </c>
      <c r="I337" s="14">
        <f>IF(AND(G337&gt;0,H337&gt;0),ROUND((1-H337/G337)*100,0),0)</f>
        <v>50</v>
      </c>
      <c r="J337" s="33" t="s">
        <v>29</v>
      </c>
      <c r="K337" s="30" t="s">
        <v>1888</v>
      </c>
      <c r="L337" s="29" t="s">
        <v>26</v>
      </c>
    </row>
    <row r="338" ht="20" customHeight="1" spans="1:12" x14ac:dyDescent="0.25">
      <c r="A338" s="7" t="s">
        <v>2426</v>
      </c>
      <c r="B338" s="7" t="s">
        <v>443</v>
      </c>
      <c r="C338" s="24">
        <f>IF(B338&lt;&gt;"",IFERROR(VLOOKUP(B338,'📦 Productos'!A:C,3,FALSE),IFERROR(VLOOKUP(B338&amp;"",'📦 Productos'!A:C,3,FALSE),IFERROR(VLOOKUP(VALUE(B338),'📦 Productos'!A:C,3,FALSE),""))),"")</f>
      </c>
      <c r="D338" s="7" t="s">
        <v>2427</v>
      </c>
      <c r="E338" s="8" t="s">
        <v>26</v>
      </c>
      <c r="F338" s="12">
        <v>0</v>
      </c>
      <c r="G338" s="25">
        <v>42900</v>
      </c>
      <c r="H338" s="26">
        <v>21450</v>
      </c>
      <c r="I338" s="14">
        <f>IF(AND(G338&gt;0,H338&gt;0),ROUND((1-H338/G338)*100,0),0)</f>
        <v>50</v>
      </c>
      <c r="J338" s="27" t="s">
        <v>29</v>
      </c>
      <c r="K338" s="12" t="s">
        <v>1888</v>
      </c>
      <c r="L338" s="8" t="s">
        <v>26</v>
      </c>
    </row>
    <row r="339" ht="20" customHeight="1" spans="1:12" x14ac:dyDescent="0.25">
      <c r="A339" s="28" t="s">
        <v>2428</v>
      </c>
      <c r="B339" s="28" t="s">
        <v>443</v>
      </c>
      <c r="C339" s="24">
        <f>IF(B339&lt;&gt;"",IFERROR(VLOOKUP(B339,'📦 Productos'!A:C,3,FALSE),IFERROR(VLOOKUP(B339&amp;"",'📦 Productos'!A:C,3,FALSE),IFERROR(VLOOKUP(VALUE(B339),'📦 Productos'!A:C,3,FALSE),""))),"")</f>
      </c>
      <c r="D339" s="28" t="s">
        <v>2429</v>
      </c>
      <c r="E339" s="29" t="s">
        <v>26</v>
      </c>
      <c r="F339" s="30">
        <v>0</v>
      </c>
      <c r="G339" s="31">
        <v>42900</v>
      </c>
      <c r="H339" s="32">
        <v>21450</v>
      </c>
      <c r="I339" s="14">
        <f>IF(AND(G339&gt;0,H339&gt;0),ROUND((1-H339/G339)*100,0),0)</f>
        <v>50</v>
      </c>
      <c r="J339" s="33" t="s">
        <v>29</v>
      </c>
      <c r="K339" s="30" t="s">
        <v>1888</v>
      </c>
      <c r="L339" s="29" t="s">
        <v>26</v>
      </c>
    </row>
    <row r="340" ht="20" customHeight="1" spans="1:12" x14ac:dyDescent="0.25">
      <c r="A340" s="7" t="s">
        <v>2430</v>
      </c>
      <c r="B340" s="7" t="s">
        <v>443</v>
      </c>
      <c r="C340" s="24">
        <f>IF(B340&lt;&gt;"",IFERROR(VLOOKUP(B340,'📦 Productos'!A:C,3,FALSE),IFERROR(VLOOKUP(B340&amp;"",'📦 Productos'!A:C,3,FALSE),IFERROR(VLOOKUP(VALUE(B340),'📦 Productos'!A:C,3,FALSE),""))),"")</f>
      </c>
      <c r="D340" s="7" t="s">
        <v>2431</v>
      </c>
      <c r="E340" s="8" t="s">
        <v>26</v>
      </c>
      <c r="F340" s="12">
        <v>0</v>
      </c>
      <c r="G340" s="25">
        <v>42900</v>
      </c>
      <c r="H340" s="26">
        <v>21450</v>
      </c>
      <c r="I340" s="14">
        <f>IF(AND(G340&gt;0,H340&gt;0),ROUND((1-H340/G340)*100,0),0)</f>
        <v>50</v>
      </c>
      <c r="J340" s="27" t="s">
        <v>29</v>
      </c>
      <c r="K340" s="12" t="s">
        <v>1888</v>
      </c>
      <c r="L340" s="8" t="s">
        <v>26</v>
      </c>
    </row>
    <row r="341" ht="20" customHeight="1" spans="1:12" x14ac:dyDescent="0.25">
      <c r="A341" s="28" t="s">
        <v>2432</v>
      </c>
      <c r="B341" s="28" t="s">
        <v>447</v>
      </c>
      <c r="C341" s="24">
        <f>IF(B341&lt;&gt;"",IFERROR(VLOOKUP(B341,'📦 Productos'!A:C,3,FALSE),IFERROR(VLOOKUP(B341&amp;"",'📦 Productos'!A:C,3,FALSE),IFERROR(VLOOKUP(VALUE(B341),'📦 Productos'!A:C,3,FALSE),""))),"")</f>
      </c>
      <c r="D341" s="28" t="s">
        <v>448</v>
      </c>
      <c r="E341" s="29" t="s">
        <v>26</v>
      </c>
      <c r="F341" s="30">
        <v>0</v>
      </c>
      <c r="G341" s="31">
        <v>31500</v>
      </c>
      <c r="H341" s="32">
        <v>15750</v>
      </c>
      <c r="I341" s="14">
        <f>IF(AND(G341&gt;0,H341&gt;0),ROUND((1-H341/G341)*100,0),0)</f>
        <v>50</v>
      </c>
      <c r="J341" s="33" t="s">
        <v>29</v>
      </c>
      <c r="K341" s="30" t="s">
        <v>1888</v>
      </c>
      <c r="L341" s="29" t="s">
        <v>26</v>
      </c>
    </row>
    <row r="342" ht="20" customHeight="1" spans="1:12" x14ac:dyDescent="0.25">
      <c r="A342" s="7" t="s">
        <v>2433</v>
      </c>
      <c r="B342" s="7" t="s">
        <v>447</v>
      </c>
      <c r="C342" s="24">
        <f>IF(B342&lt;&gt;"",IFERROR(VLOOKUP(B342,'📦 Productos'!A:C,3,FALSE),IFERROR(VLOOKUP(B342&amp;"",'📦 Productos'!A:C,3,FALSE),IFERROR(VLOOKUP(VALUE(B342),'📦 Productos'!A:C,3,FALSE),""))),"")</f>
      </c>
      <c r="D342" s="7" t="s">
        <v>2434</v>
      </c>
      <c r="E342" s="8" t="s">
        <v>26</v>
      </c>
      <c r="F342" s="12">
        <v>0</v>
      </c>
      <c r="G342" s="25">
        <v>31500</v>
      </c>
      <c r="H342" s="26">
        <v>15750</v>
      </c>
      <c r="I342" s="14">
        <f>IF(AND(G342&gt;0,H342&gt;0),ROUND((1-H342/G342)*100,0),0)</f>
        <v>50</v>
      </c>
      <c r="J342" s="27" t="s">
        <v>29</v>
      </c>
      <c r="K342" s="12" t="s">
        <v>1888</v>
      </c>
      <c r="L342" s="8" t="s">
        <v>26</v>
      </c>
    </row>
    <row r="343" ht="20" customHeight="1" spans="1:12" x14ac:dyDescent="0.25">
      <c r="A343" s="28" t="s">
        <v>2435</v>
      </c>
      <c r="B343" s="28" t="s">
        <v>447</v>
      </c>
      <c r="C343" s="24">
        <f>IF(B343&lt;&gt;"",IFERROR(VLOOKUP(B343,'📦 Productos'!A:C,3,FALSE),IFERROR(VLOOKUP(B343&amp;"",'📦 Productos'!A:C,3,FALSE),IFERROR(VLOOKUP(VALUE(B343),'📦 Productos'!A:C,3,FALSE),""))),"")</f>
      </c>
      <c r="D343" s="28" t="s">
        <v>2436</v>
      </c>
      <c r="E343" s="29" t="s">
        <v>26</v>
      </c>
      <c r="F343" s="30">
        <v>0</v>
      </c>
      <c r="G343" s="31">
        <v>31500</v>
      </c>
      <c r="H343" s="32">
        <v>15750</v>
      </c>
      <c r="I343" s="14">
        <f>IF(AND(G343&gt;0,H343&gt;0),ROUND((1-H343/G343)*100,0),0)</f>
        <v>50</v>
      </c>
      <c r="J343" s="33" t="s">
        <v>29</v>
      </c>
      <c r="K343" s="30" t="s">
        <v>1888</v>
      </c>
      <c r="L343" s="29" t="s">
        <v>26</v>
      </c>
    </row>
    <row r="344" ht="20" customHeight="1" spans="1:12" x14ac:dyDescent="0.25">
      <c r="A344" s="7" t="s">
        <v>2437</v>
      </c>
      <c r="B344" s="7" t="s">
        <v>451</v>
      </c>
      <c r="C344" s="24">
        <f>IF(B344&lt;&gt;"",IFERROR(VLOOKUP(B344,'📦 Productos'!A:C,3,FALSE),IFERROR(VLOOKUP(B344&amp;"",'📦 Productos'!A:C,3,FALSE),IFERROR(VLOOKUP(VALUE(B344),'📦 Productos'!A:C,3,FALSE),""))),"")</f>
      </c>
      <c r="D344" s="7" t="s">
        <v>452</v>
      </c>
      <c r="E344" s="8" t="s">
        <v>26</v>
      </c>
      <c r="F344" s="12">
        <v>0</v>
      </c>
      <c r="G344" s="25">
        <v>36300</v>
      </c>
      <c r="H344" s="26">
        <v>23595</v>
      </c>
      <c r="I344" s="14">
        <f>IF(AND(G344&gt;0,H344&gt;0),ROUND((1-H344/G344)*100,0),0)</f>
        <v>35</v>
      </c>
      <c r="J344" s="27" t="s">
        <v>29</v>
      </c>
      <c r="K344" s="12" t="s">
        <v>1888</v>
      </c>
      <c r="L344" s="8" t="s">
        <v>26</v>
      </c>
    </row>
    <row r="345" ht="20" customHeight="1" spans="1:12" x14ac:dyDescent="0.25">
      <c r="A345" s="28" t="s">
        <v>2438</v>
      </c>
      <c r="B345" s="28" t="s">
        <v>455</v>
      </c>
      <c r="C345" s="24">
        <f>IF(B345&lt;&gt;"",IFERROR(VLOOKUP(B345,'📦 Productos'!A:C,3,FALSE),IFERROR(VLOOKUP(B345&amp;"",'📦 Productos'!A:C,3,FALSE),IFERROR(VLOOKUP(VALUE(B345),'📦 Productos'!A:C,3,FALSE),""))),"")</f>
      </c>
      <c r="D345" s="28" t="s">
        <v>26</v>
      </c>
      <c r="E345" s="29" t="s">
        <v>26</v>
      </c>
      <c r="F345" s="30">
        <v>0</v>
      </c>
      <c r="G345" s="31">
        <v>36300</v>
      </c>
      <c r="H345" s="32">
        <v>23595</v>
      </c>
      <c r="I345" s="14">
        <f>IF(AND(G345&gt;0,H345&gt;0),ROUND((1-H345/G345)*100,0),0)</f>
        <v>35</v>
      </c>
      <c r="J345" s="33" t="s">
        <v>29</v>
      </c>
      <c r="K345" s="30" t="s">
        <v>1888</v>
      </c>
      <c r="L345" s="29" t="s">
        <v>26</v>
      </c>
    </row>
    <row r="346" ht="20" customHeight="1" spans="1:12" x14ac:dyDescent="0.25">
      <c r="A346" s="7" t="s">
        <v>2439</v>
      </c>
      <c r="B346" s="7" t="s">
        <v>457</v>
      </c>
      <c r="C346" s="24">
        <f>IF(B346&lt;&gt;"",IFERROR(VLOOKUP(B346,'📦 Productos'!A:C,3,FALSE),IFERROR(VLOOKUP(B346&amp;"",'📦 Productos'!A:C,3,FALSE),IFERROR(VLOOKUP(VALUE(B346),'📦 Productos'!A:C,3,FALSE),""))),"")</f>
      </c>
      <c r="D346" s="7" t="s">
        <v>26</v>
      </c>
      <c r="E346" s="8" t="s">
        <v>26</v>
      </c>
      <c r="F346" s="12">
        <v>0</v>
      </c>
      <c r="G346" s="25">
        <v>36300</v>
      </c>
      <c r="H346" s="26">
        <v>23595</v>
      </c>
      <c r="I346" s="14">
        <f>IF(AND(G346&gt;0,H346&gt;0),ROUND((1-H346/G346)*100,0),0)</f>
        <v>35</v>
      </c>
      <c r="J346" s="27" t="s">
        <v>29</v>
      </c>
      <c r="K346" s="12" t="s">
        <v>1888</v>
      </c>
      <c r="L346" s="8" t="s">
        <v>26</v>
      </c>
    </row>
    <row r="347" ht="20" customHeight="1" spans="1:12" x14ac:dyDescent="0.25">
      <c r="A347" s="28" t="s">
        <v>2440</v>
      </c>
      <c r="B347" s="28" t="s">
        <v>459</v>
      </c>
      <c r="C347" s="24">
        <f>IF(B347&lt;&gt;"",IFERROR(VLOOKUP(B347,'📦 Productos'!A:C,3,FALSE),IFERROR(VLOOKUP(B347&amp;"",'📦 Productos'!A:C,3,FALSE),IFERROR(VLOOKUP(VALUE(B347),'📦 Productos'!A:C,3,FALSE),""))),"")</f>
      </c>
      <c r="D347" s="28" t="s">
        <v>460</v>
      </c>
      <c r="E347" s="29" t="s">
        <v>26</v>
      </c>
      <c r="F347" s="30">
        <v>0</v>
      </c>
      <c r="G347" s="31">
        <v>36300</v>
      </c>
      <c r="H347" s="32">
        <v>23595</v>
      </c>
      <c r="I347" s="14">
        <f>IF(AND(G347&gt;0,H347&gt;0),ROUND((1-H347/G347)*100,0),0)</f>
        <v>35</v>
      </c>
      <c r="J347" s="33" t="s">
        <v>29</v>
      </c>
      <c r="K347" s="30" t="s">
        <v>1888</v>
      </c>
      <c r="L347" s="29" t="s">
        <v>26</v>
      </c>
    </row>
    <row r="348" ht="20" customHeight="1" spans="1:12" x14ac:dyDescent="0.25">
      <c r="A348" s="7" t="s">
        <v>2441</v>
      </c>
      <c r="B348" s="7" t="s">
        <v>463</v>
      </c>
      <c r="C348" s="24">
        <f>IF(B348&lt;&gt;"",IFERROR(VLOOKUP(B348,'📦 Productos'!A:C,3,FALSE),IFERROR(VLOOKUP(B348&amp;"",'📦 Productos'!A:C,3,FALSE),IFERROR(VLOOKUP(VALUE(B348),'📦 Productos'!A:C,3,FALSE),""))),"")</f>
      </c>
      <c r="D348" s="7" t="s">
        <v>464</v>
      </c>
      <c r="E348" s="8" t="s">
        <v>26</v>
      </c>
      <c r="F348" s="12">
        <v>0</v>
      </c>
      <c r="G348" s="25">
        <v>36300</v>
      </c>
      <c r="H348" s="26">
        <v>23595</v>
      </c>
      <c r="I348" s="14">
        <f>IF(AND(G348&gt;0,H348&gt;0),ROUND((1-H348/G348)*100,0),0)</f>
        <v>35</v>
      </c>
      <c r="J348" s="27" t="s">
        <v>29</v>
      </c>
      <c r="K348" s="12" t="s">
        <v>1888</v>
      </c>
      <c r="L348" s="8" t="s">
        <v>26</v>
      </c>
    </row>
    <row r="349" ht="20" customHeight="1" spans="1:12" x14ac:dyDescent="0.25">
      <c r="A349" s="28" t="s">
        <v>2442</v>
      </c>
      <c r="B349" s="28" t="s">
        <v>467</v>
      </c>
      <c r="C349" s="24">
        <f>IF(B349&lt;&gt;"",IFERROR(VLOOKUP(B349,'📦 Productos'!A:C,3,FALSE),IFERROR(VLOOKUP(B349&amp;"",'📦 Productos'!A:C,3,FALSE),IFERROR(VLOOKUP(VALUE(B349),'📦 Productos'!A:C,3,FALSE),""))),"")</f>
      </c>
      <c r="D349" s="28" t="s">
        <v>468</v>
      </c>
      <c r="E349" s="29" t="s">
        <v>26</v>
      </c>
      <c r="F349" s="30">
        <v>0</v>
      </c>
      <c r="G349" s="31">
        <v>42900</v>
      </c>
      <c r="H349" s="32">
        <v>21450</v>
      </c>
      <c r="I349" s="14">
        <f>IF(AND(G349&gt;0,H349&gt;0),ROUND((1-H349/G349)*100,0),0)</f>
        <v>50</v>
      </c>
      <c r="J349" s="33" t="s">
        <v>29</v>
      </c>
      <c r="K349" s="30" t="s">
        <v>1888</v>
      </c>
      <c r="L349" s="29" t="s">
        <v>26</v>
      </c>
    </row>
    <row r="350" ht="20" customHeight="1" spans="1:12" x14ac:dyDescent="0.25">
      <c r="A350" s="7" t="s">
        <v>2443</v>
      </c>
      <c r="B350" s="7" t="s">
        <v>467</v>
      </c>
      <c r="C350" s="24">
        <f>IF(B350&lt;&gt;"",IFERROR(VLOOKUP(B350,'📦 Productos'!A:C,3,FALSE),IFERROR(VLOOKUP(B350&amp;"",'📦 Productos'!A:C,3,FALSE),IFERROR(VLOOKUP(VALUE(B350),'📦 Productos'!A:C,3,FALSE),""))),"")</f>
      </c>
      <c r="D350" s="7" t="s">
        <v>2444</v>
      </c>
      <c r="E350" s="8" t="s">
        <v>26</v>
      </c>
      <c r="F350" s="12">
        <v>0</v>
      </c>
      <c r="G350" s="25">
        <v>42900</v>
      </c>
      <c r="H350" s="26">
        <v>21450</v>
      </c>
      <c r="I350" s="14">
        <f>IF(AND(G350&gt;0,H350&gt;0),ROUND((1-H350/G350)*100,0),0)</f>
        <v>50</v>
      </c>
      <c r="J350" s="27" t="s">
        <v>29</v>
      </c>
      <c r="K350" s="12" t="s">
        <v>1888</v>
      </c>
      <c r="L350" s="8" t="s">
        <v>26</v>
      </c>
    </row>
    <row r="351" ht="20" customHeight="1" spans="1:12" x14ac:dyDescent="0.25">
      <c r="A351" s="28" t="s">
        <v>2445</v>
      </c>
      <c r="B351" s="28" t="s">
        <v>467</v>
      </c>
      <c r="C351" s="24">
        <f>IF(B351&lt;&gt;"",IFERROR(VLOOKUP(B351,'📦 Productos'!A:C,3,FALSE),IFERROR(VLOOKUP(B351&amp;"",'📦 Productos'!A:C,3,FALSE),IFERROR(VLOOKUP(VALUE(B351),'📦 Productos'!A:C,3,FALSE),""))),"")</f>
      </c>
      <c r="D351" s="28" t="s">
        <v>2446</v>
      </c>
      <c r="E351" s="29" t="s">
        <v>26</v>
      </c>
      <c r="F351" s="30">
        <v>0</v>
      </c>
      <c r="G351" s="31">
        <v>42900</v>
      </c>
      <c r="H351" s="32">
        <v>21450</v>
      </c>
      <c r="I351" s="14">
        <f>IF(AND(G351&gt;0,H351&gt;0),ROUND((1-H351/G351)*100,0),0)</f>
        <v>50</v>
      </c>
      <c r="J351" s="33" t="s">
        <v>29</v>
      </c>
      <c r="K351" s="30" t="s">
        <v>1888</v>
      </c>
      <c r="L351" s="29" t="s">
        <v>26</v>
      </c>
    </row>
    <row r="352" ht="20" customHeight="1" spans="1:12" x14ac:dyDescent="0.25">
      <c r="A352" s="7" t="s">
        <v>2447</v>
      </c>
      <c r="B352" s="7" t="s">
        <v>467</v>
      </c>
      <c r="C352" s="24">
        <f>IF(B352&lt;&gt;"",IFERROR(VLOOKUP(B352,'📦 Productos'!A:C,3,FALSE),IFERROR(VLOOKUP(B352&amp;"",'📦 Productos'!A:C,3,FALSE),IFERROR(VLOOKUP(VALUE(B352),'📦 Productos'!A:C,3,FALSE),""))),"")</f>
      </c>
      <c r="D352" s="7" t="s">
        <v>2448</v>
      </c>
      <c r="E352" s="8" t="s">
        <v>26</v>
      </c>
      <c r="F352" s="12">
        <v>0</v>
      </c>
      <c r="G352" s="25">
        <v>42900</v>
      </c>
      <c r="H352" s="26">
        <v>21450</v>
      </c>
      <c r="I352" s="14">
        <f>IF(AND(G352&gt;0,H352&gt;0),ROUND((1-H352/G352)*100,0),0)</f>
        <v>50</v>
      </c>
      <c r="J352" s="27" t="s">
        <v>29</v>
      </c>
      <c r="K352" s="12" t="s">
        <v>1888</v>
      </c>
      <c r="L352" s="8" t="s">
        <v>26</v>
      </c>
    </row>
    <row r="353" ht="20" customHeight="1" spans="1:12" x14ac:dyDescent="0.25">
      <c r="A353" s="28" t="s">
        <v>2449</v>
      </c>
      <c r="B353" s="28" t="s">
        <v>467</v>
      </c>
      <c r="C353" s="24">
        <f>IF(B353&lt;&gt;"",IFERROR(VLOOKUP(B353,'📦 Productos'!A:C,3,FALSE),IFERROR(VLOOKUP(B353&amp;"",'📦 Productos'!A:C,3,FALSE),IFERROR(VLOOKUP(VALUE(B353),'📦 Productos'!A:C,3,FALSE),""))),"")</f>
      </c>
      <c r="D353" s="28" t="s">
        <v>2450</v>
      </c>
      <c r="E353" s="29" t="s">
        <v>26</v>
      </c>
      <c r="F353" s="30">
        <v>0</v>
      </c>
      <c r="G353" s="31">
        <v>42900</v>
      </c>
      <c r="H353" s="32">
        <v>21450</v>
      </c>
      <c r="I353" s="14">
        <f>IF(AND(G353&gt;0,H353&gt;0),ROUND((1-H353/G353)*100,0),0)</f>
        <v>50</v>
      </c>
      <c r="J353" s="33" t="s">
        <v>29</v>
      </c>
      <c r="K353" s="30" t="s">
        <v>1888</v>
      </c>
      <c r="L353" s="29" t="s">
        <v>26</v>
      </c>
    </row>
    <row r="354" ht="20" customHeight="1" spans="1:12" x14ac:dyDescent="0.25">
      <c r="A354" s="7" t="s">
        <v>2451</v>
      </c>
      <c r="B354" s="7" t="s">
        <v>471</v>
      </c>
      <c r="C354" s="24">
        <f>IF(B354&lt;&gt;"",IFERROR(VLOOKUP(B354,'📦 Productos'!A:C,3,FALSE),IFERROR(VLOOKUP(B354&amp;"",'📦 Productos'!A:C,3,FALSE),IFERROR(VLOOKUP(VALUE(B354),'📦 Productos'!A:C,3,FALSE),""))),"")</f>
      </c>
      <c r="D354" s="7" t="s">
        <v>472</v>
      </c>
      <c r="E354" s="8" t="s">
        <v>26</v>
      </c>
      <c r="F354" s="12">
        <v>0</v>
      </c>
      <c r="G354" s="25">
        <v>18900</v>
      </c>
      <c r="H354" s="26">
        <v>12285</v>
      </c>
      <c r="I354" s="14">
        <f>IF(AND(G354&gt;0,H354&gt;0),ROUND((1-H354/G354)*100,0),0)</f>
        <v>35</v>
      </c>
      <c r="J354" s="27" t="s">
        <v>29</v>
      </c>
      <c r="K354" s="12" t="s">
        <v>1888</v>
      </c>
      <c r="L354" s="8" t="s">
        <v>26</v>
      </c>
    </row>
    <row r="355" ht="20" customHeight="1" spans="1:12" x14ac:dyDescent="0.25">
      <c r="A355" s="28" t="s">
        <v>2452</v>
      </c>
      <c r="B355" s="28" t="s">
        <v>471</v>
      </c>
      <c r="C355" s="24">
        <f>IF(B355&lt;&gt;"",IFERROR(VLOOKUP(B355,'📦 Productos'!A:C,3,FALSE),IFERROR(VLOOKUP(B355&amp;"",'📦 Productos'!A:C,3,FALSE),IFERROR(VLOOKUP(VALUE(B355),'📦 Productos'!A:C,3,FALSE),""))),"")</f>
      </c>
      <c r="D355" s="28" t="s">
        <v>2453</v>
      </c>
      <c r="E355" s="29" t="s">
        <v>26</v>
      </c>
      <c r="F355" s="30">
        <v>0</v>
      </c>
      <c r="G355" s="31">
        <v>18900</v>
      </c>
      <c r="H355" s="32">
        <v>12285</v>
      </c>
      <c r="I355" s="14">
        <f>IF(AND(G355&gt;0,H355&gt;0),ROUND((1-H355/G355)*100,0),0)</f>
        <v>35</v>
      </c>
      <c r="J355" s="33" t="s">
        <v>29</v>
      </c>
      <c r="K355" s="30" t="s">
        <v>1888</v>
      </c>
      <c r="L355" s="29" t="s">
        <v>26</v>
      </c>
    </row>
    <row r="356" ht="20" customHeight="1" spans="1:12" x14ac:dyDescent="0.25">
      <c r="A356" s="7" t="s">
        <v>2454</v>
      </c>
      <c r="B356" s="7" t="s">
        <v>471</v>
      </c>
      <c r="C356" s="24">
        <f>IF(B356&lt;&gt;"",IFERROR(VLOOKUP(B356,'📦 Productos'!A:C,3,FALSE),IFERROR(VLOOKUP(B356&amp;"",'📦 Productos'!A:C,3,FALSE),IFERROR(VLOOKUP(VALUE(B356),'📦 Productos'!A:C,3,FALSE),""))),"")</f>
      </c>
      <c r="D356" s="7" t="s">
        <v>2455</v>
      </c>
      <c r="E356" s="8" t="s">
        <v>26</v>
      </c>
      <c r="F356" s="12">
        <v>0</v>
      </c>
      <c r="G356" s="25">
        <v>18900</v>
      </c>
      <c r="H356" s="26">
        <v>12285</v>
      </c>
      <c r="I356" s="14">
        <f>IF(AND(G356&gt;0,H356&gt;0),ROUND((1-H356/G356)*100,0),0)</f>
        <v>35</v>
      </c>
      <c r="J356" s="27" t="s">
        <v>29</v>
      </c>
      <c r="K356" s="12" t="s">
        <v>1888</v>
      </c>
      <c r="L356" s="8" t="s">
        <v>26</v>
      </c>
    </row>
    <row r="357" ht="20" customHeight="1" spans="1:12" x14ac:dyDescent="0.25">
      <c r="A357" s="28" t="s">
        <v>2456</v>
      </c>
      <c r="B357" s="28" t="s">
        <v>475</v>
      </c>
      <c r="C357" s="24">
        <f>IF(B357&lt;&gt;"",IFERROR(VLOOKUP(B357,'📦 Productos'!A:C,3,FALSE),IFERROR(VLOOKUP(B357&amp;"",'📦 Productos'!A:C,3,FALSE),IFERROR(VLOOKUP(VALUE(B357),'📦 Productos'!A:C,3,FALSE),""))),"")</f>
      </c>
      <c r="D357" s="28" t="s">
        <v>476</v>
      </c>
      <c r="E357" s="29" t="s">
        <v>26</v>
      </c>
      <c r="F357" s="30">
        <v>0</v>
      </c>
      <c r="G357" s="31">
        <v>20300</v>
      </c>
      <c r="H357" s="32"/>
      <c r="I357" s="14">
        <f>IF(AND(G357&gt;0,H357&gt;0),ROUND((1-H357/G357)*100,0),0)</f>
        <v>0</v>
      </c>
      <c r="J357" s="33" t="s">
        <v>29</v>
      </c>
      <c r="K357" s="30" t="s">
        <v>1888</v>
      </c>
      <c r="L357" s="29" t="s">
        <v>26</v>
      </c>
    </row>
    <row r="358" ht="20" customHeight="1" spans="1:12" x14ac:dyDescent="0.25">
      <c r="A358" s="7" t="s">
        <v>2457</v>
      </c>
      <c r="B358" s="7" t="s">
        <v>479</v>
      </c>
      <c r="C358" s="24">
        <f>IF(B358&lt;&gt;"",IFERROR(VLOOKUP(B358,'📦 Productos'!A:C,3,FALSE),IFERROR(VLOOKUP(B358&amp;"",'📦 Productos'!A:C,3,FALSE),IFERROR(VLOOKUP(VALUE(B358),'📦 Productos'!A:C,3,FALSE),""))),"")</f>
      </c>
      <c r="D358" s="7" t="s">
        <v>480</v>
      </c>
      <c r="E358" s="8" t="s">
        <v>26</v>
      </c>
      <c r="F358" s="12">
        <v>0</v>
      </c>
      <c r="G358" s="25">
        <v>53500</v>
      </c>
      <c r="H358" s="26"/>
      <c r="I358" s="14">
        <f>IF(AND(G358&gt;0,H358&gt;0),ROUND((1-H358/G358)*100,0),0)</f>
        <v>0</v>
      </c>
      <c r="J358" s="27" t="s">
        <v>29</v>
      </c>
      <c r="K358" s="12" t="s">
        <v>1888</v>
      </c>
      <c r="L358" s="8" t="s">
        <v>26</v>
      </c>
    </row>
    <row r="359" ht="20" customHeight="1" spans="1:12" x14ac:dyDescent="0.25">
      <c r="A359" s="28" t="s">
        <v>2458</v>
      </c>
      <c r="B359" s="28" t="s">
        <v>482</v>
      </c>
      <c r="C359" s="24">
        <f>IF(B359&lt;&gt;"",IFERROR(VLOOKUP(B359,'📦 Productos'!A:C,3,FALSE),IFERROR(VLOOKUP(B359&amp;"",'📦 Productos'!A:C,3,FALSE),IFERROR(VLOOKUP(VALUE(B359),'📦 Productos'!A:C,3,FALSE),""))),"")</f>
      </c>
      <c r="D359" s="28" t="s">
        <v>483</v>
      </c>
      <c r="E359" s="29" t="s">
        <v>26</v>
      </c>
      <c r="F359" s="30">
        <v>0</v>
      </c>
      <c r="G359" s="31">
        <v>32300</v>
      </c>
      <c r="H359" s="32"/>
      <c r="I359" s="14">
        <f>IF(AND(G359&gt;0,H359&gt;0),ROUND((1-H359/G359)*100,0),0)</f>
        <v>0</v>
      </c>
      <c r="J359" s="33" t="s">
        <v>29</v>
      </c>
      <c r="K359" s="30" t="s">
        <v>1888</v>
      </c>
      <c r="L359" s="29" t="s">
        <v>26</v>
      </c>
    </row>
    <row r="360" ht="20" customHeight="1" spans="1:12" x14ac:dyDescent="0.25">
      <c r="A360" s="7" t="s">
        <v>2459</v>
      </c>
      <c r="B360" s="7" t="s">
        <v>485</v>
      </c>
      <c r="C360" s="24">
        <f>IF(B360&lt;&gt;"",IFERROR(VLOOKUP(B360,'📦 Productos'!A:C,3,FALSE),IFERROR(VLOOKUP(B360&amp;"",'📦 Productos'!A:C,3,FALSE),IFERROR(VLOOKUP(VALUE(B360),'📦 Productos'!A:C,3,FALSE),""))),"")</f>
      </c>
      <c r="D360" s="7" t="s">
        <v>486</v>
      </c>
      <c r="E360" s="8" t="s">
        <v>26</v>
      </c>
      <c r="F360" s="12">
        <v>0</v>
      </c>
      <c r="G360" s="25">
        <v>84500</v>
      </c>
      <c r="H360" s="26"/>
      <c r="I360" s="14">
        <f>IF(AND(G360&gt;0,H360&gt;0),ROUND((1-H360/G360)*100,0),0)</f>
        <v>0</v>
      </c>
      <c r="J360" s="27" t="s">
        <v>29</v>
      </c>
      <c r="K360" s="12" t="s">
        <v>1888</v>
      </c>
      <c r="L360" s="8" t="s">
        <v>26</v>
      </c>
    </row>
    <row r="361" ht="20" customHeight="1" spans="1:12" x14ac:dyDescent="0.25">
      <c r="A361" s="28" t="s">
        <v>2460</v>
      </c>
      <c r="B361" s="28" t="s">
        <v>488</v>
      </c>
      <c r="C361" s="24">
        <f>IF(B361&lt;&gt;"",IFERROR(VLOOKUP(B361,'📦 Productos'!A:C,3,FALSE),IFERROR(VLOOKUP(B361&amp;"",'📦 Productos'!A:C,3,FALSE),IFERROR(VLOOKUP(VALUE(B361),'📦 Productos'!A:C,3,FALSE),""))),"")</f>
      </c>
      <c r="D361" s="28" t="s">
        <v>489</v>
      </c>
      <c r="E361" s="29" t="s">
        <v>26</v>
      </c>
      <c r="F361" s="30">
        <v>0</v>
      </c>
      <c r="G361" s="31">
        <v>32300</v>
      </c>
      <c r="H361" s="32"/>
      <c r="I361" s="14">
        <f>IF(AND(G361&gt;0,H361&gt;0),ROUND((1-H361/G361)*100,0),0)</f>
        <v>0</v>
      </c>
      <c r="J361" s="33" t="s">
        <v>29</v>
      </c>
      <c r="K361" s="30" t="s">
        <v>1888</v>
      </c>
      <c r="L361" s="29" t="s">
        <v>26</v>
      </c>
    </row>
    <row r="362" ht="20" customHeight="1" spans="1:12" x14ac:dyDescent="0.25">
      <c r="A362" s="7" t="s">
        <v>2461</v>
      </c>
      <c r="B362" s="7" t="s">
        <v>491</v>
      </c>
      <c r="C362" s="24">
        <f>IF(B362&lt;&gt;"",IFERROR(VLOOKUP(B362,'📦 Productos'!A:C,3,FALSE),IFERROR(VLOOKUP(B362&amp;"",'📦 Productos'!A:C,3,FALSE),IFERROR(VLOOKUP(VALUE(B362),'📦 Productos'!A:C,3,FALSE),""))),"")</f>
      </c>
      <c r="D362" s="7" t="s">
        <v>26</v>
      </c>
      <c r="E362" s="8" t="s">
        <v>26</v>
      </c>
      <c r="F362" s="12">
        <v>0</v>
      </c>
      <c r="G362" s="25">
        <v>9800</v>
      </c>
      <c r="H362" s="26">
        <v>4900</v>
      </c>
      <c r="I362" s="14">
        <f>IF(AND(G362&gt;0,H362&gt;0),ROUND((1-H362/G362)*100,0),0)</f>
        <v>50</v>
      </c>
      <c r="J362" s="27" t="s">
        <v>29</v>
      </c>
      <c r="K362" s="12" t="s">
        <v>1888</v>
      </c>
      <c r="L362" s="8" t="s">
        <v>26</v>
      </c>
    </row>
    <row r="363" ht="20" customHeight="1" spans="1:12" x14ac:dyDescent="0.25">
      <c r="A363" s="28" t="s">
        <v>2462</v>
      </c>
      <c r="B363" s="28" t="s">
        <v>493</v>
      </c>
      <c r="C363" s="24">
        <f>IF(B363&lt;&gt;"",IFERROR(VLOOKUP(B363,'📦 Productos'!A:C,3,FALSE),IFERROR(VLOOKUP(B363&amp;"",'📦 Productos'!A:C,3,FALSE),IFERROR(VLOOKUP(VALUE(B363),'📦 Productos'!A:C,3,FALSE),""))),"")</f>
      </c>
      <c r="D363" s="28" t="s">
        <v>494</v>
      </c>
      <c r="E363" s="29" t="s">
        <v>26</v>
      </c>
      <c r="F363" s="30">
        <v>0</v>
      </c>
      <c r="G363" s="31">
        <v>30900</v>
      </c>
      <c r="H363" s="32">
        <v>20085</v>
      </c>
      <c r="I363" s="14">
        <f>IF(AND(G363&gt;0,H363&gt;0),ROUND((1-H363/G363)*100,0),0)</f>
        <v>35</v>
      </c>
      <c r="J363" s="33" t="s">
        <v>29</v>
      </c>
      <c r="K363" s="30" t="s">
        <v>1888</v>
      </c>
      <c r="L363" s="29" t="s">
        <v>26</v>
      </c>
    </row>
    <row r="364" ht="20" customHeight="1" spans="1:12" x14ac:dyDescent="0.25">
      <c r="A364" s="7" t="s">
        <v>2463</v>
      </c>
      <c r="B364" s="7" t="s">
        <v>493</v>
      </c>
      <c r="C364" s="24">
        <f>IF(B364&lt;&gt;"",IFERROR(VLOOKUP(B364,'📦 Productos'!A:C,3,FALSE),IFERROR(VLOOKUP(B364&amp;"",'📦 Productos'!A:C,3,FALSE),IFERROR(VLOOKUP(VALUE(B364),'📦 Productos'!A:C,3,FALSE),""))),"")</f>
      </c>
      <c r="D364" s="7" t="s">
        <v>2464</v>
      </c>
      <c r="E364" s="8" t="s">
        <v>26</v>
      </c>
      <c r="F364" s="12">
        <v>0</v>
      </c>
      <c r="G364" s="25">
        <v>30900</v>
      </c>
      <c r="H364" s="26">
        <v>20085</v>
      </c>
      <c r="I364" s="14">
        <f>IF(AND(G364&gt;0,H364&gt;0),ROUND((1-H364/G364)*100,0),0)</f>
        <v>35</v>
      </c>
      <c r="J364" s="27" t="s">
        <v>29</v>
      </c>
      <c r="K364" s="12" t="s">
        <v>1888</v>
      </c>
      <c r="L364" s="8" t="s">
        <v>26</v>
      </c>
    </row>
    <row r="365" ht="20" customHeight="1" spans="1:12" x14ac:dyDescent="0.25">
      <c r="A365" s="28" t="s">
        <v>2465</v>
      </c>
      <c r="B365" s="28" t="s">
        <v>493</v>
      </c>
      <c r="C365" s="24">
        <f>IF(B365&lt;&gt;"",IFERROR(VLOOKUP(B365,'📦 Productos'!A:C,3,FALSE),IFERROR(VLOOKUP(B365&amp;"",'📦 Productos'!A:C,3,FALSE),IFERROR(VLOOKUP(VALUE(B365),'📦 Productos'!A:C,3,FALSE),""))),"")</f>
      </c>
      <c r="D365" s="28" t="s">
        <v>2466</v>
      </c>
      <c r="E365" s="29" t="s">
        <v>26</v>
      </c>
      <c r="F365" s="30">
        <v>0</v>
      </c>
      <c r="G365" s="31">
        <v>30900</v>
      </c>
      <c r="H365" s="32">
        <v>20085</v>
      </c>
      <c r="I365" s="14">
        <f>IF(AND(G365&gt;0,H365&gt;0),ROUND((1-H365/G365)*100,0),0)</f>
        <v>35</v>
      </c>
      <c r="J365" s="33" t="s">
        <v>29</v>
      </c>
      <c r="K365" s="30" t="s">
        <v>1888</v>
      </c>
      <c r="L365" s="29" t="s">
        <v>26</v>
      </c>
    </row>
    <row r="366" ht="20" customHeight="1" spans="1:12" x14ac:dyDescent="0.25">
      <c r="A366" s="7" t="s">
        <v>2467</v>
      </c>
      <c r="B366" s="7" t="s">
        <v>493</v>
      </c>
      <c r="C366" s="24">
        <f>IF(B366&lt;&gt;"",IFERROR(VLOOKUP(B366,'📦 Productos'!A:C,3,FALSE),IFERROR(VLOOKUP(B366&amp;"",'📦 Productos'!A:C,3,FALSE),IFERROR(VLOOKUP(VALUE(B366),'📦 Productos'!A:C,3,FALSE),""))),"")</f>
      </c>
      <c r="D366" s="7" t="s">
        <v>2468</v>
      </c>
      <c r="E366" s="8" t="s">
        <v>26</v>
      </c>
      <c r="F366" s="12">
        <v>0</v>
      </c>
      <c r="G366" s="25">
        <v>30900</v>
      </c>
      <c r="H366" s="26">
        <v>20085</v>
      </c>
      <c r="I366" s="14">
        <f>IF(AND(G366&gt;0,H366&gt;0),ROUND((1-H366/G366)*100,0),0)</f>
        <v>35</v>
      </c>
      <c r="J366" s="27" t="s">
        <v>29</v>
      </c>
      <c r="K366" s="12" t="s">
        <v>1888</v>
      </c>
      <c r="L366" s="8" t="s">
        <v>26</v>
      </c>
    </row>
    <row r="367" ht="20" customHeight="1" spans="1:12" x14ac:dyDescent="0.25">
      <c r="A367" s="28" t="s">
        <v>2469</v>
      </c>
      <c r="B367" s="28" t="s">
        <v>493</v>
      </c>
      <c r="C367" s="24">
        <f>IF(B367&lt;&gt;"",IFERROR(VLOOKUP(B367,'📦 Productos'!A:C,3,FALSE),IFERROR(VLOOKUP(B367&amp;"",'📦 Productos'!A:C,3,FALSE),IFERROR(VLOOKUP(VALUE(B367),'📦 Productos'!A:C,3,FALSE),""))),"")</f>
      </c>
      <c r="D367" s="28" t="s">
        <v>2470</v>
      </c>
      <c r="E367" s="29" t="s">
        <v>26</v>
      </c>
      <c r="F367" s="30">
        <v>0</v>
      </c>
      <c r="G367" s="31">
        <v>30900</v>
      </c>
      <c r="H367" s="32">
        <v>20085</v>
      </c>
      <c r="I367" s="14">
        <f>IF(AND(G367&gt;0,H367&gt;0),ROUND((1-H367/G367)*100,0),0)</f>
        <v>35</v>
      </c>
      <c r="J367" s="33" t="s">
        <v>29</v>
      </c>
      <c r="K367" s="30" t="s">
        <v>1888</v>
      </c>
      <c r="L367" s="29" t="s">
        <v>26</v>
      </c>
    </row>
    <row r="368" ht="20" customHeight="1" spans="1:12" x14ac:dyDescent="0.25">
      <c r="A368" s="7" t="s">
        <v>2471</v>
      </c>
      <c r="B368" s="7" t="s">
        <v>493</v>
      </c>
      <c r="C368" s="24">
        <f>IF(B368&lt;&gt;"",IFERROR(VLOOKUP(B368,'📦 Productos'!A:C,3,FALSE),IFERROR(VLOOKUP(B368&amp;"",'📦 Productos'!A:C,3,FALSE),IFERROR(VLOOKUP(VALUE(B368),'📦 Productos'!A:C,3,FALSE),""))),"")</f>
      </c>
      <c r="D368" s="7" t="s">
        <v>2472</v>
      </c>
      <c r="E368" s="8" t="s">
        <v>26</v>
      </c>
      <c r="F368" s="12">
        <v>0</v>
      </c>
      <c r="G368" s="25">
        <v>30900</v>
      </c>
      <c r="H368" s="26">
        <v>20085</v>
      </c>
      <c r="I368" s="14">
        <f>IF(AND(G368&gt;0,H368&gt;0),ROUND((1-H368/G368)*100,0),0)</f>
        <v>35</v>
      </c>
      <c r="J368" s="27" t="s">
        <v>29</v>
      </c>
      <c r="K368" s="12" t="s">
        <v>1888</v>
      </c>
      <c r="L368" s="8" t="s">
        <v>26</v>
      </c>
    </row>
    <row r="369" ht="20" customHeight="1" spans="1:12" x14ac:dyDescent="0.25">
      <c r="A369" s="28" t="s">
        <v>2473</v>
      </c>
      <c r="B369" s="28" t="s">
        <v>493</v>
      </c>
      <c r="C369" s="24">
        <f>IF(B369&lt;&gt;"",IFERROR(VLOOKUP(B369,'📦 Productos'!A:C,3,FALSE),IFERROR(VLOOKUP(B369&amp;"",'📦 Productos'!A:C,3,FALSE),IFERROR(VLOOKUP(VALUE(B369),'📦 Productos'!A:C,3,FALSE),""))),"")</f>
      </c>
      <c r="D369" s="28" t="s">
        <v>2474</v>
      </c>
      <c r="E369" s="29" t="s">
        <v>26</v>
      </c>
      <c r="F369" s="30">
        <v>0</v>
      </c>
      <c r="G369" s="31">
        <v>30900</v>
      </c>
      <c r="H369" s="32">
        <v>20085</v>
      </c>
      <c r="I369" s="14">
        <f>IF(AND(G369&gt;0,H369&gt;0),ROUND((1-H369/G369)*100,0),0)</f>
        <v>35</v>
      </c>
      <c r="J369" s="33" t="s">
        <v>29</v>
      </c>
      <c r="K369" s="30" t="s">
        <v>1888</v>
      </c>
      <c r="L369" s="29" t="s">
        <v>26</v>
      </c>
    </row>
    <row r="370" ht="20" customHeight="1" spans="1:12" x14ac:dyDescent="0.25">
      <c r="A370" s="7" t="s">
        <v>2475</v>
      </c>
      <c r="B370" s="7" t="s">
        <v>493</v>
      </c>
      <c r="C370" s="24">
        <f>IF(B370&lt;&gt;"",IFERROR(VLOOKUP(B370,'📦 Productos'!A:C,3,FALSE),IFERROR(VLOOKUP(B370&amp;"",'📦 Productos'!A:C,3,FALSE),IFERROR(VLOOKUP(VALUE(B370),'📦 Productos'!A:C,3,FALSE),""))),"")</f>
      </c>
      <c r="D370" s="7" t="s">
        <v>2476</v>
      </c>
      <c r="E370" s="8" t="s">
        <v>26</v>
      </c>
      <c r="F370" s="12">
        <v>0</v>
      </c>
      <c r="G370" s="25">
        <v>30900</v>
      </c>
      <c r="H370" s="26">
        <v>20085</v>
      </c>
      <c r="I370" s="14">
        <f>IF(AND(G370&gt;0,H370&gt;0),ROUND((1-H370/G370)*100,0),0)</f>
        <v>35</v>
      </c>
      <c r="J370" s="27" t="s">
        <v>29</v>
      </c>
      <c r="K370" s="12" t="s">
        <v>1888</v>
      </c>
      <c r="L370" s="8" t="s">
        <v>26</v>
      </c>
    </row>
    <row r="371" ht="20" customHeight="1" spans="1:12" x14ac:dyDescent="0.25">
      <c r="A371" s="28" t="s">
        <v>2477</v>
      </c>
      <c r="B371" s="28" t="s">
        <v>493</v>
      </c>
      <c r="C371" s="24">
        <f>IF(B371&lt;&gt;"",IFERROR(VLOOKUP(B371,'📦 Productos'!A:C,3,FALSE),IFERROR(VLOOKUP(B371&amp;"",'📦 Productos'!A:C,3,FALSE),IFERROR(VLOOKUP(VALUE(B371),'📦 Productos'!A:C,3,FALSE),""))),"")</f>
      </c>
      <c r="D371" s="28" t="s">
        <v>2478</v>
      </c>
      <c r="E371" s="29" t="s">
        <v>26</v>
      </c>
      <c r="F371" s="30">
        <v>0</v>
      </c>
      <c r="G371" s="31">
        <v>30900</v>
      </c>
      <c r="H371" s="32">
        <v>20085</v>
      </c>
      <c r="I371" s="14">
        <f>IF(AND(G371&gt;0,H371&gt;0),ROUND((1-H371/G371)*100,0),0)</f>
        <v>35</v>
      </c>
      <c r="J371" s="33" t="s">
        <v>29</v>
      </c>
      <c r="K371" s="30" t="s">
        <v>1888</v>
      </c>
      <c r="L371" s="29" t="s">
        <v>26</v>
      </c>
    </row>
    <row r="372" ht="20" customHeight="1" spans="1:12" x14ac:dyDescent="0.25">
      <c r="A372" s="7" t="s">
        <v>2479</v>
      </c>
      <c r="B372" s="7" t="s">
        <v>493</v>
      </c>
      <c r="C372" s="24">
        <f>IF(B372&lt;&gt;"",IFERROR(VLOOKUP(B372,'📦 Productos'!A:C,3,FALSE),IFERROR(VLOOKUP(B372&amp;"",'📦 Productos'!A:C,3,FALSE),IFERROR(VLOOKUP(VALUE(B372),'📦 Productos'!A:C,3,FALSE),""))),"")</f>
      </c>
      <c r="D372" s="7" t="s">
        <v>2480</v>
      </c>
      <c r="E372" s="8" t="s">
        <v>26</v>
      </c>
      <c r="F372" s="12">
        <v>0</v>
      </c>
      <c r="G372" s="25">
        <v>30900</v>
      </c>
      <c r="H372" s="26">
        <v>20085</v>
      </c>
      <c r="I372" s="14">
        <f>IF(AND(G372&gt;0,H372&gt;0),ROUND((1-H372/G372)*100,0),0)</f>
        <v>35</v>
      </c>
      <c r="J372" s="27" t="s">
        <v>29</v>
      </c>
      <c r="K372" s="12" t="s">
        <v>1888</v>
      </c>
      <c r="L372" s="8" t="s">
        <v>26</v>
      </c>
    </row>
    <row r="373" ht="20" customHeight="1" spans="1:12" x14ac:dyDescent="0.25">
      <c r="A373" s="28" t="s">
        <v>2481</v>
      </c>
      <c r="B373" s="28" t="s">
        <v>497</v>
      </c>
      <c r="C373" s="24">
        <f>IF(B373&lt;&gt;"",IFERROR(VLOOKUP(B373,'📦 Productos'!A:C,3,FALSE),IFERROR(VLOOKUP(B373&amp;"",'📦 Productos'!A:C,3,FALSE),IFERROR(VLOOKUP(VALUE(B373),'📦 Productos'!A:C,3,FALSE),""))),"")</f>
      </c>
      <c r="D373" s="28" t="s">
        <v>498</v>
      </c>
      <c r="E373" s="29" t="s">
        <v>26</v>
      </c>
      <c r="F373" s="30">
        <v>0</v>
      </c>
      <c r="G373" s="31">
        <v>23900</v>
      </c>
      <c r="H373" s="32">
        <v>15535</v>
      </c>
      <c r="I373" s="14">
        <f>IF(AND(G373&gt;0,H373&gt;0),ROUND((1-H373/G373)*100,0),0)</f>
        <v>35</v>
      </c>
      <c r="J373" s="33" t="s">
        <v>29</v>
      </c>
      <c r="K373" s="30" t="s">
        <v>1888</v>
      </c>
      <c r="L373" s="29" t="s">
        <v>26</v>
      </c>
    </row>
    <row r="374" ht="20" customHeight="1" spans="1:12" x14ac:dyDescent="0.25">
      <c r="A374" s="7" t="s">
        <v>2482</v>
      </c>
      <c r="B374" s="7" t="s">
        <v>497</v>
      </c>
      <c r="C374" s="24">
        <f>IF(B374&lt;&gt;"",IFERROR(VLOOKUP(B374,'📦 Productos'!A:C,3,FALSE),IFERROR(VLOOKUP(B374&amp;"",'📦 Productos'!A:C,3,FALSE),IFERROR(VLOOKUP(VALUE(B374),'📦 Productos'!A:C,3,FALSE),""))),"")</f>
      </c>
      <c r="D374" s="7" t="s">
        <v>2483</v>
      </c>
      <c r="E374" s="8" t="s">
        <v>26</v>
      </c>
      <c r="F374" s="12">
        <v>0</v>
      </c>
      <c r="G374" s="25">
        <v>23900</v>
      </c>
      <c r="H374" s="26">
        <v>15535</v>
      </c>
      <c r="I374" s="14">
        <f>IF(AND(G374&gt;0,H374&gt;0),ROUND((1-H374/G374)*100,0),0)</f>
        <v>35</v>
      </c>
      <c r="J374" s="27" t="s">
        <v>29</v>
      </c>
      <c r="K374" s="12" t="s">
        <v>1888</v>
      </c>
      <c r="L374" s="8" t="s">
        <v>26</v>
      </c>
    </row>
    <row r="375" ht="20" customHeight="1" spans="1:12" x14ac:dyDescent="0.25">
      <c r="A375" s="28" t="s">
        <v>2484</v>
      </c>
      <c r="B375" s="28" t="s">
        <v>497</v>
      </c>
      <c r="C375" s="24">
        <f>IF(B375&lt;&gt;"",IFERROR(VLOOKUP(B375,'📦 Productos'!A:C,3,FALSE),IFERROR(VLOOKUP(B375&amp;"",'📦 Productos'!A:C,3,FALSE),IFERROR(VLOOKUP(VALUE(B375),'📦 Productos'!A:C,3,FALSE),""))),"")</f>
      </c>
      <c r="D375" s="28" t="s">
        <v>2485</v>
      </c>
      <c r="E375" s="29" t="s">
        <v>26</v>
      </c>
      <c r="F375" s="30">
        <v>0</v>
      </c>
      <c r="G375" s="31">
        <v>23900</v>
      </c>
      <c r="H375" s="32">
        <v>15535</v>
      </c>
      <c r="I375" s="14">
        <f>IF(AND(G375&gt;0,H375&gt;0),ROUND((1-H375/G375)*100,0),0)</f>
        <v>35</v>
      </c>
      <c r="J375" s="33" t="s">
        <v>29</v>
      </c>
      <c r="K375" s="30" t="s">
        <v>1888</v>
      </c>
      <c r="L375" s="29" t="s">
        <v>26</v>
      </c>
    </row>
    <row r="376" ht="20" customHeight="1" spans="1:12" x14ac:dyDescent="0.25">
      <c r="A376" s="7" t="s">
        <v>2486</v>
      </c>
      <c r="B376" s="7" t="s">
        <v>497</v>
      </c>
      <c r="C376" s="24">
        <f>IF(B376&lt;&gt;"",IFERROR(VLOOKUP(B376,'📦 Productos'!A:C,3,FALSE),IFERROR(VLOOKUP(B376&amp;"",'📦 Productos'!A:C,3,FALSE),IFERROR(VLOOKUP(VALUE(B376),'📦 Productos'!A:C,3,FALSE),""))),"")</f>
      </c>
      <c r="D376" s="7" t="s">
        <v>2487</v>
      </c>
      <c r="E376" s="8" t="s">
        <v>26</v>
      </c>
      <c r="F376" s="12">
        <v>0</v>
      </c>
      <c r="G376" s="25">
        <v>23900</v>
      </c>
      <c r="H376" s="26">
        <v>15535</v>
      </c>
      <c r="I376" s="14">
        <f>IF(AND(G376&gt;0,H376&gt;0),ROUND((1-H376/G376)*100,0),0)</f>
        <v>35</v>
      </c>
      <c r="J376" s="27" t="s">
        <v>29</v>
      </c>
      <c r="K376" s="12" t="s">
        <v>1888</v>
      </c>
      <c r="L376" s="8" t="s">
        <v>26</v>
      </c>
    </row>
    <row r="377" ht="20" customHeight="1" spans="1:12" x14ac:dyDescent="0.25">
      <c r="A377" s="28" t="s">
        <v>2488</v>
      </c>
      <c r="B377" s="28" t="s">
        <v>497</v>
      </c>
      <c r="C377" s="24">
        <f>IF(B377&lt;&gt;"",IFERROR(VLOOKUP(B377,'📦 Productos'!A:C,3,FALSE),IFERROR(VLOOKUP(B377&amp;"",'📦 Productos'!A:C,3,FALSE),IFERROR(VLOOKUP(VALUE(B377),'📦 Productos'!A:C,3,FALSE),""))),"")</f>
      </c>
      <c r="D377" s="28" t="s">
        <v>2489</v>
      </c>
      <c r="E377" s="29" t="s">
        <v>26</v>
      </c>
      <c r="F377" s="30">
        <v>0</v>
      </c>
      <c r="G377" s="31">
        <v>23900</v>
      </c>
      <c r="H377" s="32">
        <v>11950</v>
      </c>
      <c r="I377" s="14">
        <f>IF(AND(G377&gt;0,H377&gt;0),ROUND((1-H377/G377)*100,0),0)</f>
        <v>50</v>
      </c>
      <c r="J377" s="33" t="s">
        <v>29</v>
      </c>
      <c r="K377" s="30" t="s">
        <v>1888</v>
      </c>
      <c r="L377" s="29" t="s">
        <v>26</v>
      </c>
    </row>
    <row r="378" ht="20" customHeight="1" spans="1:12" x14ac:dyDescent="0.25">
      <c r="A378" s="7" t="s">
        <v>2490</v>
      </c>
      <c r="B378" s="7" t="s">
        <v>497</v>
      </c>
      <c r="C378" s="24">
        <f>IF(B378&lt;&gt;"",IFERROR(VLOOKUP(B378,'📦 Productos'!A:C,3,FALSE),IFERROR(VLOOKUP(B378&amp;"",'📦 Productos'!A:C,3,FALSE),IFERROR(VLOOKUP(VALUE(B378),'📦 Productos'!A:C,3,FALSE),""))),"")</f>
      </c>
      <c r="D378" s="7" t="s">
        <v>2491</v>
      </c>
      <c r="E378" s="8" t="s">
        <v>26</v>
      </c>
      <c r="F378" s="12">
        <v>0</v>
      </c>
      <c r="G378" s="25">
        <v>23900</v>
      </c>
      <c r="H378" s="26">
        <v>15535</v>
      </c>
      <c r="I378" s="14">
        <f>IF(AND(G378&gt;0,H378&gt;0),ROUND((1-H378/G378)*100,0),0)</f>
        <v>35</v>
      </c>
      <c r="J378" s="27" t="s">
        <v>29</v>
      </c>
      <c r="K378" s="12" t="s">
        <v>1888</v>
      </c>
      <c r="L378" s="8" t="s">
        <v>26</v>
      </c>
    </row>
    <row r="379" ht="20" customHeight="1" spans="1:12" x14ac:dyDescent="0.25">
      <c r="A379" s="28" t="s">
        <v>2492</v>
      </c>
      <c r="B379" s="28" t="s">
        <v>501</v>
      </c>
      <c r="C379" s="24">
        <f>IF(B379&lt;&gt;"",IFERROR(VLOOKUP(B379,'📦 Productos'!A:C,3,FALSE),IFERROR(VLOOKUP(B379&amp;"",'📦 Productos'!A:C,3,FALSE),IFERROR(VLOOKUP(VALUE(B379),'📦 Productos'!A:C,3,FALSE),""))),"")</f>
      </c>
      <c r="D379" s="28" t="s">
        <v>502</v>
      </c>
      <c r="E379" s="29" t="s">
        <v>26</v>
      </c>
      <c r="F379" s="30">
        <v>0</v>
      </c>
      <c r="G379" s="31">
        <v>23900</v>
      </c>
      <c r="H379" s="32">
        <v>15535</v>
      </c>
      <c r="I379" s="14">
        <f>IF(AND(G379&gt;0,H379&gt;0),ROUND((1-H379/G379)*100,0),0)</f>
        <v>35</v>
      </c>
      <c r="J379" s="33" t="s">
        <v>29</v>
      </c>
      <c r="K379" s="30" t="s">
        <v>1888</v>
      </c>
      <c r="L379" s="29" t="s">
        <v>26</v>
      </c>
    </row>
    <row r="380" ht="20" customHeight="1" spans="1:12" x14ac:dyDescent="0.25">
      <c r="A380" s="7" t="s">
        <v>2493</v>
      </c>
      <c r="B380" s="7" t="s">
        <v>501</v>
      </c>
      <c r="C380" s="24">
        <f>IF(B380&lt;&gt;"",IFERROR(VLOOKUP(B380,'📦 Productos'!A:C,3,FALSE),IFERROR(VLOOKUP(B380&amp;"",'📦 Productos'!A:C,3,FALSE),IFERROR(VLOOKUP(VALUE(B380),'📦 Productos'!A:C,3,FALSE),""))),"")</f>
      </c>
      <c r="D380" s="7" t="s">
        <v>2494</v>
      </c>
      <c r="E380" s="8" t="s">
        <v>26</v>
      </c>
      <c r="F380" s="12">
        <v>0</v>
      </c>
      <c r="G380" s="25">
        <v>23900</v>
      </c>
      <c r="H380" s="26">
        <v>15535</v>
      </c>
      <c r="I380" s="14">
        <f>IF(AND(G380&gt;0,H380&gt;0),ROUND((1-H380/G380)*100,0),0)</f>
        <v>35</v>
      </c>
      <c r="J380" s="27" t="s">
        <v>29</v>
      </c>
      <c r="K380" s="12" t="s">
        <v>1888</v>
      </c>
      <c r="L380" s="8" t="s">
        <v>26</v>
      </c>
    </row>
    <row r="381" ht="20" customHeight="1" spans="1:12" x14ac:dyDescent="0.25">
      <c r="A381" s="28" t="s">
        <v>2495</v>
      </c>
      <c r="B381" s="28" t="s">
        <v>501</v>
      </c>
      <c r="C381" s="24">
        <f>IF(B381&lt;&gt;"",IFERROR(VLOOKUP(B381,'📦 Productos'!A:C,3,FALSE),IFERROR(VLOOKUP(B381&amp;"",'📦 Productos'!A:C,3,FALSE),IFERROR(VLOOKUP(VALUE(B381),'📦 Productos'!A:C,3,FALSE),""))),"")</f>
      </c>
      <c r="D381" s="28" t="s">
        <v>2496</v>
      </c>
      <c r="E381" s="29" t="s">
        <v>26</v>
      </c>
      <c r="F381" s="30">
        <v>0</v>
      </c>
      <c r="G381" s="31">
        <v>23900</v>
      </c>
      <c r="H381" s="32">
        <v>11950</v>
      </c>
      <c r="I381" s="14">
        <f>IF(AND(G381&gt;0,H381&gt;0),ROUND((1-H381/G381)*100,0),0)</f>
        <v>50</v>
      </c>
      <c r="J381" s="33" t="s">
        <v>29</v>
      </c>
      <c r="K381" s="30" t="s">
        <v>1888</v>
      </c>
      <c r="L381" s="29" t="s">
        <v>26</v>
      </c>
    </row>
    <row r="382" ht="20" customHeight="1" spans="1:12" x14ac:dyDescent="0.25">
      <c r="A382" s="7" t="s">
        <v>2497</v>
      </c>
      <c r="B382" s="7" t="s">
        <v>504</v>
      </c>
      <c r="C382" s="24">
        <f>IF(B382&lt;&gt;"",IFERROR(VLOOKUP(B382,'📦 Productos'!A:C,3,FALSE),IFERROR(VLOOKUP(B382&amp;"",'📦 Productos'!A:C,3,FALSE),IFERROR(VLOOKUP(VALUE(B382),'📦 Productos'!A:C,3,FALSE),""))),"")</f>
      </c>
      <c r="D382" s="7" t="s">
        <v>505</v>
      </c>
      <c r="E382" s="8" t="s">
        <v>26</v>
      </c>
      <c r="F382" s="12">
        <v>0</v>
      </c>
      <c r="G382" s="25">
        <v>23900</v>
      </c>
      <c r="H382" s="26">
        <v>11950</v>
      </c>
      <c r="I382" s="14">
        <f>IF(AND(G382&gt;0,H382&gt;0),ROUND((1-H382/G382)*100,0),0)</f>
        <v>50</v>
      </c>
      <c r="J382" s="27" t="s">
        <v>29</v>
      </c>
      <c r="K382" s="12" t="s">
        <v>1888</v>
      </c>
      <c r="L382" s="8" t="s">
        <v>26</v>
      </c>
    </row>
    <row r="383" ht="20" customHeight="1" spans="1:12" x14ac:dyDescent="0.25">
      <c r="A383" s="28" t="s">
        <v>2498</v>
      </c>
      <c r="B383" s="28" t="s">
        <v>504</v>
      </c>
      <c r="C383" s="24">
        <f>IF(B383&lt;&gt;"",IFERROR(VLOOKUP(B383,'📦 Productos'!A:C,3,FALSE),IFERROR(VLOOKUP(B383&amp;"",'📦 Productos'!A:C,3,FALSE),IFERROR(VLOOKUP(VALUE(B383),'📦 Productos'!A:C,3,FALSE),""))),"")</f>
      </c>
      <c r="D383" s="28" t="s">
        <v>2499</v>
      </c>
      <c r="E383" s="29" t="s">
        <v>26</v>
      </c>
      <c r="F383" s="30">
        <v>0</v>
      </c>
      <c r="G383" s="31">
        <v>23900</v>
      </c>
      <c r="H383" s="32">
        <v>15535</v>
      </c>
      <c r="I383" s="14">
        <f>IF(AND(G383&gt;0,H383&gt;0),ROUND((1-H383/G383)*100,0),0)</f>
        <v>35</v>
      </c>
      <c r="J383" s="33" t="s">
        <v>29</v>
      </c>
      <c r="K383" s="30" t="s">
        <v>1888</v>
      </c>
      <c r="L383" s="29" t="s">
        <v>26</v>
      </c>
    </row>
    <row r="384" ht="20" customHeight="1" spans="1:12" x14ac:dyDescent="0.25">
      <c r="A384" s="7" t="s">
        <v>2500</v>
      </c>
      <c r="B384" s="7" t="s">
        <v>504</v>
      </c>
      <c r="C384" s="24">
        <f>IF(B384&lt;&gt;"",IFERROR(VLOOKUP(B384,'📦 Productos'!A:C,3,FALSE),IFERROR(VLOOKUP(B384&amp;"",'📦 Productos'!A:C,3,FALSE),IFERROR(VLOOKUP(VALUE(B384),'📦 Productos'!A:C,3,FALSE),""))),"")</f>
      </c>
      <c r="D384" s="7" t="s">
        <v>2501</v>
      </c>
      <c r="E384" s="8" t="s">
        <v>26</v>
      </c>
      <c r="F384" s="12">
        <v>0</v>
      </c>
      <c r="G384" s="25">
        <v>23900</v>
      </c>
      <c r="H384" s="26">
        <v>15535</v>
      </c>
      <c r="I384" s="14">
        <f>IF(AND(G384&gt;0,H384&gt;0),ROUND((1-H384/G384)*100,0),0)</f>
        <v>35</v>
      </c>
      <c r="J384" s="27" t="s">
        <v>29</v>
      </c>
      <c r="K384" s="12" t="s">
        <v>1888</v>
      </c>
      <c r="L384" s="8" t="s">
        <v>26</v>
      </c>
    </row>
    <row r="385" ht="20" customHeight="1" spans="1:12" x14ac:dyDescent="0.25">
      <c r="A385" s="28" t="s">
        <v>2502</v>
      </c>
      <c r="B385" s="28" t="s">
        <v>504</v>
      </c>
      <c r="C385" s="24">
        <f>IF(B385&lt;&gt;"",IFERROR(VLOOKUP(B385,'📦 Productos'!A:C,3,FALSE),IFERROR(VLOOKUP(B385&amp;"",'📦 Productos'!A:C,3,FALSE),IFERROR(VLOOKUP(VALUE(B385),'📦 Productos'!A:C,3,FALSE),""))),"")</f>
      </c>
      <c r="D385" s="28" t="s">
        <v>2503</v>
      </c>
      <c r="E385" s="29" t="s">
        <v>26</v>
      </c>
      <c r="F385" s="30">
        <v>0</v>
      </c>
      <c r="G385" s="31">
        <v>23900</v>
      </c>
      <c r="H385" s="32">
        <v>11950</v>
      </c>
      <c r="I385" s="14">
        <f>IF(AND(G385&gt;0,H385&gt;0),ROUND((1-H385/G385)*100,0),0)</f>
        <v>50</v>
      </c>
      <c r="J385" s="33" t="s">
        <v>29</v>
      </c>
      <c r="K385" s="30" t="s">
        <v>1888</v>
      </c>
      <c r="L385" s="29" t="s">
        <v>26</v>
      </c>
    </row>
    <row r="386" ht="20" customHeight="1" spans="1:12" x14ac:dyDescent="0.25">
      <c r="A386" s="7" t="s">
        <v>2504</v>
      </c>
      <c r="B386" s="7" t="s">
        <v>504</v>
      </c>
      <c r="C386" s="24">
        <f>IF(B386&lt;&gt;"",IFERROR(VLOOKUP(B386,'📦 Productos'!A:C,3,FALSE),IFERROR(VLOOKUP(B386&amp;"",'📦 Productos'!A:C,3,FALSE),IFERROR(VLOOKUP(VALUE(B386),'📦 Productos'!A:C,3,FALSE),""))),"")</f>
      </c>
      <c r="D386" s="7" t="s">
        <v>2505</v>
      </c>
      <c r="E386" s="8" t="s">
        <v>26</v>
      </c>
      <c r="F386" s="12">
        <v>0</v>
      </c>
      <c r="G386" s="25">
        <v>23900</v>
      </c>
      <c r="H386" s="26">
        <v>11950</v>
      </c>
      <c r="I386" s="14">
        <f>IF(AND(G386&gt;0,H386&gt;0),ROUND((1-H386/G386)*100,0),0)</f>
        <v>50</v>
      </c>
      <c r="J386" s="27" t="s">
        <v>29</v>
      </c>
      <c r="K386" s="12" t="s">
        <v>1888</v>
      </c>
      <c r="L386" s="8" t="s">
        <v>26</v>
      </c>
    </row>
    <row r="387" ht="20" customHeight="1" spans="1:12" x14ac:dyDescent="0.25">
      <c r="A387" s="28" t="s">
        <v>2506</v>
      </c>
      <c r="B387" s="28" t="s">
        <v>504</v>
      </c>
      <c r="C387" s="24">
        <f>IF(B387&lt;&gt;"",IFERROR(VLOOKUP(B387,'📦 Productos'!A:C,3,FALSE),IFERROR(VLOOKUP(B387&amp;"",'📦 Productos'!A:C,3,FALSE),IFERROR(VLOOKUP(VALUE(B387),'📦 Productos'!A:C,3,FALSE),""))),"")</f>
      </c>
      <c r="D387" s="28" t="s">
        <v>2507</v>
      </c>
      <c r="E387" s="29" t="s">
        <v>26</v>
      </c>
      <c r="F387" s="30">
        <v>0</v>
      </c>
      <c r="G387" s="31">
        <v>23900</v>
      </c>
      <c r="H387" s="32">
        <v>11950</v>
      </c>
      <c r="I387" s="14">
        <f>IF(AND(G387&gt;0,H387&gt;0),ROUND((1-H387/G387)*100,0),0)</f>
        <v>50</v>
      </c>
      <c r="J387" s="33" t="s">
        <v>29</v>
      </c>
      <c r="K387" s="30" t="s">
        <v>1888</v>
      </c>
      <c r="L387" s="29" t="s">
        <v>26</v>
      </c>
    </row>
    <row r="388" ht="20" customHeight="1" spans="1:12" x14ac:dyDescent="0.25">
      <c r="A388" s="7" t="s">
        <v>2508</v>
      </c>
      <c r="B388" s="7" t="s">
        <v>504</v>
      </c>
      <c r="C388" s="24">
        <f>IF(B388&lt;&gt;"",IFERROR(VLOOKUP(B388,'📦 Productos'!A:C,3,FALSE),IFERROR(VLOOKUP(B388&amp;"",'📦 Productos'!A:C,3,FALSE),IFERROR(VLOOKUP(VALUE(B388),'📦 Productos'!A:C,3,FALSE),""))),"")</f>
      </c>
      <c r="D388" s="7" t="s">
        <v>2509</v>
      </c>
      <c r="E388" s="8" t="s">
        <v>26</v>
      </c>
      <c r="F388" s="12">
        <v>0</v>
      </c>
      <c r="G388" s="25">
        <v>23900</v>
      </c>
      <c r="H388" s="26">
        <v>11950</v>
      </c>
      <c r="I388" s="14">
        <f>IF(AND(G388&gt;0,H388&gt;0),ROUND((1-H388/G388)*100,0),0)</f>
        <v>50</v>
      </c>
      <c r="J388" s="27" t="s">
        <v>29</v>
      </c>
      <c r="K388" s="12" t="s">
        <v>1888</v>
      </c>
      <c r="L388" s="8" t="s">
        <v>26</v>
      </c>
    </row>
    <row r="389" ht="20" customHeight="1" spans="1:12" x14ac:dyDescent="0.25">
      <c r="A389" s="28" t="s">
        <v>2510</v>
      </c>
      <c r="B389" s="28" t="s">
        <v>504</v>
      </c>
      <c r="C389" s="24">
        <f>IF(B389&lt;&gt;"",IFERROR(VLOOKUP(B389,'📦 Productos'!A:C,3,FALSE),IFERROR(VLOOKUP(B389&amp;"",'📦 Productos'!A:C,3,FALSE),IFERROR(VLOOKUP(VALUE(B389),'📦 Productos'!A:C,3,FALSE),""))),"")</f>
      </c>
      <c r="D389" s="28" t="s">
        <v>2511</v>
      </c>
      <c r="E389" s="29" t="s">
        <v>26</v>
      </c>
      <c r="F389" s="30">
        <v>0</v>
      </c>
      <c r="G389" s="31">
        <v>23900</v>
      </c>
      <c r="H389" s="32">
        <v>11950</v>
      </c>
      <c r="I389" s="14">
        <f>IF(AND(G389&gt;0,H389&gt;0),ROUND((1-H389/G389)*100,0),0)</f>
        <v>50</v>
      </c>
      <c r="J389" s="33" t="s">
        <v>29</v>
      </c>
      <c r="K389" s="30" t="s">
        <v>1888</v>
      </c>
      <c r="L389" s="29" t="s">
        <v>26</v>
      </c>
    </row>
    <row r="390" ht="20" customHeight="1" spans="1:12" x14ac:dyDescent="0.25">
      <c r="A390" s="7" t="s">
        <v>2512</v>
      </c>
      <c r="B390" s="7" t="s">
        <v>504</v>
      </c>
      <c r="C390" s="24">
        <f>IF(B390&lt;&gt;"",IFERROR(VLOOKUP(B390,'📦 Productos'!A:C,3,FALSE),IFERROR(VLOOKUP(B390&amp;"",'📦 Productos'!A:C,3,FALSE),IFERROR(VLOOKUP(VALUE(B390),'📦 Productos'!A:C,3,FALSE),""))),"")</f>
      </c>
      <c r="D390" s="7" t="s">
        <v>2513</v>
      </c>
      <c r="E390" s="8" t="s">
        <v>26</v>
      </c>
      <c r="F390" s="12">
        <v>0</v>
      </c>
      <c r="G390" s="25">
        <v>23900</v>
      </c>
      <c r="H390" s="26">
        <v>15535</v>
      </c>
      <c r="I390" s="14">
        <f>IF(AND(G390&gt;0,H390&gt;0),ROUND((1-H390/G390)*100,0),0)</f>
        <v>35</v>
      </c>
      <c r="J390" s="27" t="s">
        <v>29</v>
      </c>
      <c r="K390" s="12" t="s">
        <v>1888</v>
      </c>
      <c r="L390" s="8" t="s">
        <v>26</v>
      </c>
    </row>
    <row r="391" ht="20" customHeight="1" spans="1:12" x14ac:dyDescent="0.25">
      <c r="A391" s="28" t="s">
        <v>2514</v>
      </c>
      <c r="B391" s="28" t="s">
        <v>504</v>
      </c>
      <c r="C391" s="24">
        <f>IF(B391&lt;&gt;"",IFERROR(VLOOKUP(B391,'📦 Productos'!A:C,3,FALSE),IFERROR(VLOOKUP(B391&amp;"",'📦 Productos'!A:C,3,FALSE),IFERROR(VLOOKUP(VALUE(B391),'📦 Productos'!A:C,3,FALSE),""))),"")</f>
      </c>
      <c r="D391" s="28" t="s">
        <v>2515</v>
      </c>
      <c r="E391" s="29" t="s">
        <v>26</v>
      </c>
      <c r="F391" s="30">
        <v>0</v>
      </c>
      <c r="G391" s="31">
        <v>23900</v>
      </c>
      <c r="H391" s="32">
        <v>15535</v>
      </c>
      <c r="I391" s="14">
        <f>IF(AND(G391&gt;0,H391&gt;0),ROUND((1-H391/G391)*100,0),0)</f>
        <v>35</v>
      </c>
      <c r="J391" s="33" t="s">
        <v>29</v>
      </c>
      <c r="K391" s="30" t="s">
        <v>1888</v>
      </c>
      <c r="L391" s="29" t="s">
        <v>26</v>
      </c>
    </row>
    <row r="392" ht="20" customHeight="1" spans="1:12" x14ac:dyDescent="0.25">
      <c r="A392" s="7" t="s">
        <v>2516</v>
      </c>
      <c r="B392" s="7" t="s">
        <v>504</v>
      </c>
      <c r="C392" s="24">
        <f>IF(B392&lt;&gt;"",IFERROR(VLOOKUP(B392,'📦 Productos'!A:C,3,FALSE),IFERROR(VLOOKUP(B392&amp;"",'📦 Productos'!A:C,3,FALSE),IFERROR(VLOOKUP(VALUE(B392),'📦 Productos'!A:C,3,FALSE),""))),"")</f>
      </c>
      <c r="D392" s="7" t="s">
        <v>2517</v>
      </c>
      <c r="E392" s="8" t="s">
        <v>26</v>
      </c>
      <c r="F392" s="12">
        <v>0</v>
      </c>
      <c r="G392" s="25">
        <v>23900</v>
      </c>
      <c r="H392" s="26">
        <v>15535</v>
      </c>
      <c r="I392" s="14">
        <f>IF(AND(G392&gt;0,H392&gt;0),ROUND((1-H392/G392)*100,0),0)</f>
        <v>35</v>
      </c>
      <c r="J392" s="27" t="s">
        <v>29</v>
      </c>
      <c r="K392" s="12" t="s">
        <v>1888</v>
      </c>
      <c r="L392" s="8" t="s">
        <v>26</v>
      </c>
    </row>
    <row r="393" ht="20" customHeight="1" spans="1:12" x14ac:dyDescent="0.25">
      <c r="A393" s="28" t="s">
        <v>2518</v>
      </c>
      <c r="B393" s="28" t="s">
        <v>507</v>
      </c>
      <c r="C393" s="24">
        <f>IF(B393&lt;&gt;"",IFERROR(VLOOKUP(B393,'📦 Productos'!A:C,3,FALSE),IFERROR(VLOOKUP(B393&amp;"",'📦 Productos'!A:C,3,FALSE),IFERROR(VLOOKUP(VALUE(B393),'📦 Productos'!A:C,3,FALSE),""))),"")</f>
      </c>
      <c r="D393" s="28" t="s">
        <v>26</v>
      </c>
      <c r="E393" s="29" t="s">
        <v>26</v>
      </c>
      <c r="F393" s="30">
        <v>0</v>
      </c>
      <c r="G393" s="31">
        <v>23900</v>
      </c>
      <c r="H393" s="32">
        <v>11950</v>
      </c>
      <c r="I393" s="14">
        <f>IF(AND(G393&gt;0,H393&gt;0),ROUND((1-H393/G393)*100,0),0)</f>
        <v>50</v>
      </c>
      <c r="J393" s="33" t="s">
        <v>29</v>
      </c>
      <c r="K393" s="30" t="s">
        <v>1888</v>
      </c>
      <c r="L393" s="29" t="s">
        <v>26</v>
      </c>
    </row>
    <row r="394" ht="20" customHeight="1" spans="1:12" x14ac:dyDescent="0.25">
      <c r="A394" s="7" t="s">
        <v>2519</v>
      </c>
      <c r="B394" s="7" t="s">
        <v>509</v>
      </c>
      <c r="C394" s="24">
        <f>IF(B394&lt;&gt;"",IFERROR(VLOOKUP(B394,'📦 Productos'!A:C,3,FALSE),IFERROR(VLOOKUP(B394&amp;"",'📦 Productos'!A:C,3,FALSE),IFERROR(VLOOKUP(VALUE(B394),'📦 Productos'!A:C,3,FALSE),""))),"")</f>
      </c>
      <c r="D394" s="7" t="s">
        <v>26</v>
      </c>
      <c r="E394" s="8" t="s">
        <v>26</v>
      </c>
      <c r="F394" s="12">
        <v>0</v>
      </c>
      <c r="G394" s="25">
        <v>23900</v>
      </c>
      <c r="H394" s="26">
        <v>15535</v>
      </c>
      <c r="I394" s="14">
        <f>IF(AND(G394&gt;0,H394&gt;0),ROUND((1-H394/G394)*100,0),0)</f>
        <v>35</v>
      </c>
      <c r="J394" s="27" t="s">
        <v>29</v>
      </c>
      <c r="K394" s="12" t="s">
        <v>1888</v>
      </c>
      <c r="L394" s="8" t="s">
        <v>26</v>
      </c>
    </row>
    <row r="395" ht="20" customHeight="1" spans="1:12" x14ac:dyDescent="0.25">
      <c r="A395" s="28" t="s">
        <v>2520</v>
      </c>
      <c r="B395" s="28" t="s">
        <v>511</v>
      </c>
      <c r="C395" s="24">
        <f>IF(B395&lt;&gt;"",IFERROR(VLOOKUP(B395,'📦 Productos'!A:C,3,FALSE),IFERROR(VLOOKUP(B395&amp;"",'📦 Productos'!A:C,3,FALSE),IFERROR(VLOOKUP(VALUE(B395),'📦 Productos'!A:C,3,FALSE),""))),"")</f>
      </c>
      <c r="D395" s="28" t="s">
        <v>26</v>
      </c>
      <c r="E395" s="29" t="s">
        <v>26</v>
      </c>
      <c r="F395" s="30">
        <v>0</v>
      </c>
      <c r="G395" s="31">
        <v>23900</v>
      </c>
      <c r="H395" s="32">
        <v>11950</v>
      </c>
      <c r="I395" s="14">
        <f>IF(AND(G395&gt;0,H395&gt;0),ROUND((1-H395/G395)*100,0),0)</f>
        <v>50</v>
      </c>
      <c r="J395" s="33" t="s">
        <v>29</v>
      </c>
      <c r="K395" s="30" t="s">
        <v>1888</v>
      </c>
      <c r="L395" s="29" t="s">
        <v>26</v>
      </c>
    </row>
    <row r="396" ht="20" customHeight="1" spans="1:12" x14ac:dyDescent="0.25">
      <c r="A396" s="7" t="s">
        <v>2521</v>
      </c>
      <c r="B396" s="7" t="s">
        <v>513</v>
      </c>
      <c r="C396" s="24">
        <f>IF(B396&lt;&gt;"",IFERROR(VLOOKUP(B396,'📦 Productos'!A:C,3,FALSE),IFERROR(VLOOKUP(B396&amp;"",'📦 Productos'!A:C,3,FALSE),IFERROR(VLOOKUP(VALUE(B396),'📦 Productos'!A:C,3,FALSE),""))),"")</f>
      </c>
      <c r="D396" s="7" t="s">
        <v>26</v>
      </c>
      <c r="E396" s="8" t="s">
        <v>26</v>
      </c>
      <c r="F396" s="12">
        <v>0</v>
      </c>
      <c r="G396" s="25">
        <v>21900</v>
      </c>
      <c r="H396" s="26">
        <v>10950</v>
      </c>
      <c r="I396" s="14">
        <f>IF(AND(G396&gt;0,H396&gt;0),ROUND((1-H396/G396)*100,0),0)</f>
        <v>50</v>
      </c>
      <c r="J396" s="27" t="s">
        <v>29</v>
      </c>
      <c r="K396" s="12" t="s">
        <v>1888</v>
      </c>
      <c r="L396" s="8" t="s">
        <v>26</v>
      </c>
    </row>
    <row r="397" ht="20" customHeight="1" spans="1:12" x14ac:dyDescent="0.25">
      <c r="A397" s="28" t="s">
        <v>2522</v>
      </c>
      <c r="B397" s="28" t="s">
        <v>513</v>
      </c>
      <c r="C397" s="24">
        <f>IF(B397&lt;&gt;"",IFERROR(VLOOKUP(B397,'📦 Productos'!A:C,3,FALSE),IFERROR(VLOOKUP(B397&amp;"",'📦 Productos'!A:C,3,FALSE),IFERROR(VLOOKUP(VALUE(B397),'📦 Productos'!A:C,3,FALSE),""))),"")</f>
      </c>
      <c r="D397" s="28" t="s">
        <v>26</v>
      </c>
      <c r="E397" s="29" t="s">
        <v>26</v>
      </c>
      <c r="F397" s="30">
        <v>0</v>
      </c>
      <c r="G397" s="31">
        <v>21900</v>
      </c>
      <c r="H397" s="32">
        <v>10950</v>
      </c>
      <c r="I397" s="14">
        <f>IF(AND(G397&gt;0,H397&gt;0),ROUND((1-H397/G397)*100,0),0)</f>
        <v>50</v>
      </c>
      <c r="J397" s="33" t="s">
        <v>29</v>
      </c>
      <c r="K397" s="30" t="s">
        <v>1888</v>
      </c>
      <c r="L397" s="29" t="s">
        <v>26</v>
      </c>
    </row>
    <row r="398" ht="20" customHeight="1" spans="1:12" x14ac:dyDescent="0.25">
      <c r="A398" s="7" t="s">
        <v>2523</v>
      </c>
      <c r="B398" s="7" t="s">
        <v>513</v>
      </c>
      <c r="C398" s="24">
        <f>IF(B398&lt;&gt;"",IFERROR(VLOOKUP(B398,'📦 Productos'!A:C,3,FALSE),IFERROR(VLOOKUP(B398&amp;"",'📦 Productos'!A:C,3,FALSE),IFERROR(VLOOKUP(VALUE(B398),'📦 Productos'!A:C,3,FALSE),""))),"")</f>
      </c>
      <c r="D398" s="7" t="s">
        <v>26</v>
      </c>
      <c r="E398" s="8" t="s">
        <v>26</v>
      </c>
      <c r="F398" s="12">
        <v>0</v>
      </c>
      <c r="G398" s="25">
        <v>21900</v>
      </c>
      <c r="H398" s="26">
        <v>10950</v>
      </c>
      <c r="I398" s="14">
        <f>IF(AND(G398&gt;0,H398&gt;0),ROUND((1-H398/G398)*100,0),0)</f>
        <v>50</v>
      </c>
      <c r="J398" s="27" t="s">
        <v>29</v>
      </c>
      <c r="K398" s="12" t="s">
        <v>1888</v>
      </c>
      <c r="L398" s="8" t="s">
        <v>26</v>
      </c>
    </row>
    <row r="399" ht="20" customHeight="1" spans="1:12" x14ac:dyDescent="0.25">
      <c r="A399" s="28" t="s">
        <v>2524</v>
      </c>
      <c r="B399" s="28" t="s">
        <v>515</v>
      </c>
      <c r="C399" s="24">
        <f>IF(B399&lt;&gt;"",IFERROR(VLOOKUP(B399,'📦 Productos'!A:C,3,FALSE),IFERROR(VLOOKUP(B399&amp;"",'📦 Productos'!A:C,3,FALSE),IFERROR(VLOOKUP(VALUE(B399),'📦 Productos'!A:C,3,FALSE),""))),"")</f>
      </c>
      <c r="D399" s="28" t="s">
        <v>516</v>
      </c>
      <c r="E399" s="29" t="s">
        <v>26</v>
      </c>
      <c r="F399" s="30">
        <v>0</v>
      </c>
      <c r="G399" s="31">
        <v>23900</v>
      </c>
      <c r="H399" s="32">
        <v>15535</v>
      </c>
      <c r="I399" s="14">
        <f>IF(AND(G399&gt;0,H399&gt;0),ROUND((1-H399/G399)*100,0),0)</f>
        <v>35</v>
      </c>
      <c r="J399" s="33" t="s">
        <v>29</v>
      </c>
      <c r="K399" s="30" t="s">
        <v>1888</v>
      </c>
      <c r="L399" s="29" t="s">
        <v>26</v>
      </c>
    </row>
    <row r="400" ht="20" customHeight="1" spans="1:12" x14ac:dyDescent="0.25">
      <c r="A400" s="7" t="s">
        <v>2525</v>
      </c>
      <c r="B400" s="7" t="s">
        <v>515</v>
      </c>
      <c r="C400" s="24">
        <f>IF(B400&lt;&gt;"",IFERROR(VLOOKUP(B400,'📦 Productos'!A:C,3,FALSE),IFERROR(VLOOKUP(B400&amp;"",'📦 Productos'!A:C,3,FALSE),IFERROR(VLOOKUP(VALUE(B400),'📦 Productos'!A:C,3,FALSE),""))),"")</f>
      </c>
      <c r="D400" s="7" t="s">
        <v>2526</v>
      </c>
      <c r="E400" s="8" t="s">
        <v>26</v>
      </c>
      <c r="F400" s="12">
        <v>0</v>
      </c>
      <c r="G400" s="25">
        <v>23900</v>
      </c>
      <c r="H400" s="26">
        <v>15535</v>
      </c>
      <c r="I400" s="14">
        <f>IF(AND(G400&gt;0,H400&gt;0),ROUND((1-H400/G400)*100,0),0)</f>
        <v>35</v>
      </c>
      <c r="J400" s="27" t="s">
        <v>29</v>
      </c>
      <c r="K400" s="12" t="s">
        <v>1888</v>
      </c>
      <c r="L400" s="8" t="s">
        <v>26</v>
      </c>
    </row>
    <row r="401" ht="20" customHeight="1" spans="1:12" x14ac:dyDescent="0.25">
      <c r="A401" s="28" t="s">
        <v>2527</v>
      </c>
      <c r="B401" s="28" t="s">
        <v>515</v>
      </c>
      <c r="C401" s="24">
        <f>IF(B401&lt;&gt;"",IFERROR(VLOOKUP(B401,'📦 Productos'!A:C,3,FALSE),IFERROR(VLOOKUP(B401&amp;"",'📦 Productos'!A:C,3,FALSE),IFERROR(VLOOKUP(VALUE(B401),'📦 Productos'!A:C,3,FALSE),""))),"")</f>
      </c>
      <c r="D401" s="28" t="s">
        <v>2528</v>
      </c>
      <c r="E401" s="29" t="s">
        <v>26</v>
      </c>
      <c r="F401" s="30">
        <v>0</v>
      </c>
      <c r="G401" s="31">
        <v>23900</v>
      </c>
      <c r="H401" s="32">
        <v>15535</v>
      </c>
      <c r="I401" s="14">
        <f>IF(AND(G401&gt;0,H401&gt;0),ROUND((1-H401/G401)*100,0),0)</f>
        <v>35</v>
      </c>
      <c r="J401" s="33" t="s">
        <v>29</v>
      </c>
      <c r="K401" s="30" t="s">
        <v>1888</v>
      </c>
      <c r="L401" s="29" t="s">
        <v>26</v>
      </c>
    </row>
    <row r="402" ht="20" customHeight="1" spans="1:12" x14ac:dyDescent="0.25">
      <c r="A402" s="7" t="s">
        <v>2529</v>
      </c>
      <c r="B402" s="7" t="s">
        <v>518</v>
      </c>
      <c r="C402" s="24">
        <f>IF(B402&lt;&gt;"",IFERROR(VLOOKUP(B402,'📦 Productos'!A:C,3,FALSE),IFERROR(VLOOKUP(B402&amp;"",'📦 Productos'!A:C,3,FALSE),IFERROR(VLOOKUP(VALUE(B402),'📦 Productos'!A:C,3,FALSE),""))),"")</f>
      </c>
      <c r="D402" s="7" t="s">
        <v>519</v>
      </c>
      <c r="E402" s="8" t="s">
        <v>26</v>
      </c>
      <c r="F402" s="12">
        <v>0</v>
      </c>
      <c r="G402" s="25">
        <v>27300</v>
      </c>
      <c r="H402" s="26">
        <v>13650</v>
      </c>
      <c r="I402" s="14">
        <f>IF(AND(G402&gt;0,H402&gt;0),ROUND((1-H402/G402)*100,0),0)</f>
        <v>50</v>
      </c>
      <c r="J402" s="27" t="s">
        <v>29</v>
      </c>
      <c r="K402" s="12" t="s">
        <v>1888</v>
      </c>
      <c r="L402" s="8" t="s">
        <v>26</v>
      </c>
    </row>
    <row r="403" ht="20" customHeight="1" spans="1:12" x14ac:dyDescent="0.25">
      <c r="A403" s="28" t="s">
        <v>2530</v>
      </c>
      <c r="B403" s="28" t="s">
        <v>518</v>
      </c>
      <c r="C403" s="24">
        <f>IF(B403&lt;&gt;"",IFERROR(VLOOKUP(B403,'📦 Productos'!A:C,3,FALSE),IFERROR(VLOOKUP(B403&amp;"",'📦 Productos'!A:C,3,FALSE),IFERROR(VLOOKUP(VALUE(B403),'📦 Productos'!A:C,3,FALSE),""))),"")</f>
      </c>
      <c r="D403" s="28" t="s">
        <v>2531</v>
      </c>
      <c r="E403" s="29" t="s">
        <v>26</v>
      </c>
      <c r="F403" s="30">
        <v>0</v>
      </c>
      <c r="G403" s="31">
        <v>27300</v>
      </c>
      <c r="H403" s="32">
        <v>13650</v>
      </c>
      <c r="I403" s="14">
        <f>IF(AND(G403&gt;0,H403&gt;0),ROUND((1-H403/G403)*100,0),0)</f>
        <v>50</v>
      </c>
      <c r="J403" s="33" t="s">
        <v>29</v>
      </c>
      <c r="K403" s="30" t="s">
        <v>1888</v>
      </c>
      <c r="L403" s="29" t="s">
        <v>26</v>
      </c>
    </row>
    <row r="404" ht="20" customHeight="1" spans="1:12" x14ac:dyDescent="0.25">
      <c r="A404" s="7" t="s">
        <v>2532</v>
      </c>
      <c r="B404" s="7" t="s">
        <v>518</v>
      </c>
      <c r="C404" s="24">
        <f>IF(B404&lt;&gt;"",IFERROR(VLOOKUP(B404,'📦 Productos'!A:C,3,FALSE),IFERROR(VLOOKUP(B404&amp;"",'📦 Productos'!A:C,3,FALSE),IFERROR(VLOOKUP(VALUE(B404),'📦 Productos'!A:C,3,FALSE),""))),"")</f>
      </c>
      <c r="D404" s="7" t="s">
        <v>2533</v>
      </c>
      <c r="E404" s="8" t="s">
        <v>26</v>
      </c>
      <c r="F404" s="12">
        <v>0</v>
      </c>
      <c r="G404" s="25">
        <v>27300</v>
      </c>
      <c r="H404" s="26">
        <v>13650</v>
      </c>
      <c r="I404" s="14">
        <f>IF(AND(G404&gt;0,H404&gt;0),ROUND((1-H404/G404)*100,0),0)</f>
        <v>50</v>
      </c>
      <c r="J404" s="27" t="s">
        <v>29</v>
      </c>
      <c r="K404" s="12" t="s">
        <v>1888</v>
      </c>
      <c r="L404" s="8" t="s">
        <v>26</v>
      </c>
    </row>
    <row r="405" ht="20" customHeight="1" spans="1:12" x14ac:dyDescent="0.25">
      <c r="A405" s="28" t="s">
        <v>2534</v>
      </c>
      <c r="B405" s="28" t="s">
        <v>518</v>
      </c>
      <c r="C405" s="24">
        <f>IF(B405&lt;&gt;"",IFERROR(VLOOKUP(B405,'📦 Productos'!A:C,3,FALSE),IFERROR(VLOOKUP(B405&amp;"",'📦 Productos'!A:C,3,FALSE),IFERROR(VLOOKUP(VALUE(B405),'📦 Productos'!A:C,3,FALSE),""))),"")</f>
      </c>
      <c r="D405" s="28" t="s">
        <v>2535</v>
      </c>
      <c r="E405" s="29" t="s">
        <v>26</v>
      </c>
      <c r="F405" s="30">
        <v>0</v>
      </c>
      <c r="G405" s="31">
        <v>27300</v>
      </c>
      <c r="H405" s="32">
        <v>13650</v>
      </c>
      <c r="I405" s="14">
        <f>IF(AND(G405&gt;0,H405&gt;0),ROUND((1-H405/G405)*100,0),0)</f>
        <v>50</v>
      </c>
      <c r="J405" s="33" t="s">
        <v>29</v>
      </c>
      <c r="K405" s="30" t="s">
        <v>1888</v>
      </c>
      <c r="L405" s="29" t="s">
        <v>26</v>
      </c>
    </row>
    <row r="406" ht="20" customHeight="1" spans="1:12" x14ac:dyDescent="0.25">
      <c r="A406" s="7" t="s">
        <v>2536</v>
      </c>
      <c r="B406" s="7" t="s">
        <v>518</v>
      </c>
      <c r="C406" s="24">
        <f>IF(B406&lt;&gt;"",IFERROR(VLOOKUP(B406,'📦 Productos'!A:C,3,FALSE),IFERROR(VLOOKUP(B406&amp;"",'📦 Productos'!A:C,3,FALSE),IFERROR(VLOOKUP(VALUE(B406),'📦 Productos'!A:C,3,FALSE),""))),"")</f>
      </c>
      <c r="D406" s="7" t="s">
        <v>2537</v>
      </c>
      <c r="E406" s="8" t="s">
        <v>26</v>
      </c>
      <c r="F406" s="12">
        <v>0</v>
      </c>
      <c r="G406" s="25">
        <v>27300</v>
      </c>
      <c r="H406" s="26">
        <v>13650</v>
      </c>
      <c r="I406" s="14">
        <f>IF(AND(G406&gt;0,H406&gt;0),ROUND((1-H406/G406)*100,0),0)</f>
        <v>50</v>
      </c>
      <c r="J406" s="27" t="s">
        <v>29</v>
      </c>
      <c r="K406" s="12" t="s">
        <v>1888</v>
      </c>
      <c r="L406" s="8" t="s">
        <v>26</v>
      </c>
    </row>
    <row r="407" ht="20" customHeight="1" spans="1:12" x14ac:dyDescent="0.25">
      <c r="A407" s="28" t="s">
        <v>2538</v>
      </c>
      <c r="B407" s="28" t="s">
        <v>518</v>
      </c>
      <c r="C407" s="24">
        <f>IF(B407&lt;&gt;"",IFERROR(VLOOKUP(B407,'📦 Productos'!A:C,3,FALSE),IFERROR(VLOOKUP(B407&amp;"",'📦 Productos'!A:C,3,FALSE),IFERROR(VLOOKUP(VALUE(B407),'📦 Productos'!A:C,3,FALSE),""))),"")</f>
      </c>
      <c r="D407" s="28" t="s">
        <v>2539</v>
      </c>
      <c r="E407" s="29" t="s">
        <v>26</v>
      </c>
      <c r="F407" s="30">
        <v>0</v>
      </c>
      <c r="G407" s="31">
        <v>27300</v>
      </c>
      <c r="H407" s="32">
        <v>13650</v>
      </c>
      <c r="I407" s="14">
        <f>IF(AND(G407&gt;0,H407&gt;0),ROUND((1-H407/G407)*100,0),0)</f>
        <v>50</v>
      </c>
      <c r="J407" s="33" t="s">
        <v>29</v>
      </c>
      <c r="K407" s="30" t="s">
        <v>1888</v>
      </c>
      <c r="L407" s="29" t="s">
        <v>26</v>
      </c>
    </row>
    <row r="408" ht="20" customHeight="1" spans="1:12" x14ac:dyDescent="0.25">
      <c r="A408" s="7" t="s">
        <v>2540</v>
      </c>
      <c r="B408" s="7" t="s">
        <v>518</v>
      </c>
      <c r="C408" s="24">
        <f>IF(B408&lt;&gt;"",IFERROR(VLOOKUP(B408,'📦 Productos'!A:C,3,FALSE),IFERROR(VLOOKUP(B408&amp;"",'📦 Productos'!A:C,3,FALSE),IFERROR(VLOOKUP(VALUE(B408),'📦 Productos'!A:C,3,FALSE),""))),"")</f>
      </c>
      <c r="D408" s="7" t="s">
        <v>2541</v>
      </c>
      <c r="E408" s="8" t="s">
        <v>26</v>
      </c>
      <c r="F408" s="12">
        <v>0</v>
      </c>
      <c r="G408" s="25">
        <v>27300</v>
      </c>
      <c r="H408" s="26">
        <v>13650</v>
      </c>
      <c r="I408" s="14">
        <f>IF(AND(G408&gt;0,H408&gt;0),ROUND((1-H408/G408)*100,0),0)</f>
        <v>50</v>
      </c>
      <c r="J408" s="27" t="s">
        <v>29</v>
      </c>
      <c r="K408" s="12" t="s">
        <v>1888</v>
      </c>
      <c r="L408" s="8" t="s">
        <v>26</v>
      </c>
    </row>
    <row r="409" ht="20" customHeight="1" spans="1:12" x14ac:dyDescent="0.25">
      <c r="A409" s="28" t="s">
        <v>2542</v>
      </c>
      <c r="B409" s="28" t="s">
        <v>518</v>
      </c>
      <c r="C409" s="24">
        <f>IF(B409&lt;&gt;"",IFERROR(VLOOKUP(B409,'📦 Productos'!A:C,3,FALSE),IFERROR(VLOOKUP(B409&amp;"",'📦 Productos'!A:C,3,FALSE),IFERROR(VLOOKUP(VALUE(B409),'📦 Productos'!A:C,3,FALSE),""))),"")</f>
      </c>
      <c r="D409" s="28" t="s">
        <v>2543</v>
      </c>
      <c r="E409" s="29" t="s">
        <v>26</v>
      </c>
      <c r="F409" s="30">
        <v>0</v>
      </c>
      <c r="G409" s="31">
        <v>27300</v>
      </c>
      <c r="H409" s="32">
        <v>13650</v>
      </c>
      <c r="I409" s="14">
        <f>IF(AND(G409&gt;0,H409&gt;0),ROUND((1-H409/G409)*100,0),0)</f>
        <v>50</v>
      </c>
      <c r="J409" s="33" t="s">
        <v>29</v>
      </c>
      <c r="K409" s="30" t="s">
        <v>1888</v>
      </c>
      <c r="L409" s="29" t="s">
        <v>26</v>
      </c>
    </row>
    <row r="410" ht="20" customHeight="1" spans="1:12" x14ac:dyDescent="0.25">
      <c r="A410" s="7" t="s">
        <v>2544</v>
      </c>
      <c r="B410" s="7" t="s">
        <v>518</v>
      </c>
      <c r="C410" s="24">
        <f>IF(B410&lt;&gt;"",IFERROR(VLOOKUP(B410,'📦 Productos'!A:C,3,FALSE),IFERROR(VLOOKUP(B410&amp;"",'📦 Productos'!A:C,3,FALSE),IFERROR(VLOOKUP(VALUE(B410),'📦 Productos'!A:C,3,FALSE),""))),"")</f>
      </c>
      <c r="D410" s="7" t="s">
        <v>2545</v>
      </c>
      <c r="E410" s="8" t="s">
        <v>26</v>
      </c>
      <c r="F410" s="12">
        <v>0</v>
      </c>
      <c r="G410" s="25">
        <v>27300</v>
      </c>
      <c r="H410" s="26">
        <v>13650</v>
      </c>
      <c r="I410" s="14">
        <f>IF(AND(G410&gt;0,H410&gt;0),ROUND((1-H410/G410)*100,0),0)</f>
        <v>50</v>
      </c>
      <c r="J410" s="27" t="s">
        <v>29</v>
      </c>
      <c r="K410" s="12" t="s">
        <v>1888</v>
      </c>
      <c r="L410" s="8" t="s">
        <v>26</v>
      </c>
    </row>
    <row r="411" ht="20" customHeight="1" spans="1:12" x14ac:dyDescent="0.25">
      <c r="A411" s="28" t="s">
        <v>2546</v>
      </c>
      <c r="B411" s="28" t="s">
        <v>518</v>
      </c>
      <c r="C411" s="24">
        <f>IF(B411&lt;&gt;"",IFERROR(VLOOKUP(B411,'📦 Productos'!A:C,3,FALSE),IFERROR(VLOOKUP(B411&amp;"",'📦 Productos'!A:C,3,FALSE),IFERROR(VLOOKUP(VALUE(B411),'📦 Productos'!A:C,3,FALSE),""))),"")</f>
      </c>
      <c r="D411" s="28" t="s">
        <v>2547</v>
      </c>
      <c r="E411" s="29" t="s">
        <v>26</v>
      </c>
      <c r="F411" s="30">
        <v>0</v>
      </c>
      <c r="G411" s="31">
        <v>27300</v>
      </c>
      <c r="H411" s="32">
        <v>13650</v>
      </c>
      <c r="I411" s="14">
        <f>IF(AND(G411&gt;0,H411&gt;0),ROUND((1-H411/G411)*100,0),0)</f>
        <v>50</v>
      </c>
      <c r="J411" s="33" t="s">
        <v>29</v>
      </c>
      <c r="K411" s="30" t="s">
        <v>1888</v>
      </c>
      <c r="L411" s="29" t="s">
        <v>26</v>
      </c>
    </row>
    <row r="412" ht="20" customHeight="1" spans="1:12" x14ac:dyDescent="0.25">
      <c r="A412" s="7" t="s">
        <v>2548</v>
      </c>
      <c r="B412" s="7" t="s">
        <v>518</v>
      </c>
      <c r="C412" s="24">
        <f>IF(B412&lt;&gt;"",IFERROR(VLOOKUP(B412,'📦 Productos'!A:C,3,FALSE),IFERROR(VLOOKUP(B412&amp;"",'📦 Productos'!A:C,3,FALSE),IFERROR(VLOOKUP(VALUE(B412),'📦 Productos'!A:C,3,FALSE),""))),"")</f>
      </c>
      <c r="D412" s="7" t="s">
        <v>2549</v>
      </c>
      <c r="E412" s="8" t="s">
        <v>26</v>
      </c>
      <c r="F412" s="12">
        <v>0</v>
      </c>
      <c r="G412" s="25">
        <v>27300</v>
      </c>
      <c r="H412" s="26">
        <v>17745</v>
      </c>
      <c r="I412" s="14">
        <f>IF(AND(G412&gt;0,H412&gt;0),ROUND((1-H412/G412)*100,0),0)</f>
        <v>35</v>
      </c>
      <c r="J412" s="27" t="s">
        <v>29</v>
      </c>
      <c r="K412" s="12" t="s">
        <v>1888</v>
      </c>
      <c r="L412" s="8" t="s">
        <v>26</v>
      </c>
    </row>
    <row r="413" ht="20" customHeight="1" spans="1:12" x14ac:dyDescent="0.25">
      <c r="A413" s="28" t="s">
        <v>2550</v>
      </c>
      <c r="B413" s="28" t="s">
        <v>518</v>
      </c>
      <c r="C413" s="24">
        <f>IF(B413&lt;&gt;"",IFERROR(VLOOKUP(B413,'📦 Productos'!A:C,3,FALSE),IFERROR(VLOOKUP(B413&amp;"",'📦 Productos'!A:C,3,FALSE),IFERROR(VLOOKUP(VALUE(B413),'📦 Productos'!A:C,3,FALSE),""))),"")</f>
      </c>
      <c r="D413" s="28" t="s">
        <v>2551</v>
      </c>
      <c r="E413" s="29" t="s">
        <v>26</v>
      </c>
      <c r="F413" s="30">
        <v>0</v>
      </c>
      <c r="G413" s="31">
        <v>27300</v>
      </c>
      <c r="H413" s="32">
        <v>17745</v>
      </c>
      <c r="I413" s="14">
        <f>IF(AND(G413&gt;0,H413&gt;0),ROUND((1-H413/G413)*100,0),0)</f>
        <v>35</v>
      </c>
      <c r="J413" s="33" t="s">
        <v>29</v>
      </c>
      <c r="K413" s="30" t="s">
        <v>1888</v>
      </c>
      <c r="L413" s="29" t="s">
        <v>26</v>
      </c>
    </row>
    <row r="414" ht="20" customHeight="1" spans="1:12" x14ac:dyDescent="0.25">
      <c r="A414" s="7" t="s">
        <v>2552</v>
      </c>
      <c r="B414" s="7" t="s">
        <v>518</v>
      </c>
      <c r="C414" s="24">
        <f>IF(B414&lt;&gt;"",IFERROR(VLOOKUP(B414,'📦 Productos'!A:C,3,FALSE),IFERROR(VLOOKUP(B414&amp;"",'📦 Productos'!A:C,3,FALSE),IFERROR(VLOOKUP(VALUE(B414),'📦 Productos'!A:C,3,FALSE),""))),"")</f>
      </c>
      <c r="D414" s="7" t="s">
        <v>2553</v>
      </c>
      <c r="E414" s="8" t="s">
        <v>26</v>
      </c>
      <c r="F414" s="12">
        <v>0</v>
      </c>
      <c r="G414" s="25">
        <v>27300</v>
      </c>
      <c r="H414" s="26">
        <v>13650</v>
      </c>
      <c r="I414" s="14">
        <f>IF(AND(G414&gt;0,H414&gt;0),ROUND((1-H414/G414)*100,0),0)</f>
        <v>50</v>
      </c>
      <c r="J414" s="27" t="s">
        <v>29</v>
      </c>
      <c r="K414" s="12" t="s">
        <v>1888</v>
      </c>
      <c r="L414" s="8" t="s">
        <v>26</v>
      </c>
    </row>
    <row r="415" ht="20" customHeight="1" spans="1:12" x14ac:dyDescent="0.25">
      <c r="A415" s="28" t="s">
        <v>2554</v>
      </c>
      <c r="B415" s="28" t="s">
        <v>522</v>
      </c>
      <c r="C415" s="24">
        <f>IF(B415&lt;&gt;"",IFERROR(VLOOKUP(B415,'📦 Productos'!A:C,3,FALSE),IFERROR(VLOOKUP(B415&amp;"",'📦 Productos'!A:C,3,FALSE),IFERROR(VLOOKUP(VALUE(B415),'📦 Productos'!A:C,3,FALSE),""))),"")</f>
      </c>
      <c r="D415" s="28" t="s">
        <v>26</v>
      </c>
      <c r="E415" s="29" t="s">
        <v>26</v>
      </c>
      <c r="F415" s="30">
        <v>0</v>
      </c>
      <c r="G415" s="31">
        <v>21900</v>
      </c>
      <c r="H415" s="32">
        <v>10950</v>
      </c>
      <c r="I415" s="14">
        <f>IF(AND(G415&gt;0,H415&gt;0),ROUND((1-H415/G415)*100,0),0)</f>
        <v>50</v>
      </c>
      <c r="J415" s="33" t="s">
        <v>29</v>
      </c>
      <c r="K415" s="30" t="s">
        <v>1888</v>
      </c>
      <c r="L415" s="29" t="s">
        <v>26</v>
      </c>
    </row>
    <row r="416" ht="20" customHeight="1" spans="1:12" x14ac:dyDescent="0.25">
      <c r="A416" s="7" t="s">
        <v>2555</v>
      </c>
      <c r="B416" s="7" t="s">
        <v>524</v>
      </c>
      <c r="C416" s="24">
        <f>IF(B416&lt;&gt;"",IFERROR(VLOOKUP(B416,'📦 Productos'!A:C,3,FALSE),IFERROR(VLOOKUP(B416&amp;"",'📦 Productos'!A:C,3,FALSE),IFERROR(VLOOKUP(VALUE(B416),'📦 Productos'!A:C,3,FALSE),""))),"")</f>
      </c>
      <c r="D416" s="7" t="s">
        <v>26</v>
      </c>
      <c r="E416" s="8" t="s">
        <v>26</v>
      </c>
      <c r="F416" s="12">
        <v>0</v>
      </c>
      <c r="G416" s="25">
        <v>30900</v>
      </c>
      <c r="H416" s="26"/>
      <c r="I416" s="14">
        <f>IF(AND(G416&gt;0,H416&gt;0),ROUND((1-H416/G416)*100,0),0)</f>
        <v>0</v>
      </c>
      <c r="J416" s="27" t="s">
        <v>29</v>
      </c>
      <c r="K416" s="12" t="s">
        <v>1888</v>
      </c>
      <c r="L416" s="8" t="s">
        <v>26</v>
      </c>
    </row>
    <row r="417" ht="20" customHeight="1" spans="1:12" x14ac:dyDescent="0.25">
      <c r="A417" s="28" t="s">
        <v>2556</v>
      </c>
      <c r="B417" s="28" t="s">
        <v>527</v>
      </c>
      <c r="C417" s="24">
        <f>IF(B417&lt;&gt;"",IFERROR(VLOOKUP(B417,'📦 Productos'!A:C,3,FALSE),IFERROR(VLOOKUP(B417&amp;"",'📦 Productos'!A:C,3,FALSE),IFERROR(VLOOKUP(VALUE(B417),'📦 Productos'!A:C,3,FALSE),""))),"")</f>
      </c>
      <c r="D417" s="28" t="s">
        <v>26</v>
      </c>
      <c r="E417" s="29" t="s">
        <v>26</v>
      </c>
      <c r="F417" s="30">
        <v>0</v>
      </c>
      <c r="G417" s="31">
        <v>24300</v>
      </c>
      <c r="H417" s="32">
        <v>12150</v>
      </c>
      <c r="I417" s="14">
        <f>IF(AND(G417&gt;0,H417&gt;0),ROUND((1-H417/G417)*100,0),0)</f>
        <v>50</v>
      </c>
      <c r="J417" s="33" t="s">
        <v>29</v>
      </c>
      <c r="K417" s="30" t="s">
        <v>1888</v>
      </c>
      <c r="L417" s="29" t="s">
        <v>26</v>
      </c>
    </row>
    <row r="418" ht="20" customHeight="1" spans="1:12" x14ac:dyDescent="0.25">
      <c r="A418" s="7" t="s">
        <v>2557</v>
      </c>
      <c r="B418" s="7" t="s">
        <v>529</v>
      </c>
      <c r="C418" s="24">
        <f>IF(B418&lt;&gt;"",IFERROR(VLOOKUP(B418,'📦 Productos'!A:C,3,FALSE),IFERROR(VLOOKUP(B418&amp;"",'📦 Productos'!A:C,3,FALSE),IFERROR(VLOOKUP(VALUE(B418),'📦 Productos'!A:C,3,FALSE),""))),"")</f>
      </c>
      <c r="D418" s="7" t="s">
        <v>530</v>
      </c>
      <c r="E418" s="8" t="s">
        <v>26</v>
      </c>
      <c r="F418" s="12">
        <v>0</v>
      </c>
      <c r="G418" s="25">
        <v>11100</v>
      </c>
      <c r="H418" s="26">
        <v>5550</v>
      </c>
      <c r="I418" s="14">
        <f>IF(AND(G418&gt;0,H418&gt;0),ROUND((1-H418/G418)*100,0),0)</f>
        <v>50</v>
      </c>
      <c r="J418" s="27" t="s">
        <v>29</v>
      </c>
      <c r="K418" s="12" t="s">
        <v>1888</v>
      </c>
      <c r="L418" s="8" t="s">
        <v>26</v>
      </c>
    </row>
    <row r="419" ht="20" customHeight="1" spans="1:12" x14ac:dyDescent="0.25">
      <c r="A419" s="28" t="s">
        <v>2558</v>
      </c>
      <c r="B419" s="28" t="s">
        <v>532</v>
      </c>
      <c r="C419" s="24">
        <f>IF(B419&lt;&gt;"",IFERROR(VLOOKUP(B419,'📦 Productos'!A:C,3,FALSE),IFERROR(VLOOKUP(B419&amp;"",'📦 Productos'!A:C,3,FALSE),IFERROR(VLOOKUP(VALUE(B419),'📦 Productos'!A:C,3,FALSE),""))),"")</f>
      </c>
      <c r="D419" s="28" t="s">
        <v>533</v>
      </c>
      <c r="E419" s="29" t="s">
        <v>1896</v>
      </c>
      <c r="F419" s="30">
        <v>3</v>
      </c>
      <c r="G419" s="31">
        <v>298000</v>
      </c>
      <c r="H419" s="32">
        <v>184760</v>
      </c>
      <c r="I419" s="14">
        <f>IF(AND(G419&gt;0,H419&gt;0),ROUND((1-H419/G419)*100,0),0)</f>
        <v>38</v>
      </c>
      <c r="J419" s="33" t="s">
        <v>29</v>
      </c>
      <c r="K419" s="30" t="s">
        <v>1888</v>
      </c>
      <c r="L419" s="29" t="s">
        <v>26</v>
      </c>
    </row>
    <row r="420" ht="20" customHeight="1" spans="1:12" x14ac:dyDescent="0.25">
      <c r="A420" s="7" t="s">
        <v>2559</v>
      </c>
      <c r="B420" s="7" t="s">
        <v>532</v>
      </c>
      <c r="C420" s="24">
        <f>IF(B420&lt;&gt;"",IFERROR(VLOOKUP(B420,'📦 Productos'!A:C,3,FALSE),IFERROR(VLOOKUP(B420&amp;"",'📦 Productos'!A:C,3,FALSE),IFERROR(VLOOKUP(VALUE(B420),'📦 Productos'!A:C,3,FALSE),""))),"")</f>
      </c>
      <c r="D420" s="7" t="s">
        <v>2560</v>
      </c>
      <c r="E420" s="8" t="s">
        <v>1893</v>
      </c>
      <c r="F420" s="12">
        <v>0</v>
      </c>
      <c r="G420" s="25">
        <v>160000</v>
      </c>
      <c r="H420" s="26"/>
      <c r="I420" s="14">
        <f>IF(AND(G420&gt;0,H420&gt;0),ROUND((1-H420/G420)*100,0),0)</f>
        <v>0</v>
      </c>
      <c r="J420" s="27" t="s">
        <v>29</v>
      </c>
      <c r="K420" s="12" t="s">
        <v>1888</v>
      </c>
      <c r="L420" s="8" t="s">
        <v>26</v>
      </c>
    </row>
    <row r="421" ht="20" customHeight="1" spans="1:12" x14ac:dyDescent="0.25">
      <c r="A421" s="28" t="s">
        <v>2561</v>
      </c>
      <c r="B421" s="28" t="s">
        <v>532</v>
      </c>
      <c r="C421" s="24">
        <f>IF(B421&lt;&gt;"",IFERROR(VLOOKUP(B421,'📦 Productos'!A:C,3,FALSE),IFERROR(VLOOKUP(B421&amp;"",'📦 Productos'!A:C,3,FALSE),IFERROR(VLOOKUP(VALUE(B421),'📦 Productos'!A:C,3,FALSE),""))),"")</f>
      </c>
      <c r="D421" s="28" t="s">
        <v>2562</v>
      </c>
      <c r="E421" s="29" t="s">
        <v>1899</v>
      </c>
      <c r="F421" s="30">
        <v>0</v>
      </c>
      <c r="G421" s="31">
        <v>228000</v>
      </c>
      <c r="H421" s="32"/>
      <c r="I421" s="14">
        <f>IF(AND(G421&gt;0,H421&gt;0),ROUND((1-H421/G421)*100,0),0)</f>
        <v>0</v>
      </c>
      <c r="J421" s="33" t="s">
        <v>29</v>
      </c>
      <c r="K421" s="30" t="s">
        <v>1888</v>
      </c>
      <c r="L421" s="29" t="s">
        <v>26</v>
      </c>
    </row>
    <row r="422" ht="20" customHeight="1" spans="1:12" x14ac:dyDescent="0.25">
      <c r="A422" s="7" t="s">
        <v>2563</v>
      </c>
      <c r="B422" s="7" t="s">
        <v>536</v>
      </c>
      <c r="C422" s="24">
        <f>IF(B422&lt;&gt;"",IFERROR(VLOOKUP(B422,'📦 Productos'!A:C,3,FALSE),IFERROR(VLOOKUP(B422&amp;"",'📦 Productos'!A:C,3,FALSE),IFERROR(VLOOKUP(VALUE(B422),'📦 Productos'!A:C,3,FALSE),""))),"")</f>
      </c>
      <c r="D422" s="7" t="s">
        <v>537</v>
      </c>
      <c r="E422" s="8" t="s">
        <v>26</v>
      </c>
      <c r="F422" s="12">
        <v>4</v>
      </c>
      <c r="G422" s="25">
        <v>7000</v>
      </c>
      <c r="H422" s="26">
        <v>3850</v>
      </c>
      <c r="I422" s="14">
        <f>IF(AND(G422&gt;0,H422&gt;0),ROUND((1-H422/G422)*100,0),0)</f>
        <v>45</v>
      </c>
      <c r="J422" s="27" t="s">
        <v>29</v>
      </c>
      <c r="K422" s="12" t="s">
        <v>1888</v>
      </c>
      <c r="L422" s="8" t="s">
        <v>26</v>
      </c>
    </row>
    <row r="423" ht="20" customHeight="1" spans="1:12" x14ac:dyDescent="0.25">
      <c r="A423" s="28" t="s">
        <v>2564</v>
      </c>
      <c r="B423" s="28" t="s">
        <v>539</v>
      </c>
      <c r="C423" s="24">
        <f>IF(B423&lt;&gt;"",IFERROR(VLOOKUP(B423,'📦 Productos'!A:C,3,FALSE),IFERROR(VLOOKUP(B423&amp;"",'📦 Productos'!A:C,3,FALSE),IFERROR(VLOOKUP(VALUE(B423),'📦 Productos'!A:C,3,FALSE),""))),"")</f>
      </c>
      <c r="D423" s="28" t="s">
        <v>540</v>
      </c>
      <c r="E423" s="29" t="s">
        <v>26</v>
      </c>
      <c r="F423" s="30">
        <v>0</v>
      </c>
      <c r="G423" s="31">
        <v>26300</v>
      </c>
      <c r="H423" s="32"/>
      <c r="I423" s="14">
        <f>IF(AND(G423&gt;0,H423&gt;0),ROUND((1-H423/G423)*100,0),0)</f>
        <v>0</v>
      </c>
      <c r="J423" s="33" t="s">
        <v>29</v>
      </c>
      <c r="K423" s="30" t="s">
        <v>1888</v>
      </c>
      <c r="L423" s="29" t="s">
        <v>26</v>
      </c>
    </row>
    <row r="424" ht="20" customHeight="1" spans="1:12" x14ac:dyDescent="0.25">
      <c r="A424" s="7" t="s">
        <v>2565</v>
      </c>
      <c r="B424" s="7" t="s">
        <v>539</v>
      </c>
      <c r="C424" s="24">
        <f>IF(B424&lt;&gt;"",IFERROR(VLOOKUP(B424,'📦 Productos'!A:C,3,FALSE),IFERROR(VLOOKUP(B424&amp;"",'📦 Productos'!A:C,3,FALSE),IFERROR(VLOOKUP(VALUE(B424),'📦 Productos'!A:C,3,FALSE),""))),"")</f>
      </c>
      <c r="D424" s="7" t="s">
        <v>2566</v>
      </c>
      <c r="E424" s="8" t="s">
        <v>26</v>
      </c>
      <c r="F424" s="12">
        <v>0</v>
      </c>
      <c r="G424" s="25">
        <v>26300</v>
      </c>
      <c r="H424" s="26"/>
      <c r="I424" s="14">
        <f>IF(AND(G424&gt;0,H424&gt;0),ROUND((1-H424/G424)*100,0),0)</f>
        <v>0</v>
      </c>
      <c r="J424" s="27" t="s">
        <v>29</v>
      </c>
      <c r="K424" s="12" t="s">
        <v>1888</v>
      </c>
      <c r="L424" s="8" t="s">
        <v>26</v>
      </c>
    </row>
    <row r="425" ht="20" customHeight="1" spans="1:12" x14ac:dyDescent="0.25">
      <c r="A425" s="28" t="s">
        <v>2567</v>
      </c>
      <c r="B425" s="28" t="s">
        <v>539</v>
      </c>
      <c r="C425" s="24">
        <f>IF(B425&lt;&gt;"",IFERROR(VLOOKUP(B425,'📦 Productos'!A:C,3,FALSE),IFERROR(VLOOKUP(B425&amp;"",'📦 Productos'!A:C,3,FALSE),IFERROR(VLOOKUP(VALUE(B425),'📦 Productos'!A:C,3,FALSE),""))),"")</f>
      </c>
      <c r="D425" s="28" t="s">
        <v>2568</v>
      </c>
      <c r="E425" s="29" t="s">
        <v>26</v>
      </c>
      <c r="F425" s="30">
        <v>0</v>
      </c>
      <c r="G425" s="31">
        <v>26300</v>
      </c>
      <c r="H425" s="32"/>
      <c r="I425" s="14">
        <f>IF(AND(G425&gt;0,H425&gt;0),ROUND((1-H425/G425)*100,0),0)</f>
        <v>0</v>
      </c>
      <c r="J425" s="33" t="s">
        <v>29</v>
      </c>
      <c r="K425" s="30" t="s">
        <v>1888</v>
      </c>
      <c r="L425" s="29" t="s">
        <v>26</v>
      </c>
    </row>
    <row r="426" ht="20" customHeight="1" spans="1:12" x14ac:dyDescent="0.25">
      <c r="A426" s="7" t="s">
        <v>2569</v>
      </c>
      <c r="B426" s="7" t="s">
        <v>539</v>
      </c>
      <c r="C426" s="24">
        <f>IF(B426&lt;&gt;"",IFERROR(VLOOKUP(B426,'📦 Productos'!A:C,3,FALSE),IFERROR(VLOOKUP(B426&amp;"",'📦 Productos'!A:C,3,FALSE),IFERROR(VLOOKUP(VALUE(B426),'📦 Productos'!A:C,3,FALSE),""))),"")</f>
      </c>
      <c r="D426" s="7" t="s">
        <v>2570</v>
      </c>
      <c r="E426" s="8" t="s">
        <v>26</v>
      </c>
      <c r="F426" s="12">
        <v>0</v>
      </c>
      <c r="G426" s="25">
        <v>26300</v>
      </c>
      <c r="H426" s="26"/>
      <c r="I426" s="14">
        <f>IF(AND(G426&gt;0,H426&gt;0),ROUND((1-H426/G426)*100,0),0)</f>
        <v>0</v>
      </c>
      <c r="J426" s="27" t="s">
        <v>29</v>
      </c>
      <c r="K426" s="12" t="s">
        <v>1888</v>
      </c>
      <c r="L426" s="8" t="s">
        <v>26</v>
      </c>
    </row>
    <row r="427" ht="20" customHeight="1" spans="1:12" x14ac:dyDescent="0.25">
      <c r="A427" s="28" t="s">
        <v>2571</v>
      </c>
      <c r="B427" s="28" t="s">
        <v>539</v>
      </c>
      <c r="C427" s="24">
        <f>IF(B427&lt;&gt;"",IFERROR(VLOOKUP(B427,'📦 Productos'!A:C,3,FALSE),IFERROR(VLOOKUP(B427&amp;"",'📦 Productos'!A:C,3,FALSE),IFERROR(VLOOKUP(VALUE(B427),'📦 Productos'!A:C,3,FALSE),""))),"")</f>
      </c>
      <c r="D427" s="28" t="s">
        <v>2572</v>
      </c>
      <c r="E427" s="29" t="s">
        <v>26</v>
      </c>
      <c r="F427" s="30">
        <v>0</v>
      </c>
      <c r="G427" s="31">
        <v>26300</v>
      </c>
      <c r="H427" s="32"/>
      <c r="I427" s="14">
        <f>IF(AND(G427&gt;0,H427&gt;0),ROUND((1-H427/G427)*100,0),0)</f>
        <v>0</v>
      </c>
      <c r="J427" s="33" t="s">
        <v>29</v>
      </c>
      <c r="K427" s="30" t="s">
        <v>1888</v>
      </c>
      <c r="L427" s="29" t="s">
        <v>26</v>
      </c>
    </row>
    <row r="428" ht="20" customHeight="1" spans="1:12" x14ac:dyDescent="0.25">
      <c r="A428" s="7" t="s">
        <v>2573</v>
      </c>
      <c r="B428" s="7" t="s">
        <v>543</v>
      </c>
      <c r="C428" s="24">
        <f>IF(B428&lt;&gt;"",IFERROR(VLOOKUP(B428,'📦 Productos'!A:C,3,FALSE),IFERROR(VLOOKUP(B428&amp;"",'📦 Productos'!A:C,3,FALSE),IFERROR(VLOOKUP(VALUE(B428),'📦 Productos'!A:C,3,FALSE),""))),"")</f>
      </c>
      <c r="D428" s="7" t="s">
        <v>2574</v>
      </c>
      <c r="E428" s="8" t="s">
        <v>26</v>
      </c>
      <c r="F428" s="12">
        <v>0</v>
      </c>
      <c r="G428" s="25">
        <v>33900</v>
      </c>
      <c r="H428" s="26">
        <v>22035</v>
      </c>
      <c r="I428" s="14">
        <f>IF(AND(G428&gt;0,H428&gt;0),ROUND((1-H428/G428)*100,0),0)</f>
        <v>35</v>
      </c>
      <c r="J428" s="27" t="s">
        <v>29</v>
      </c>
      <c r="K428" s="12" t="s">
        <v>1888</v>
      </c>
      <c r="L428" s="8" t="s">
        <v>26</v>
      </c>
    </row>
    <row r="429" ht="20" customHeight="1" spans="1:12" x14ac:dyDescent="0.25">
      <c r="A429" s="28" t="s">
        <v>2575</v>
      </c>
      <c r="B429" s="28" t="s">
        <v>550</v>
      </c>
      <c r="C429" s="24">
        <f>IF(B429&lt;&gt;"",IFERROR(VLOOKUP(B429,'📦 Productos'!A:C,3,FALSE),IFERROR(VLOOKUP(B429&amp;"",'📦 Productos'!A:C,3,FALSE),IFERROR(VLOOKUP(VALUE(B429),'📦 Productos'!A:C,3,FALSE),""))),"")</f>
      </c>
      <c r="D429" s="28" t="s">
        <v>2576</v>
      </c>
      <c r="E429" s="29" t="s">
        <v>26</v>
      </c>
      <c r="F429" s="30">
        <v>0</v>
      </c>
      <c r="G429" s="31">
        <v>33900</v>
      </c>
      <c r="H429" s="32">
        <v>22035</v>
      </c>
      <c r="I429" s="14">
        <f>IF(AND(G429&gt;0,H429&gt;0),ROUND((1-H429/G429)*100,0),0)</f>
        <v>35</v>
      </c>
      <c r="J429" s="33" t="s">
        <v>29</v>
      </c>
      <c r="K429" s="30" t="s">
        <v>1888</v>
      </c>
      <c r="L429" s="29" t="s">
        <v>26</v>
      </c>
    </row>
    <row r="430" ht="20" customHeight="1" spans="1:12" x14ac:dyDescent="0.25">
      <c r="A430" s="7" t="s">
        <v>2577</v>
      </c>
      <c r="B430" s="7" t="s">
        <v>554</v>
      </c>
      <c r="C430" s="24">
        <f>IF(B430&lt;&gt;"",IFERROR(VLOOKUP(B430,'📦 Productos'!A:C,3,FALSE),IFERROR(VLOOKUP(B430&amp;"",'📦 Productos'!A:C,3,FALSE),IFERROR(VLOOKUP(VALUE(B430),'📦 Productos'!A:C,3,FALSE),""))),"")</f>
      </c>
      <c r="D430" s="7" t="s">
        <v>2578</v>
      </c>
      <c r="E430" s="8" t="s">
        <v>26</v>
      </c>
      <c r="F430" s="12">
        <v>0</v>
      </c>
      <c r="G430" s="25">
        <v>35900</v>
      </c>
      <c r="H430" s="26">
        <v>23335</v>
      </c>
      <c r="I430" s="14">
        <f>IF(AND(G430&gt;0,H430&gt;0),ROUND((1-H430/G430)*100,0),0)</f>
        <v>35</v>
      </c>
      <c r="J430" s="27" t="s">
        <v>29</v>
      </c>
      <c r="K430" s="12" t="s">
        <v>1888</v>
      </c>
      <c r="L430" s="8" t="s">
        <v>26</v>
      </c>
    </row>
    <row r="431" ht="20" customHeight="1" spans="1:12" x14ac:dyDescent="0.25">
      <c r="A431" s="28" t="s">
        <v>2579</v>
      </c>
      <c r="B431" s="28" t="s">
        <v>557</v>
      </c>
      <c r="C431" s="24">
        <f>IF(B431&lt;&gt;"",IFERROR(VLOOKUP(B431,'📦 Productos'!A:C,3,FALSE),IFERROR(VLOOKUP(B431&amp;"",'📦 Productos'!A:C,3,FALSE),IFERROR(VLOOKUP(VALUE(B431),'📦 Productos'!A:C,3,FALSE),""))),"")</f>
      </c>
      <c r="D431" s="28" t="s">
        <v>2580</v>
      </c>
      <c r="E431" s="29" t="s">
        <v>26</v>
      </c>
      <c r="F431" s="30">
        <v>0</v>
      </c>
      <c r="G431" s="31">
        <v>35900</v>
      </c>
      <c r="H431" s="32">
        <v>23335</v>
      </c>
      <c r="I431" s="14">
        <f>IF(AND(G431&gt;0,H431&gt;0),ROUND((1-H431/G431)*100,0),0)</f>
        <v>35</v>
      </c>
      <c r="J431" s="33" t="s">
        <v>29</v>
      </c>
      <c r="K431" s="30" t="s">
        <v>1888</v>
      </c>
      <c r="L431" s="29" t="s">
        <v>26</v>
      </c>
    </row>
    <row r="432" ht="20" customHeight="1" spans="1:12" x14ac:dyDescent="0.25">
      <c r="A432" s="7" t="s">
        <v>2581</v>
      </c>
      <c r="B432" s="7" t="s">
        <v>560</v>
      </c>
      <c r="C432" s="24">
        <f>IF(B432&lt;&gt;"",IFERROR(VLOOKUP(B432,'📦 Productos'!A:C,3,FALSE),IFERROR(VLOOKUP(B432&amp;"",'📦 Productos'!A:C,3,FALSE),IFERROR(VLOOKUP(VALUE(B432),'📦 Productos'!A:C,3,FALSE),""))),"")</f>
      </c>
      <c r="D432" s="7" t="s">
        <v>2582</v>
      </c>
      <c r="E432" s="8" t="s">
        <v>26</v>
      </c>
      <c r="F432" s="12">
        <v>0</v>
      </c>
      <c r="G432" s="25">
        <v>35900</v>
      </c>
      <c r="H432" s="26">
        <v>23335</v>
      </c>
      <c r="I432" s="14">
        <f>IF(AND(G432&gt;0,H432&gt;0),ROUND((1-H432/G432)*100,0),0)</f>
        <v>35</v>
      </c>
      <c r="J432" s="27" t="s">
        <v>29</v>
      </c>
      <c r="K432" s="12" t="s">
        <v>1888</v>
      </c>
      <c r="L432" s="8" t="s">
        <v>26</v>
      </c>
    </row>
    <row r="433" ht="20" customHeight="1" spans="1:12" x14ac:dyDescent="0.25">
      <c r="A433" s="28" t="s">
        <v>2583</v>
      </c>
      <c r="B433" s="28" t="s">
        <v>563</v>
      </c>
      <c r="C433" s="24">
        <f>IF(B433&lt;&gt;"",IFERROR(VLOOKUP(B433,'📦 Productos'!A:C,3,FALSE),IFERROR(VLOOKUP(B433&amp;"",'📦 Productos'!A:C,3,FALSE),IFERROR(VLOOKUP(VALUE(B433),'📦 Productos'!A:C,3,FALSE),""))),"")</f>
      </c>
      <c r="D433" s="28" t="s">
        <v>2584</v>
      </c>
      <c r="E433" s="29" t="s">
        <v>26</v>
      </c>
      <c r="F433" s="30">
        <v>0</v>
      </c>
      <c r="G433" s="31">
        <v>33900</v>
      </c>
      <c r="H433" s="32">
        <v>22035</v>
      </c>
      <c r="I433" s="14">
        <f>IF(AND(G433&gt;0,H433&gt;0),ROUND((1-H433/G433)*100,0),0)</f>
        <v>35</v>
      </c>
      <c r="J433" s="33" t="s">
        <v>29</v>
      </c>
      <c r="K433" s="30" t="s">
        <v>1888</v>
      </c>
      <c r="L433" s="29" t="s">
        <v>26</v>
      </c>
    </row>
    <row r="434" ht="20" customHeight="1" spans="1:12" x14ac:dyDescent="0.25">
      <c r="A434" s="7" t="s">
        <v>2585</v>
      </c>
      <c r="B434" s="7" t="s">
        <v>566</v>
      </c>
      <c r="C434" s="24">
        <f>IF(B434&lt;&gt;"",IFERROR(VLOOKUP(B434,'📦 Productos'!A:C,3,FALSE),IFERROR(VLOOKUP(B434&amp;"",'📦 Productos'!A:C,3,FALSE),IFERROR(VLOOKUP(VALUE(B434),'📦 Productos'!A:C,3,FALSE),""))),"")</f>
      </c>
      <c r="D434" s="7" t="s">
        <v>2586</v>
      </c>
      <c r="E434" s="8" t="s">
        <v>26</v>
      </c>
      <c r="F434" s="12">
        <v>0</v>
      </c>
      <c r="G434" s="25">
        <v>33900</v>
      </c>
      <c r="H434" s="26">
        <v>22035</v>
      </c>
      <c r="I434" s="14">
        <f>IF(AND(G434&gt;0,H434&gt;0),ROUND((1-H434/G434)*100,0),0)</f>
        <v>35</v>
      </c>
      <c r="J434" s="27" t="s">
        <v>29</v>
      </c>
      <c r="K434" s="12" t="s">
        <v>1888</v>
      </c>
      <c r="L434" s="8" t="s">
        <v>26</v>
      </c>
    </row>
    <row r="435" ht="20" customHeight="1" spans="1:12" x14ac:dyDescent="0.25">
      <c r="A435" s="28" t="s">
        <v>2587</v>
      </c>
      <c r="B435" s="28" t="s">
        <v>569</v>
      </c>
      <c r="C435" s="24">
        <f>IF(B435&lt;&gt;"",IFERROR(VLOOKUP(B435,'📦 Productos'!A:C,3,FALSE),IFERROR(VLOOKUP(B435&amp;"",'📦 Productos'!A:C,3,FALSE),IFERROR(VLOOKUP(VALUE(B435),'📦 Productos'!A:C,3,FALSE),""))),"")</f>
      </c>
      <c r="D435" s="28" t="s">
        <v>26</v>
      </c>
      <c r="E435" s="29" t="s">
        <v>26</v>
      </c>
      <c r="F435" s="30">
        <v>0</v>
      </c>
      <c r="G435" s="31">
        <v>22600</v>
      </c>
      <c r="H435" s="32">
        <v>14690</v>
      </c>
      <c r="I435" s="14">
        <f>IF(AND(G435&gt;0,H435&gt;0),ROUND((1-H435/G435)*100,0),0)</f>
        <v>35</v>
      </c>
      <c r="J435" s="33" t="s">
        <v>29</v>
      </c>
      <c r="K435" s="30" t="s">
        <v>1888</v>
      </c>
      <c r="L435" s="29" t="s">
        <v>26</v>
      </c>
    </row>
    <row r="436" ht="20" customHeight="1" spans="1:12" x14ac:dyDescent="0.25">
      <c r="A436" s="7" t="s">
        <v>2588</v>
      </c>
      <c r="B436" s="7" t="s">
        <v>572</v>
      </c>
      <c r="C436" s="24">
        <f>IF(B436&lt;&gt;"",IFERROR(VLOOKUP(B436,'📦 Productos'!A:C,3,FALSE),IFERROR(VLOOKUP(B436&amp;"",'📦 Productos'!A:C,3,FALSE),IFERROR(VLOOKUP(VALUE(B436),'📦 Productos'!A:C,3,FALSE),""))),"")</f>
      </c>
      <c r="D436" s="7" t="s">
        <v>26</v>
      </c>
      <c r="E436" s="8" t="s">
        <v>26</v>
      </c>
      <c r="F436" s="12">
        <v>0</v>
      </c>
      <c r="G436" s="25">
        <v>22600</v>
      </c>
      <c r="H436" s="26">
        <v>11300</v>
      </c>
      <c r="I436" s="14">
        <f>IF(AND(G436&gt;0,H436&gt;0),ROUND((1-H436/G436)*100,0),0)</f>
        <v>50</v>
      </c>
      <c r="J436" s="27" t="s">
        <v>29</v>
      </c>
      <c r="K436" s="12" t="s">
        <v>1888</v>
      </c>
      <c r="L436" s="8" t="s">
        <v>26</v>
      </c>
    </row>
    <row r="437" ht="20" customHeight="1" spans="1:12" x14ac:dyDescent="0.25">
      <c r="A437" s="28" t="s">
        <v>2589</v>
      </c>
      <c r="B437" s="28" t="s">
        <v>575</v>
      </c>
      <c r="C437" s="24">
        <f>IF(B437&lt;&gt;"",IFERROR(VLOOKUP(B437,'📦 Productos'!A:C,3,FALSE),IFERROR(VLOOKUP(B437&amp;"",'📦 Productos'!A:C,3,FALSE),IFERROR(VLOOKUP(VALUE(B437),'📦 Productos'!A:C,3,FALSE),""))),"")</f>
      </c>
      <c r="D437" s="28" t="s">
        <v>2590</v>
      </c>
      <c r="E437" s="29" t="s">
        <v>26</v>
      </c>
      <c r="F437" s="30">
        <v>0</v>
      </c>
      <c r="G437" s="31">
        <v>37900</v>
      </c>
      <c r="H437" s="32">
        <v>24635</v>
      </c>
      <c r="I437" s="14">
        <f>IF(AND(G437&gt;0,H437&gt;0),ROUND((1-H437/G437)*100,0),0)</f>
        <v>35</v>
      </c>
      <c r="J437" s="33" t="s">
        <v>29</v>
      </c>
      <c r="K437" s="30" t="s">
        <v>1888</v>
      </c>
      <c r="L437" s="29" t="s">
        <v>26</v>
      </c>
    </row>
    <row r="438" ht="20" customHeight="1" spans="1:12" x14ac:dyDescent="0.25">
      <c r="A438" s="7" t="s">
        <v>2591</v>
      </c>
      <c r="B438" s="7" t="s">
        <v>579</v>
      </c>
      <c r="C438" s="24">
        <f>IF(B438&lt;&gt;"",IFERROR(VLOOKUP(B438,'📦 Productos'!A:C,3,FALSE),IFERROR(VLOOKUP(B438&amp;"",'📦 Productos'!A:C,3,FALSE),IFERROR(VLOOKUP(VALUE(B438),'📦 Productos'!A:C,3,FALSE),""))),"")</f>
      </c>
      <c r="D438" s="7" t="s">
        <v>2592</v>
      </c>
      <c r="E438" s="8" t="s">
        <v>26</v>
      </c>
      <c r="F438" s="12">
        <v>0</v>
      </c>
      <c r="G438" s="25">
        <v>37900</v>
      </c>
      <c r="H438" s="26">
        <v>24635</v>
      </c>
      <c r="I438" s="14">
        <f>IF(AND(G438&gt;0,H438&gt;0),ROUND((1-H438/G438)*100,0),0)</f>
        <v>35</v>
      </c>
      <c r="J438" s="27" t="s">
        <v>29</v>
      </c>
      <c r="K438" s="12" t="s">
        <v>1888</v>
      </c>
      <c r="L438" s="8" t="s">
        <v>26</v>
      </c>
    </row>
    <row r="439" ht="20" customHeight="1" spans="1:12" x14ac:dyDescent="0.25">
      <c r="A439" s="28" t="s">
        <v>2593</v>
      </c>
      <c r="B439" s="28" t="s">
        <v>582</v>
      </c>
      <c r="C439" s="24">
        <f>IF(B439&lt;&gt;"",IFERROR(VLOOKUP(B439,'📦 Productos'!A:C,3,FALSE),IFERROR(VLOOKUP(B439&amp;"",'📦 Productos'!A:C,3,FALSE),IFERROR(VLOOKUP(VALUE(B439),'📦 Productos'!A:C,3,FALSE),""))),"")</f>
      </c>
      <c r="D439" s="28" t="s">
        <v>2594</v>
      </c>
      <c r="E439" s="29" t="s">
        <v>26</v>
      </c>
      <c r="F439" s="30">
        <v>0</v>
      </c>
      <c r="G439" s="31">
        <v>37900</v>
      </c>
      <c r="H439" s="32">
        <v>24635</v>
      </c>
      <c r="I439" s="14">
        <f>IF(AND(G439&gt;0,H439&gt;0),ROUND((1-H439/G439)*100,0),0)</f>
        <v>35</v>
      </c>
      <c r="J439" s="33" t="s">
        <v>29</v>
      </c>
      <c r="K439" s="30" t="s">
        <v>1888</v>
      </c>
      <c r="L439" s="29" t="s">
        <v>26</v>
      </c>
    </row>
    <row r="440" ht="20" customHeight="1" spans="1:12" x14ac:dyDescent="0.25">
      <c r="A440" s="7" t="s">
        <v>2595</v>
      </c>
      <c r="B440" s="7" t="s">
        <v>585</v>
      </c>
      <c r="C440" s="24">
        <f>IF(B440&lt;&gt;"",IFERROR(VLOOKUP(B440,'📦 Productos'!A:C,3,FALSE),IFERROR(VLOOKUP(B440&amp;"",'📦 Productos'!A:C,3,FALSE),IFERROR(VLOOKUP(VALUE(B440),'📦 Productos'!A:C,3,FALSE),""))),"")</f>
      </c>
      <c r="D440" s="7" t="s">
        <v>26</v>
      </c>
      <c r="E440" s="8" t="s">
        <v>26</v>
      </c>
      <c r="F440" s="12">
        <v>0</v>
      </c>
      <c r="G440" s="25">
        <v>26900</v>
      </c>
      <c r="H440" s="26">
        <v>13450</v>
      </c>
      <c r="I440" s="14">
        <f>IF(AND(G440&gt;0,H440&gt;0),ROUND((1-H440/G440)*100,0),0)</f>
        <v>50</v>
      </c>
      <c r="J440" s="27" t="s">
        <v>29</v>
      </c>
      <c r="K440" s="12" t="s">
        <v>1888</v>
      </c>
      <c r="L440" s="8" t="s">
        <v>26</v>
      </c>
    </row>
    <row r="441" ht="20" customHeight="1" spans="1:12" x14ac:dyDescent="0.25">
      <c r="A441" s="28" t="s">
        <v>2596</v>
      </c>
      <c r="B441" s="28" t="s">
        <v>588</v>
      </c>
      <c r="C441" s="24">
        <f>IF(B441&lt;&gt;"",IFERROR(VLOOKUP(B441,'📦 Productos'!A:C,3,FALSE),IFERROR(VLOOKUP(B441&amp;"",'📦 Productos'!A:C,3,FALSE),IFERROR(VLOOKUP(VALUE(B441),'📦 Productos'!A:C,3,FALSE),""))),"")</f>
      </c>
      <c r="D441" s="28" t="s">
        <v>26</v>
      </c>
      <c r="E441" s="29" t="s">
        <v>26</v>
      </c>
      <c r="F441" s="30">
        <v>0</v>
      </c>
      <c r="G441" s="31">
        <v>30700</v>
      </c>
      <c r="H441" s="32">
        <v>15350</v>
      </c>
      <c r="I441" s="14">
        <f>IF(AND(G441&gt;0,H441&gt;0),ROUND((1-H441/G441)*100,0),0)</f>
        <v>50</v>
      </c>
      <c r="J441" s="33" t="s">
        <v>29</v>
      </c>
      <c r="K441" s="30" t="s">
        <v>1888</v>
      </c>
      <c r="L441" s="29" t="s">
        <v>26</v>
      </c>
    </row>
    <row r="442" ht="20" customHeight="1" spans="1:12" x14ac:dyDescent="0.25">
      <c r="A442" s="7" t="s">
        <v>2597</v>
      </c>
      <c r="B442" s="7" t="s">
        <v>591</v>
      </c>
      <c r="C442" s="24">
        <f>IF(B442&lt;&gt;"",IFERROR(VLOOKUP(B442,'📦 Productos'!A:C,3,FALSE),IFERROR(VLOOKUP(B442&amp;"",'📦 Productos'!A:C,3,FALSE),IFERROR(VLOOKUP(VALUE(B442),'📦 Productos'!A:C,3,FALSE),""))),"")</f>
      </c>
      <c r="D442" s="7" t="s">
        <v>26</v>
      </c>
      <c r="E442" s="8" t="s">
        <v>26</v>
      </c>
      <c r="F442" s="12">
        <v>0</v>
      </c>
      <c r="G442" s="25">
        <v>30700</v>
      </c>
      <c r="H442" s="26"/>
      <c r="I442" s="14">
        <f>IF(AND(G442&gt;0,H442&gt;0),ROUND((1-H442/G442)*100,0),0)</f>
        <v>0</v>
      </c>
      <c r="J442" s="27" t="s">
        <v>29</v>
      </c>
      <c r="K442" s="12" t="s">
        <v>1888</v>
      </c>
      <c r="L442" s="8" t="s">
        <v>26</v>
      </c>
    </row>
    <row r="443" ht="20" customHeight="1" spans="1:12" x14ac:dyDescent="0.25">
      <c r="A443" s="28" t="s">
        <v>2598</v>
      </c>
      <c r="B443" s="28" t="s">
        <v>594</v>
      </c>
      <c r="C443" s="24">
        <f>IF(B443&lt;&gt;"",IFERROR(VLOOKUP(B443,'📦 Productos'!A:C,3,FALSE),IFERROR(VLOOKUP(B443&amp;"",'📦 Productos'!A:C,3,FALSE),IFERROR(VLOOKUP(VALUE(B443),'📦 Productos'!A:C,3,FALSE),""))),"")</f>
      </c>
      <c r="D443" s="28" t="s">
        <v>2599</v>
      </c>
      <c r="E443" s="29" t="s">
        <v>26</v>
      </c>
      <c r="F443" s="30">
        <v>0</v>
      </c>
      <c r="G443" s="31">
        <v>12400</v>
      </c>
      <c r="H443" s="32"/>
      <c r="I443" s="14">
        <f>IF(AND(G443&gt;0,H443&gt;0),ROUND((1-H443/G443)*100,0),0)</f>
        <v>0</v>
      </c>
      <c r="J443" s="33" t="s">
        <v>29</v>
      </c>
      <c r="K443" s="30" t="s">
        <v>1888</v>
      </c>
      <c r="L443" s="29" t="s">
        <v>26</v>
      </c>
    </row>
    <row r="444" ht="20" customHeight="1" spans="1:12" x14ac:dyDescent="0.25">
      <c r="A444" s="7" t="s">
        <v>2600</v>
      </c>
      <c r="B444" s="7" t="s">
        <v>597</v>
      </c>
      <c r="C444" s="24">
        <f>IF(B444&lt;&gt;"",IFERROR(VLOOKUP(B444,'📦 Productos'!A:C,3,FALSE),IFERROR(VLOOKUP(B444&amp;"",'📦 Productos'!A:C,3,FALSE),IFERROR(VLOOKUP(VALUE(B444),'📦 Productos'!A:C,3,FALSE),""))),"")</f>
      </c>
      <c r="D444" s="7" t="s">
        <v>2601</v>
      </c>
      <c r="E444" s="8" t="s">
        <v>26</v>
      </c>
      <c r="F444" s="12">
        <v>0</v>
      </c>
      <c r="G444" s="25">
        <v>12400</v>
      </c>
      <c r="H444" s="26">
        <v>6200</v>
      </c>
      <c r="I444" s="14">
        <f>IF(AND(G444&gt;0,H444&gt;0),ROUND((1-H444/G444)*100,0),0)</f>
        <v>50</v>
      </c>
      <c r="J444" s="27" t="s">
        <v>29</v>
      </c>
      <c r="K444" s="12" t="s">
        <v>1888</v>
      </c>
      <c r="L444" s="8" t="s">
        <v>26</v>
      </c>
    </row>
    <row r="445" ht="20" customHeight="1" spans="1:12" x14ac:dyDescent="0.25">
      <c r="A445" s="28" t="s">
        <v>2602</v>
      </c>
      <c r="B445" s="28" t="s">
        <v>600</v>
      </c>
      <c r="C445" s="24">
        <f>IF(B445&lt;&gt;"",IFERROR(VLOOKUP(B445,'📦 Productos'!A:C,3,FALSE),IFERROR(VLOOKUP(B445&amp;"",'📦 Productos'!A:C,3,FALSE),IFERROR(VLOOKUP(VALUE(B445),'📦 Productos'!A:C,3,FALSE),""))),"")</f>
      </c>
      <c r="D445" s="28" t="s">
        <v>2603</v>
      </c>
      <c r="E445" s="29" t="s">
        <v>26</v>
      </c>
      <c r="F445" s="30">
        <v>0</v>
      </c>
      <c r="G445" s="31">
        <v>34700</v>
      </c>
      <c r="H445" s="32"/>
      <c r="I445" s="14">
        <f>IF(AND(G445&gt;0,H445&gt;0),ROUND((1-H445/G445)*100,0),0)</f>
        <v>0</v>
      </c>
      <c r="J445" s="33" t="s">
        <v>29</v>
      </c>
      <c r="K445" s="30" t="s">
        <v>1888</v>
      </c>
      <c r="L445" s="29" t="s">
        <v>26</v>
      </c>
    </row>
    <row r="446" ht="20" customHeight="1" spans="1:12" x14ac:dyDescent="0.25">
      <c r="A446" s="7" t="s">
        <v>2604</v>
      </c>
      <c r="B446" s="7" t="s">
        <v>603</v>
      </c>
      <c r="C446" s="24">
        <f>IF(B446&lt;&gt;"",IFERROR(VLOOKUP(B446,'📦 Productos'!A:C,3,FALSE),IFERROR(VLOOKUP(B446&amp;"",'📦 Productos'!A:C,3,FALSE),IFERROR(VLOOKUP(VALUE(B446),'📦 Productos'!A:C,3,FALSE),""))),"")</f>
      </c>
      <c r="D446" s="7" t="s">
        <v>2605</v>
      </c>
      <c r="E446" s="8" t="s">
        <v>26</v>
      </c>
      <c r="F446" s="12">
        <v>0</v>
      </c>
      <c r="G446" s="25">
        <v>34700</v>
      </c>
      <c r="H446" s="26"/>
      <c r="I446" s="14">
        <f>IF(AND(G446&gt;0,H446&gt;0),ROUND((1-H446/G446)*100,0),0)</f>
        <v>0</v>
      </c>
      <c r="J446" s="27" t="s">
        <v>29</v>
      </c>
      <c r="K446" s="12" t="s">
        <v>1888</v>
      </c>
      <c r="L446" s="8" t="s">
        <v>26</v>
      </c>
    </row>
    <row r="447" ht="20" customHeight="1" spans="1:12" x14ac:dyDescent="0.25">
      <c r="A447" s="28" t="s">
        <v>2606</v>
      </c>
      <c r="B447" s="28" t="s">
        <v>606</v>
      </c>
      <c r="C447" s="24">
        <f>IF(B447&lt;&gt;"",IFERROR(VLOOKUP(B447,'📦 Productos'!A:C,3,FALSE),IFERROR(VLOOKUP(B447&amp;"",'📦 Productos'!A:C,3,FALSE),IFERROR(VLOOKUP(VALUE(B447),'📦 Productos'!A:C,3,FALSE),""))),"")</f>
      </c>
      <c r="D447" s="28" t="s">
        <v>2607</v>
      </c>
      <c r="E447" s="29" t="s">
        <v>26</v>
      </c>
      <c r="F447" s="30">
        <v>0</v>
      </c>
      <c r="G447" s="31">
        <v>34700</v>
      </c>
      <c r="H447" s="32"/>
      <c r="I447" s="14">
        <f>IF(AND(G447&gt;0,H447&gt;0),ROUND((1-H447/G447)*100,0),0)</f>
        <v>0</v>
      </c>
      <c r="J447" s="33" t="s">
        <v>29</v>
      </c>
      <c r="K447" s="30" t="s">
        <v>1888</v>
      </c>
      <c r="L447" s="29" t="s">
        <v>26</v>
      </c>
    </row>
    <row r="448" ht="20" customHeight="1" spans="1:12" x14ac:dyDescent="0.25">
      <c r="A448" s="7" t="s">
        <v>2608</v>
      </c>
      <c r="B448" s="7" t="s">
        <v>609</v>
      </c>
      <c r="C448" s="24">
        <f>IF(B448&lt;&gt;"",IFERROR(VLOOKUP(B448,'📦 Productos'!A:C,3,FALSE),IFERROR(VLOOKUP(B448&amp;"",'📦 Productos'!A:C,3,FALSE),IFERROR(VLOOKUP(VALUE(B448),'📦 Productos'!A:C,3,FALSE),""))),"")</f>
      </c>
      <c r="D448" s="7" t="s">
        <v>2609</v>
      </c>
      <c r="E448" s="8" t="s">
        <v>26</v>
      </c>
      <c r="F448" s="12">
        <v>0</v>
      </c>
      <c r="G448" s="25">
        <v>34700</v>
      </c>
      <c r="H448" s="26"/>
      <c r="I448" s="14">
        <f>IF(AND(G448&gt;0,H448&gt;0),ROUND((1-H448/G448)*100,0),0)</f>
        <v>0</v>
      </c>
      <c r="J448" s="27" t="s">
        <v>29</v>
      </c>
      <c r="K448" s="12" t="s">
        <v>1888</v>
      </c>
      <c r="L448" s="8" t="s">
        <v>26</v>
      </c>
    </row>
    <row r="449" ht="20" customHeight="1" spans="1:12" x14ac:dyDescent="0.25">
      <c r="A449" s="28" t="s">
        <v>2610</v>
      </c>
      <c r="B449" s="28" t="s">
        <v>612</v>
      </c>
      <c r="C449" s="24">
        <f>IF(B449&lt;&gt;"",IFERROR(VLOOKUP(B449,'📦 Productos'!A:C,3,FALSE),IFERROR(VLOOKUP(B449&amp;"",'📦 Productos'!A:C,3,FALSE),IFERROR(VLOOKUP(VALUE(B449),'📦 Productos'!A:C,3,FALSE),""))),"")</f>
      </c>
      <c r="D449" s="28" t="s">
        <v>2611</v>
      </c>
      <c r="E449" s="29" t="s">
        <v>26</v>
      </c>
      <c r="F449" s="30">
        <v>0</v>
      </c>
      <c r="G449" s="31">
        <v>34700</v>
      </c>
      <c r="H449" s="32"/>
      <c r="I449" s="14">
        <f>IF(AND(G449&gt;0,H449&gt;0),ROUND((1-H449/G449)*100,0),0)</f>
        <v>0</v>
      </c>
      <c r="J449" s="33" t="s">
        <v>29</v>
      </c>
      <c r="K449" s="30" t="s">
        <v>1888</v>
      </c>
      <c r="L449" s="29" t="s">
        <v>26</v>
      </c>
    </row>
    <row r="450" ht="20" customHeight="1" spans="1:12" x14ac:dyDescent="0.25">
      <c r="A450" s="7" t="s">
        <v>2612</v>
      </c>
      <c r="B450" s="7" t="s">
        <v>615</v>
      </c>
      <c r="C450" s="24">
        <f>IF(B450&lt;&gt;"",IFERROR(VLOOKUP(B450,'📦 Productos'!A:C,3,FALSE),IFERROR(VLOOKUP(B450&amp;"",'📦 Productos'!A:C,3,FALSE),IFERROR(VLOOKUP(VALUE(B450),'📦 Productos'!A:C,3,FALSE),""))),"")</f>
      </c>
      <c r="D450" s="7" t="s">
        <v>2613</v>
      </c>
      <c r="E450" s="8" t="s">
        <v>26</v>
      </c>
      <c r="F450" s="12">
        <v>0</v>
      </c>
      <c r="G450" s="25">
        <v>34700</v>
      </c>
      <c r="H450" s="26"/>
      <c r="I450" s="14">
        <f>IF(AND(G450&gt;0,H450&gt;0),ROUND((1-H450/G450)*100,0),0)</f>
        <v>0</v>
      </c>
      <c r="J450" s="27" t="s">
        <v>29</v>
      </c>
      <c r="K450" s="12" t="s">
        <v>1888</v>
      </c>
      <c r="L450" s="8" t="s">
        <v>26</v>
      </c>
    </row>
    <row r="451" ht="20" customHeight="1" spans="1:12" x14ac:dyDescent="0.25">
      <c r="A451" s="28" t="s">
        <v>2614</v>
      </c>
      <c r="B451" s="28" t="s">
        <v>618</v>
      </c>
      <c r="C451" s="24">
        <f>IF(B451&lt;&gt;"",IFERROR(VLOOKUP(B451,'📦 Productos'!A:C,3,FALSE),IFERROR(VLOOKUP(B451&amp;"",'📦 Productos'!A:C,3,FALSE),IFERROR(VLOOKUP(VALUE(B451),'📦 Productos'!A:C,3,FALSE),""))),"")</f>
      </c>
      <c r="D451" s="28" t="s">
        <v>2615</v>
      </c>
      <c r="E451" s="29" t="s">
        <v>26</v>
      </c>
      <c r="F451" s="30">
        <v>0</v>
      </c>
      <c r="G451" s="31">
        <v>31600</v>
      </c>
      <c r="H451" s="32">
        <v>20540</v>
      </c>
      <c r="I451" s="14">
        <f>IF(AND(G451&gt;0,H451&gt;0),ROUND((1-H451/G451)*100,0),0)</f>
        <v>35</v>
      </c>
      <c r="J451" s="33" t="s">
        <v>29</v>
      </c>
      <c r="K451" s="30" t="s">
        <v>1888</v>
      </c>
      <c r="L451" s="29" t="s">
        <v>26</v>
      </c>
    </row>
    <row r="452" ht="20" customHeight="1" spans="1:12" x14ac:dyDescent="0.25">
      <c r="A452" s="7" t="s">
        <v>2616</v>
      </c>
      <c r="B452" s="7" t="s">
        <v>621</v>
      </c>
      <c r="C452" s="24">
        <f>IF(B452&lt;&gt;"",IFERROR(VLOOKUP(B452,'📦 Productos'!A:C,3,FALSE),IFERROR(VLOOKUP(B452&amp;"",'📦 Productos'!A:C,3,FALSE),IFERROR(VLOOKUP(VALUE(B452),'📦 Productos'!A:C,3,FALSE),""))),"")</f>
      </c>
      <c r="D452" s="7" t="s">
        <v>26</v>
      </c>
      <c r="E452" s="8" t="s">
        <v>26</v>
      </c>
      <c r="F452" s="12">
        <v>0</v>
      </c>
      <c r="G452" s="25">
        <v>14000</v>
      </c>
      <c r="H452" s="26">
        <v>7000</v>
      </c>
      <c r="I452" s="14">
        <f>IF(AND(G452&gt;0,H452&gt;0),ROUND((1-H452/G452)*100,0),0)</f>
        <v>50</v>
      </c>
      <c r="J452" s="27" t="s">
        <v>29</v>
      </c>
      <c r="K452" s="12" t="s">
        <v>1888</v>
      </c>
      <c r="L452" s="8" t="s">
        <v>26</v>
      </c>
    </row>
    <row r="453" ht="20" customHeight="1" spans="1:12" x14ac:dyDescent="0.25">
      <c r="A453" s="28" t="s">
        <v>2617</v>
      </c>
      <c r="B453" s="28" t="s">
        <v>624</v>
      </c>
      <c r="C453" s="24">
        <f>IF(B453&lt;&gt;"",IFERROR(VLOOKUP(B453,'📦 Productos'!A:C,3,FALSE),IFERROR(VLOOKUP(B453&amp;"",'📦 Productos'!A:C,3,FALSE),IFERROR(VLOOKUP(VALUE(B453),'📦 Productos'!A:C,3,FALSE),""))),"")</f>
      </c>
      <c r="D453" s="28" t="s">
        <v>26</v>
      </c>
      <c r="E453" s="29" t="s">
        <v>26</v>
      </c>
      <c r="F453" s="30">
        <v>0</v>
      </c>
      <c r="G453" s="31">
        <v>28600</v>
      </c>
      <c r="H453" s="32">
        <v>18590</v>
      </c>
      <c r="I453" s="14">
        <f>IF(AND(G453&gt;0,H453&gt;0),ROUND((1-H453/G453)*100,0),0)</f>
        <v>35</v>
      </c>
      <c r="J453" s="33" t="s">
        <v>29</v>
      </c>
      <c r="K453" s="30" t="s">
        <v>1888</v>
      </c>
      <c r="L453" s="29" t="s">
        <v>26</v>
      </c>
    </row>
    <row r="454" ht="20" customHeight="1" spans="1:12" x14ac:dyDescent="0.25">
      <c r="A454" s="7" t="s">
        <v>2618</v>
      </c>
      <c r="B454" s="7" t="s">
        <v>627</v>
      </c>
      <c r="C454" s="24">
        <f>IF(B454&lt;&gt;"",IFERROR(VLOOKUP(B454,'📦 Productos'!A:C,3,FALSE),IFERROR(VLOOKUP(B454&amp;"",'📦 Productos'!A:C,3,FALSE),IFERROR(VLOOKUP(VALUE(B454),'📦 Productos'!A:C,3,FALSE),""))),"")</f>
      </c>
      <c r="D454" s="7" t="s">
        <v>2619</v>
      </c>
      <c r="E454" s="8" t="s">
        <v>26</v>
      </c>
      <c r="F454" s="12">
        <v>0</v>
      </c>
      <c r="G454" s="25">
        <v>27200</v>
      </c>
      <c r="H454" s="26">
        <v>17680</v>
      </c>
      <c r="I454" s="14">
        <f>IF(AND(G454&gt;0,H454&gt;0),ROUND((1-H454/G454)*100,0),0)</f>
        <v>35</v>
      </c>
      <c r="J454" s="27" t="s">
        <v>29</v>
      </c>
      <c r="K454" s="12" t="s">
        <v>1888</v>
      </c>
      <c r="L454" s="8" t="s">
        <v>26</v>
      </c>
    </row>
    <row r="455" ht="20" customHeight="1" spans="1:12" x14ac:dyDescent="0.25">
      <c r="A455" s="28" t="s">
        <v>2620</v>
      </c>
      <c r="B455" s="28" t="s">
        <v>627</v>
      </c>
      <c r="C455" s="24">
        <f>IF(B455&lt;&gt;"",IFERROR(VLOOKUP(B455,'📦 Productos'!A:C,3,FALSE),IFERROR(VLOOKUP(B455&amp;"",'📦 Productos'!A:C,3,FALSE),IFERROR(VLOOKUP(VALUE(B455),'📦 Productos'!A:C,3,FALSE),""))),"")</f>
      </c>
      <c r="D455" s="28" t="s">
        <v>2621</v>
      </c>
      <c r="E455" s="29" t="s">
        <v>26</v>
      </c>
      <c r="F455" s="30">
        <v>0</v>
      </c>
      <c r="G455" s="31">
        <v>27200</v>
      </c>
      <c r="H455" s="32">
        <v>17680</v>
      </c>
      <c r="I455" s="14">
        <f>IF(AND(G455&gt;0,H455&gt;0),ROUND((1-H455/G455)*100,0),0)</f>
        <v>35</v>
      </c>
      <c r="J455" s="33" t="s">
        <v>29</v>
      </c>
      <c r="K455" s="30" t="s">
        <v>1888</v>
      </c>
      <c r="L455" s="29" t="s">
        <v>26</v>
      </c>
    </row>
    <row r="456" ht="20" customHeight="1" spans="1:12" x14ac:dyDescent="0.25">
      <c r="A456" s="7" t="s">
        <v>2622</v>
      </c>
      <c r="B456" s="7" t="s">
        <v>627</v>
      </c>
      <c r="C456" s="24">
        <f>IF(B456&lt;&gt;"",IFERROR(VLOOKUP(B456,'📦 Productos'!A:C,3,FALSE),IFERROR(VLOOKUP(B456&amp;"",'📦 Productos'!A:C,3,FALSE),IFERROR(VLOOKUP(VALUE(B456),'📦 Productos'!A:C,3,FALSE),""))),"")</f>
      </c>
      <c r="D456" s="7" t="s">
        <v>2623</v>
      </c>
      <c r="E456" s="8" t="s">
        <v>26</v>
      </c>
      <c r="F456" s="12">
        <v>0</v>
      </c>
      <c r="G456" s="25">
        <v>27200</v>
      </c>
      <c r="H456" s="26">
        <v>17680</v>
      </c>
      <c r="I456" s="14">
        <f>IF(AND(G456&gt;0,H456&gt;0),ROUND((1-H456/G456)*100,0),0)</f>
        <v>35</v>
      </c>
      <c r="J456" s="27" t="s">
        <v>29</v>
      </c>
      <c r="K456" s="12" t="s">
        <v>1888</v>
      </c>
      <c r="L456" s="8" t="s">
        <v>26</v>
      </c>
    </row>
    <row r="457" ht="20" customHeight="1" spans="1:12" x14ac:dyDescent="0.25">
      <c r="A457" s="28" t="s">
        <v>2624</v>
      </c>
      <c r="B457" s="28" t="s">
        <v>627</v>
      </c>
      <c r="C457" s="24">
        <f>IF(B457&lt;&gt;"",IFERROR(VLOOKUP(B457,'📦 Productos'!A:C,3,FALSE),IFERROR(VLOOKUP(B457&amp;"",'📦 Productos'!A:C,3,FALSE),IFERROR(VLOOKUP(VALUE(B457),'📦 Productos'!A:C,3,FALSE),""))),"")</f>
      </c>
      <c r="D457" s="28" t="s">
        <v>2625</v>
      </c>
      <c r="E457" s="29" t="s">
        <v>26</v>
      </c>
      <c r="F457" s="30">
        <v>0</v>
      </c>
      <c r="G457" s="31">
        <v>27200</v>
      </c>
      <c r="H457" s="32">
        <v>13600</v>
      </c>
      <c r="I457" s="14">
        <f>IF(AND(G457&gt;0,H457&gt;0),ROUND((1-H457/G457)*100,0),0)</f>
        <v>50</v>
      </c>
      <c r="J457" s="33" t="s">
        <v>29</v>
      </c>
      <c r="K457" s="30" t="s">
        <v>1888</v>
      </c>
      <c r="L457" s="29" t="s">
        <v>26</v>
      </c>
    </row>
    <row r="458" ht="20" customHeight="1" spans="1:12" x14ac:dyDescent="0.25">
      <c r="A458" s="7" t="s">
        <v>2626</v>
      </c>
      <c r="B458" s="7" t="s">
        <v>627</v>
      </c>
      <c r="C458" s="24">
        <f>IF(B458&lt;&gt;"",IFERROR(VLOOKUP(B458,'📦 Productos'!A:C,3,FALSE),IFERROR(VLOOKUP(B458&amp;"",'📦 Productos'!A:C,3,FALSE),IFERROR(VLOOKUP(VALUE(B458),'📦 Productos'!A:C,3,FALSE),""))),"")</f>
      </c>
      <c r="D458" s="7" t="s">
        <v>2627</v>
      </c>
      <c r="E458" s="8" t="s">
        <v>26</v>
      </c>
      <c r="F458" s="12">
        <v>0</v>
      </c>
      <c r="G458" s="25">
        <v>27200</v>
      </c>
      <c r="H458" s="26">
        <v>17680</v>
      </c>
      <c r="I458" s="14">
        <f>IF(AND(G458&gt;0,H458&gt;0),ROUND((1-H458/G458)*100,0),0)</f>
        <v>35</v>
      </c>
      <c r="J458" s="27" t="s">
        <v>29</v>
      </c>
      <c r="K458" s="12" t="s">
        <v>1888</v>
      </c>
      <c r="L458" s="8" t="s">
        <v>26</v>
      </c>
    </row>
    <row r="459" ht="20" customHeight="1" spans="1:12" x14ac:dyDescent="0.25">
      <c r="A459" s="28" t="s">
        <v>2628</v>
      </c>
      <c r="B459" s="28" t="s">
        <v>630</v>
      </c>
      <c r="C459" s="24">
        <f>IF(B459&lt;&gt;"",IFERROR(VLOOKUP(B459,'📦 Productos'!A:C,3,FALSE),IFERROR(VLOOKUP(B459&amp;"",'📦 Productos'!A:C,3,FALSE),IFERROR(VLOOKUP(VALUE(B459),'📦 Productos'!A:C,3,FALSE),""))),"")</f>
      </c>
      <c r="D459" s="28" t="s">
        <v>2629</v>
      </c>
      <c r="E459" s="29" t="s">
        <v>26</v>
      </c>
      <c r="F459" s="30">
        <v>0</v>
      </c>
      <c r="G459" s="31">
        <v>27200</v>
      </c>
      <c r="H459" s="32">
        <v>13600</v>
      </c>
      <c r="I459" s="14">
        <f>IF(AND(G459&gt;0,H459&gt;0),ROUND((1-H459/G459)*100,0),0)</f>
        <v>50</v>
      </c>
      <c r="J459" s="33" t="s">
        <v>29</v>
      </c>
      <c r="K459" s="30" t="s">
        <v>1888</v>
      </c>
      <c r="L459" s="29" t="s">
        <v>26</v>
      </c>
    </row>
    <row r="460" ht="20" customHeight="1" spans="1:12" x14ac:dyDescent="0.25">
      <c r="A460" s="7" t="s">
        <v>2630</v>
      </c>
      <c r="B460" s="7" t="s">
        <v>633</v>
      </c>
      <c r="C460" s="24">
        <f>IF(B460&lt;&gt;"",IFERROR(VLOOKUP(B460,'📦 Productos'!A:C,3,FALSE),IFERROR(VLOOKUP(B460&amp;"",'📦 Productos'!A:C,3,FALSE),IFERROR(VLOOKUP(VALUE(B460),'📦 Productos'!A:C,3,FALSE),""))),"")</f>
      </c>
      <c r="D460" s="7" t="s">
        <v>26</v>
      </c>
      <c r="E460" s="8" t="s">
        <v>26</v>
      </c>
      <c r="F460" s="12">
        <v>0</v>
      </c>
      <c r="G460" s="25">
        <v>32600</v>
      </c>
      <c r="H460" s="26">
        <v>16300</v>
      </c>
      <c r="I460" s="14">
        <f>IF(AND(G460&gt;0,H460&gt;0),ROUND((1-H460/G460)*100,0),0)</f>
        <v>50</v>
      </c>
      <c r="J460" s="27" t="s">
        <v>29</v>
      </c>
      <c r="K460" s="12" t="s">
        <v>1888</v>
      </c>
      <c r="L460" s="8" t="s">
        <v>26</v>
      </c>
    </row>
    <row r="461" ht="20" customHeight="1" spans="1:12" x14ac:dyDescent="0.25">
      <c r="A461" s="28" t="s">
        <v>2631</v>
      </c>
      <c r="B461" s="28" t="s">
        <v>636</v>
      </c>
      <c r="C461" s="24">
        <f>IF(B461&lt;&gt;"",IFERROR(VLOOKUP(B461,'📦 Productos'!A:C,3,FALSE),IFERROR(VLOOKUP(B461&amp;"",'📦 Productos'!A:C,3,FALSE),IFERROR(VLOOKUP(VALUE(B461),'📦 Productos'!A:C,3,FALSE),""))),"")</f>
      </c>
      <c r="D461" s="28" t="s">
        <v>26</v>
      </c>
      <c r="E461" s="29" t="s">
        <v>26</v>
      </c>
      <c r="F461" s="30">
        <v>0</v>
      </c>
      <c r="G461" s="31">
        <v>32600</v>
      </c>
      <c r="H461" s="32">
        <v>16300</v>
      </c>
      <c r="I461" s="14">
        <f>IF(AND(G461&gt;0,H461&gt;0),ROUND((1-H461/G461)*100,0),0)</f>
        <v>50</v>
      </c>
      <c r="J461" s="33" t="s">
        <v>29</v>
      </c>
      <c r="K461" s="30" t="s">
        <v>1888</v>
      </c>
      <c r="L461" s="29" t="s">
        <v>26</v>
      </c>
    </row>
    <row r="462" ht="20" customHeight="1" spans="1:12" x14ac:dyDescent="0.25">
      <c r="A462" s="7" t="s">
        <v>2632</v>
      </c>
      <c r="B462" s="7" t="s">
        <v>639</v>
      </c>
      <c r="C462" s="24">
        <f>IF(B462&lt;&gt;"",IFERROR(VLOOKUP(B462,'📦 Productos'!A:C,3,FALSE),IFERROR(VLOOKUP(B462&amp;"",'📦 Productos'!A:C,3,FALSE),IFERROR(VLOOKUP(VALUE(B462),'📦 Productos'!A:C,3,FALSE),""))),"")</f>
      </c>
      <c r="D462" s="7" t="s">
        <v>26</v>
      </c>
      <c r="E462" s="8" t="s">
        <v>26</v>
      </c>
      <c r="F462" s="12">
        <v>0</v>
      </c>
      <c r="G462" s="25">
        <v>32600</v>
      </c>
      <c r="H462" s="26">
        <v>16300</v>
      </c>
      <c r="I462" s="14">
        <f>IF(AND(G462&gt;0,H462&gt;0),ROUND((1-H462/G462)*100,0),0)</f>
        <v>50</v>
      </c>
      <c r="J462" s="27" t="s">
        <v>29</v>
      </c>
      <c r="K462" s="12" t="s">
        <v>1888</v>
      </c>
      <c r="L462" s="8" t="s">
        <v>26</v>
      </c>
    </row>
    <row r="463" ht="20" customHeight="1" spans="1:12" x14ac:dyDescent="0.25">
      <c r="A463" s="28" t="s">
        <v>2633</v>
      </c>
      <c r="B463" s="28" t="s">
        <v>642</v>
      </c>
      <c r="C463" s="24">
        <f>IF(B463&lt;&gt;"",IFERROR(VLOOKUP(B463,'📦 Productos'!A:C,3,FALSE),IFERROR(VLOOKUP(B463&amp;"",'📦 Productos'!A:C,3,FALSE),IFERROR(VLOOKUP(VALUE(B463),'📦 Productos'!A:C,3,FALSE),""))),"")</f>
      </c>
      <c r="D463" s="28" t="s">
        <v>26</v>
      </c>
      <c r="E463" s="29" t="s">
        <v>26</v>
      </c>
      <c r="F463" s="30">
        <v>0</v>
      </c>
      <c r="G463" s="31">
        <v>36300</v>
      </c>
      <c r="H463" s="32">
        <v>18150</v>
      </c>
      <c r="I463" s="14">
        <f>IF(AND(G463&gt;0,H463&gt;0),ROUND((1-H463/G463)*100,0),0)</f>
        <v>50</v>
      </c>
      <c r="J463" s="33" t="s">
        <v>29</v>
      </c>
      <c r="K463" s="30" t="s">
        <v>1888</v>
      </c>
      <c r="L463" s="29" t="s">
        <v>26</v>
      </c>
    </row>
    <row r="464" ht="20" customHeight="1" spans="1:12" x14ac:dyDescent="0.25">
      <c r="A464" s="7" t="s">
        <v>2634</v>
      </c>
      <c r="B464" s="7" t="s">
        <v>646</v>
      </c>
      <c r="C464" s="24">
        <f>IF(B464&lt;&gt;"",IFERROR(VLOOKUP(B464,'📦 Productos'!A:C,3,FALSE),IFERROR(VLOOKUP(B464&amp;"",'📦 Productos'!A:C,3,FALSE),IFERROR(VLOOKUP(VALUE(B464),'📦 Productos'!A:C,3,FALSE),""))),"")</f>
      </c>
      <c r="D464" s="7" t="s">
        <v>2635</v>
      </c>
      <c r="E464" s="8" t="s">
        <v>26</v>
      </c>
      <c r="F464" s="12">
        <v>0</v>
      </c>
      <c r="G464" s="25">
        <v>24900</v>
      </c>
      <c r="H464" s="26">
        <v>16185</v>
      </c>
      <c r="I464" s="14">
        <f>IF(AND(G464&gt;0,H464&gt;0),ROUND((1-H464/G464)*100,0),0)</f>
        <v>35</v>
      </c>
      <c r="J464" s="27" t="s">
        <v>29</v>
      </c>
      <c r="K464" s="12" t="s">
        <v>1888</v>
      </c>
      <c r="L464" s="8" t="s">
        <v>26</v>
      </c>
    </row>
    <row r="465" ht="20" customHeight="1" spans="1:12" x14ac:dyDescent="0.25">
      <c r="A465" s="28" t="s">
        <v>2636</v>
      </c>
      <c r="B465" s="28" t="s">
        <v>649</v>
      </c>
      <c r="C465" s="24">
        <f>IF(B465&lt;&gt;"",IFERROR(VLOOKUP(B465,'📦 Productos'!A:C,3,FALSE),IFERROR(VLOOKUP(B465&amp;"",'📦 Productos'!A:C,3,FALSE),IFERROR(VLOOKUP(VALUE(B465),'📦 Productos'!A:C,3,FALSE),""))),"")</f>
      </c>
      <c r="D465" s="28" t="s">
        <v>2637</v>
      </c>
      <c r="E465" s="29" t="s">
        <v>26</v>
      </c>
      <c r="F465" s="30">
        <v>0</v>
      </c>
      <c r="G465" s="31">
        <v>24900</v>
      </c>
      <c r="H465" s="32">
        <v>16185</v>
      </c>
      <c r="I465" s="14">
        <f>IF(AND(G465&gt;0,H465&gt;0),ROUND((1-H465/G465)*100,0),0)</f>
        <v>35</v>
      </c>
      <c r="J465" s="33" t="s">
        <v>29</v>
      </c>
      <c r="K465" s="30" t="s">
        <v>1888</v>
      </c>
      <c r="L465" s="29" t="s">
        <v>26</v>
      </c>
    </row>
    <row r="466" ht="20" customHeight="1" spans="1:12" x14ac:dyDescent="0.25">
      <c r="A466" s="7" t="s">
        <v>2638</v>
      </c>
      <c r="B466" s="7" t="s">
        <v>652</v>
      </c>
      <c r="C466" s="24">
        <f>IF(B466&lt;&gt;"",IFERROR(VLOOKUP(B466,'📦 Productos'!A:C,3,FALSE),IFERROR(VLOOKUP(B466&amp;"",'📦 Productos'!A:C,3,FALSE),IFERROR(VLOOKUP(VALUE(B466),'📦 Productos'!A:C,3,FALSE),""))),"")</f>
      </c>
      <c r="D466" s="7" t="s">
        <v>2639</v>
      </c>
      <c r="E466" s="8" t="s">
        <v>26</v>
      </c>
      <c r="F466" s="12">
        <v>0</v>
      </c>
      <c r="G466" s="25">
        <v>9900</v>
      </c>
      <c r="H466" s="26"/>
      <c r="I466" s="14">
        <f>IF(AND(G466&gt;0,H466&gt;0),ROUND((1-H466/G466)*100,0),0)</f>
        <v>0</v>
      </c>
      <c r="J466" s="27" t="s">
        <v>29</v>
      </c>
      <c r="K466" s="12" t="s">
        <v>1888</v>
      </c>
      <c r="L466" s="8" t="s">
        <v>26</v>
      </c>
    </row>
    <row r="467" ht="20" customHeight="1" spans="1:12" x14ac:dyDescent="0.25">
      <c r="A467" s="28" t="s">
        <v>2640</v>
      </c>
      <c r="B467" s="28" t="s">
        <v>655</v>
      </c>
      <c r="C467" s="24">
        <f>IF(B467&lt;&gt;"",IFERROR(VLOOKUP(B467,'📦 Productos'!A:C,3,FALSE),IFERROR(VLOOKUP(B467&amp;"",'📦 Productos'!A:C,3,FALSE),IFERROR(VLOOKUP(VALUE(B467),'📦 Productos'!A:C,3,FALSE),""))),"")</f>
      </c>
      <c r="D467" s="28" t="s">
        <v>26</v>
      </c>
      <c r="E467" s="29" t="s">
        <v>26</v>
      </c>
      <c r="F467" s="30">
        <v>0</v>
      </c>
      <c r="G467" s="31">
        <v>84500</v>
      </c>
      <c r="H467" s="32"/>
      <c r="I467" s="14">
        <f>IF(AND(G467&gt;0,H467&gt;0),ROUND((1-H467/G467)*100,0),0)</f>
        <v>0</v>
      </c>
      <c r="J467" s="33" t="s">
        <v>29</v>
      </c>
      <c r="K467" s="30" t="s">
        <v>1888</v>
      </c>
      <c r="L467" s="29" t="s">
        <v>26</v>
      </c>
    </row>
    <row r="468" ht="20" customHeight="1" spans="1:12" x14ac:dyDescent="0.25">
      <c r="A468" s="7" t="s">
        <v>2641</v>
      </c>
      <c r="B468" s="7" t="s">
        <v>658</v>
      </c>
      <c r="C468" s="24">
        <f>IF(B468&lt;&gt;"",IFERROR(VLOOKUP(B468,'📦 Productos'!A:C,3,FALSE),IFERROR(VLOOKUP(B468&amp;"",'📦 Productos'!A:C,3,FALSE),IFERROR(VLOOKUP(VALUE(B468),'📦 Productos'!A:C,3,FALSE),""))),"")</f>
      </c>
      <c r="D468" s="7" t="s">
        <v>26</v>
      </c>
      <c r="E468" s="8" t="s">
        <v>26</v>
      </c>
      <c r="F468" s="12">
        <v>0</v>
      </c>
      <c r="G468" s="25">
        <v>29000</v>
      </c>
      <c r="H468" s="26"/>
      <c r="I468" s="14">
        <f>IF(AND(G468&gt;0,H468&gt;0),ROUND((1-H468/G468)*100,0),0)</f>
        <v>0</v>
      </c>
      <c r="J468" s="27" t="s">
        <v>29</v>
      </c>
      <c r="K468" s="12" t="s">
        <v>1888</v>
      </c>
      <c r="L468" s="8" t="s">
        <v>26</v>
      </c>
    </row>
    <row r="469" ht="20" customHeight="1" spans="1:12" x14ac:dyDescent="0.25">
      <c r="A469" s="28" t="s">
        <v>2642</v>
      </c>
      <c r="B469" s="28" t="s">
        <v>661</v>
      </c>
      <c r="C469" s="24">
        <f>IF(B469&lt;&gt;"",IFERROR(VLOOKUP(B469,'📦 Productos'!A:C,3,FALSE),IFERROR(VLOOKUP(B469&amp;"",'📦 Productos'!A:C,3,FALSE),IFERROR(VLOOKUP(VALUE(B469),'📦 Productos'!A:C,3,FALSE),""))),"")</f>
      </c>
      <c r="D469" s="28" t="s">
        <v>26</v>
      </c>
      <c r="E469" s="29" t="s">
        <v>26</v>
      </c>
      <c r="F469" s="30">
        <v>0</v>
      </c>
      <c r="G469" s="31">
        <v>38600</v>
      </c>
      <c r="H469" s="32"/>
      <c r="I469" s="14">
        <f>IF(AND(G469&gt;0,H469&gt;0),ROUND((1-H469/G469)*100,0),0)</f>
        <v>0</v>
      </c>
      <c r="J469" s="33" t="s">
        <v>29</v>
      </c>
      <c r="K469" s="30" t="s">
        <v>1888</v>
      </c>
      <c r="L469" s="29" t="s">
        <v>26</v>
      </c>
    </row>
    <row r="470" ht="20" customHeight="1" spans="1:12" x14ac:dyDescent="0.25">
      <c r="A470" s="7" t="s">
        <v>2643</v>
      </c>
      <c r="B470" s="7" t="s">
        <v>664</v>
      </c>
      <c r="C470" s="24">
        <f>IF(B470&lt;&gt;"",IFERROR(VLOOKUP(B470,'📦 Productos'!A:C,3,FALSE),IFERROR(VLOOKUP(B470&amp;"",'📦 Productos'!A:C,3,FALSE),IFERROR(VLOOKUP(VALUE(B470),'📦 Productos'!A:C,3,FALSE),""))),"")</f>
      </c>
      <c r="D470" s="7" t="s">
        <v>26</v>
      </c>
      <c r="E470" s="8" t="s">
        <v>26</v>
      </c>
      <c r="F470" s="12">
        <v>0</v>
      </c>
      <c r="G470" s="25">
        <v>84500</v>
      </c>
      <c r="H470" s="26"/>
      <c r="I470" s="14">
        <f>IF(AND(G470&gt;0,H470&gt;0),ROUND((1-H470/G470)*100,0),0)</f>
        <v>0</v>
      </c>
      <c r="J470" s="27" t="s">
        <v>29</v>
      </c>
      <c r="K470" s="12" t="s">
        <v>1888</v>
      </c>
      <c r="L470" s="8" t="s">
        <v>26</v>
      </c>
    </row>
    <row r="471" ht="20" customHeight="1" spans="1:12" x14ac:dyDescent="0.25">
      <c r="A471" s="28" t="s">
        <v>2644</v>
      </c>
      <c r="B471" s="28" t="s">
        <v>667</v>
      </c>
      <c r="C471" s="24">
        <f>IF(B471&lt;&gt;"",IFERROR(VLOOKUP(B471,'📦 Productos'!A:C,3,FALSE),IFERROR(VLOOKUP(B471&amp;"",'📦 Productos'!A:C,3,FALSE),IFERROR(VLOOKUP(VALUE(B471),'📦 Productos'!A:C,3,FALSE),""))),"")</f>
      </c>
      <c r="D471" s="28" t="s">
        <v>26</v>
      </c>
      <c r="E471" s="29" t="s">
        <v>26</v>
      </c>
      <c r="F471" s="30">
        <v>0</v>
      </c>
      <c r="G471" s="31">
        <v>59700</v>
      </c>
      <c r="H471" s="32"/>
      <c r="I471" s="14">
        <f>IF(AND(G471&gt;0,H471&gt;0),ROUND((1-H471/G471)*100,0),0)</f>
        <v>0</v>
      </c>
      <c r="J471" s="33" t="s">
        <v>29</v>
      </c>
      <c r="K471" s="30" t="s">
        <v>1888</v>
      </c>
      <c r="L471" s="29" t="s">
        <v>26</v>
      </c>
    </row>
    <row r="472" ht="20" customHeight="1" spans="1:12" x14ac:dyDescent="0.25">
      <c r="A472" s="7" t="s">
        <v>2645</v>
      </c>
      <c r="B472" s="7" t="s">
        <v>670</v>
      </c>
      <c r="C472" s="24">
        <f>IF(B472&lt;&gt;"",IFERROR(VLOOKUP(B472,'📦 Productos'!A:C,3,FALSE),IFERROR(VLOOKUP(B472&amp;"",'📦 Productos'!A:C,3,FALSE),IFERROR(VLOOKUP(VALUE(B472),'📦 Productos'!A:C,3,FALSE),""))),"")</f>
      </c>
      <c r="D472" s="7" t="s">
        <v>26</v>
      </c>
      <c r="E472" s="8" t="s">
        <v>26</v>
      </c>
      <c r="F472" s="12">
        <v>0</v>
      </c>
      <c r="G472" s="25">
        <v>31600</v>
      </c>
      <c r="H472" s="26">
        <v>15800</v>
      </c>
      <c r="I472" s="14">
        <f>IF(AND(G472&gt;0,H472&gt;0),ROUND((1-H472/G472)*100,0),0)</f>
        <v>50</v>
      </c>
      <c r="J472" s="27" t="s">
        <v>29</v>
      </c>
      <c r="K472" s="12" t="s">
        <v>1888</v>
      </c>
      <c r="L472" s="8" t="s">
        <v>26</v>
      </c>
    </row>
    <row r="473" ht="20" customHeight="1" spans="1:12" x14ac:dyDescent="0.25">
      <c r="A473" s="28" t="s">
        <v>2646</v>
      </c>
      <c r="B473" s="28" t="s">
        <v>673</v>
      </c>
      <c r="C473" s="24">
        <f>IF(B473&lt;&gt;"",IFERROR(VLOOKUP(B473,'📦 Productos'!A:C,3,FALSE),IFERROR(VLOOKUP(B473&amp;"",'📦 Productos'!A:C,3,FALSE),IFERROR(VLOOKUP(VALUE(B473),'📦 Productos'!A:C,3,FALSE),""))),"")</f>
      </c>
      <c r="D473" s="28" t="s">
        <v>26</v>
      </c>
      <c r="E473" s="29" t="s">
        <v>26</v>
      </c>
      <c r="F473" s="30">
        <v>0</v>
      </c>
      <c r="G473" s="31">
        <v>26400</v>
      </c>
      <c r="H473" s="32">
        <v>13200</v>
      </c>
      <c r="I473" s="14">
        <f>IF(AND(G473&gt;0,H473&gt;0),ROUND((1-H473/G473)*100,0),0)</f>
        <v>50</v>
      </c>
      <c r="J473" s="33" t="s">
        <v>29</v>
      </c>
      <c r="K473" s="30" t="s">
        <v>1888</v>
      </c>
      <c r="L473" s="29" t="s">
        <v>26</v>
      </c>
    </row>
    <row r="474" ht="20" customHeight="1" spans="1:12" x14ac:dyDescent="0.25">
      <c r="A474" s="7" t="s">
        <v>2647</v>
      </c>
      <c r="B474" s="7" t="s">
        <v>673</v>
      </c>
      <c r="C474" s="24">
        <f>IF(B474&lt;&gt;"",IFERROR(VLOOKUP(B474,'📦 Productos'!A:C,3,FALSE),IFERROR(VLOOKUP(B474&amp;"",'📦 Productos'!A:C,3,FALSE),IFERROR(VLOOKUP(VALUE(B474),'📦 Productos'!A:C,3,FALSE),""))),"")</f>
      </c>
      <c r="D474" s="7" t="s">
        <v>26</v>
      </c>
      <c r="E474" s="8" t="s">
        <v>26</v>
      </c>
      <c r="F474" s="12">
        <v>0</v>
      </c>
      <c r="G474" s="25">
        <v>26400</v>
      </c>
      <c r="H474" s="26">
        <v>17160</v>
      </c>
      <c r="I474" s="14">
        <f>IF(AND(G474&gt;0,H474&gt;0),ROUND((1-H474/G474)*100,0),0)</f>
        <v>35</v>
      </c>
      <c r="J474" s="27" t="s">
        <v>29</v>
      </c>
      <c r="K474" s="12" t="s">
        <v>1888</v>
      </c>
      <c r="L474" s="8" t="s">
        <v>26</v>
      </c>
    </row>
    <row r="475" ht="20" customHeight="1" spans="1:12" x14ac:dyDescent="0.25">
      <c r="A475" s="28" t="s">
        <v>2648</v>
      </c>
      <c r="B475" s="28" t="s">
        <v>673</v>
      </c>
      <c r="C475" s="24">
        <f>IF(B475&lt;&gt;"",IFERROR(VLOOKUP(B475,'📦 Productos'!A:C,3,FALSE),IFERROR(VLOOKUP(B475&amp;"",'📦 Productos'!A:C,3,FALSE),IFERROR(VLOOKUP(VALUE(B475),'📦 Productos'!A:C,3,FALSE),""))),"")</f>
      </c>
      <c r="D475" s="28" t="s">
        <v>26</v>
      </c>
      <c r="E475" s="29" t="s">
        <v>26</v>
      </c>
      <c r="F475" s="30">
        <v>0</v>
      </c>
      <c r="G475" s="31">
        <v>26400</v>
      </c>
      <c r="H475" s="32">
        <v>13200</v>
      </c>
      <c r="I475" s="14">
        <f>IF(AND(G475&gt;0,H475&gt;0),ROUND((1-H475/G475)*100,0),0)</f>
        <v>50</v>
      </c>
      <c r="J475" s="33" t="s">
        <v>29</v>
      </c>
      <c r="K475" s="30" t="s">
        <v>1888</v>
      </c>
      <c r="L475" s="29" t="s">
        <v>26</v>
      </c>
    </row>
    <row r="476" ht="20" customHeight="1" spans="1:12" x14ac:dyDescent="0.25">
      <c r="A476" s="7" t="s">
        <v>2649</v>
      </c>
      <c r="B476" s="7" t="s">
        <v>676</v>
      </c>
      <c r="C476" s="24">
        <f>IF(B476&lt;&gt;"",IFERROR(VLOOKUP(B476,'📦 Productos'!A:C,3,FALSE),IFERROR(VLOOKUP(B476&amp;"",'📦 Productos'!A:C,3,FALSE),IFERROR(VLOOKUP(VALUE(B476),'📦 Productos'!A:C,3,FALSE),""))),"")</f>
      </c>
      <c r="D476" s="7" t="s">
        <v>26</v>
      </c>
      <c r="E476" s="8" t="s">
        <v>26</v>
      </c>
      <c r="F476" s="12">
        <v>0</v>
      </c>
      <c r="G476" s="25">
        <v>33900</v>
      </c>
      <c r="H476" s="26">
        <v>16950</v>
      </c>
      <c r="I476" s="14">
        <f>IF(AND(G476&gt;0,H476&gt;0),ROUND((1-H476/G476)*100,0),0)</f>
        <v>50</v>
      </c>
      <c r="J476" s="27" t="s">
        <v>29</v>
      </c>
      <c r="K476" s="12" t="s">
        <v>1888</v>
      </c>
      <c r="L476" s="8" t="s">
        <v>26</v>
      </c>
    </row>
    <row r="477" ht="20" customHeight="1" spans="1:12" x14ac:dyDescent="0.25">
      <c r="A477" s="28" t="s">
        <v>2650</v>
      </c>
      <c r="B477" s="28" t="s">
        <v>679</v>
      </c>
      <c r="C477" s="24">
        <f>IF(B477&lt;&gt;"",IFERROR(VLOOKUP(B477,'📦 Productos'!A:C,3,FALSE),IFERROR(VLOOKUP(B477&amp;"",'📦 Productos'!A:C,3,FALSE),IFERROR(VLOOKUP(VALUE(B477),'📦 Productos'!A:C,3,FALSE),""))),"")</f>
      </c>
      <c r="D477" s="28" t="s">
        <v>26</v>
      </c>
      <c r="E477" s="29" t="s">
        <v>26</v>
      </c>
      <c r="F477" s="30">
        <v>0</v>
      </c>
      <c r="G477" s="31">
        <v>33900</v>
      </c>
      <c r="H477" s="32">
        <v>16950</v>
      </c>
      <c r="I477" s="14">
        <f>IF(AND(G477&gt;0,H477&gt;0),ROUND((1-H477/G477)*100,0),0)</f>
        <v>50</v>
      </c>
      <c r="J477" s="33" t="s">
        <v>29</v>
      </c>
      <c r="K477" s="30" t="s">
        <v>1888</v>
      </c>
      <c r="L477" s="29" t="s">
        <v>26</v>
      </c>
    </row>
    <row r="478" ht="20" customHeight="1" spans="1:12" x14ac:dyDescent="0.25">
      <c r="A478" s="7" t="s">
        <v>2651</v>
      </c>
      <c r="B478" s="7" t="s">
        <v>682</v>
      </c>
      <c r="C478" s="24">
        <f>IF(B478&lt;&gt;"",IFERROR(VLOOKUP(B478,'📦 Productos'!A:C,3,FALSE),IFERROR(VLOOKUP(B478&amp;"",'📦 Productos'!A:C,3,FALSE),IFERROR(VLOOKUP(VALUE(B478),'📦 Productos'!A:C,3,FALSE),""))),"")</f>
      </c>
      <c r="D478" s="7" t="s">
        <v>2652</v>
      </c>
      <c r="E478" s="8" t="s">
        <v>26</v>
      </c>
      <c r="F478" s="12">
        <v>0</v>
      </c>
      <c r="G478" s="25">
        <v>34700</v>
      </c>
      <c r="H478" s="26">
        <v>17350</v>
      </c>
      <c r="I478" s="14">
        <f>IF(AND(G478&gt;0,H478&gt;0),ROUND((1-H478/G478)*100,0),0)</f>
        <v>50</v>
      </c>
      <c r="J478" s="27" t="s">
        <v>29</v>
      </c>
      <c r="K478" s="12" t="s">
        <v>1888</v>
      </c>
      <c r="L478" s="8" t="s">
        <v>26</v>
      </c>
    </row>
    <row r="479" ht="20" customHeight="1" spans="1:12" x14ac:dyDescent="0.25">
      <c r="A479" s="28" t="s">
        <v>2653</v>
      </c>
      <c r="B479" s="28" t="s">
        <v>682</v>
      </c>
      <c r="C479" s="24">
        <f>IF(B479&lt;&gt;"",IFERROR(VLOOKUP(B479,'📦 Productos'!A:C,3,FALSE),IFERROR(VLOOKUP(B479&amp;"",'📦 Productos'!A:C,3,FALSE),IFERROR(VLOOKUP(VALUE(B479),'📦 Productos'!A:C,3,FALSE),""))),"")</f>
      </c>
      <c r="D479" s="28" t="s">
        <v>26</v>
      </c>
      <c r="E479" s="29" t="s">
        <v>26</v>
      </c>
      <c r="F479" s="30">
        <v>0</v>
      </c>
      <c r="G479" s="31">
        <v>34700</v>
      </c>
      <c r="H479" s="32"/>
      <c r="I479" s="14">
        <f>IF(AND(G479&gt;0,H479&gt;0),ROUND((1-H479/G479)*100,0),0)</f>
        <v>0</v>
      </c>
      <c r="J479" s="33" t="s">
        <v>29</v>
      </c>
      <c r="K479" s="30" t="s">
        <v>1888</v>
      </c>
      <c r="L479" s="29" t="s">
        <v>26</v>
      </c>
    </row>
    <row r="480" ht="20" customHeight="1" spans="1:12" x14ac:dyDescent="0.25">
      <c r="A480" s="7" t="s">
        <v>2654</v>
      </c>
      <c r="B480" s="7" t="s">
        <v>685</v>
      </c>
      <c r="C480" s="24">
        <f>IF(B480&lt;&gt;"",IFERROR(VLOOKUP(B480,'📦 Productos'!A:C,3,FALSE),IFERROR(VLOOKUP(B480&amp;"",'📦 Productos'!A:C,3,FALSE),IFERROR(VLOOKUP(VALUE(B480),'📦 Productos'!A:C,3,FALSE),""))),"")</f>
      </c>
      <c r="D480" s="7" t="s">
        <v>2655</v>
      </c>
      <c r="E480" s="8" t="s">
        <v>26</v>
      </c>
      <c r="F480" s="12">
        <v>0</v>
      </c>
      <c r="G480" s="25">
        <v>34700</v>
      </c>
      <c r="H480" s="26">
        <v>17350</v>
      </c>
      <c r="I480" s="14">
        <f>IF(AND(G480&gt;0,H480&gt;0),ROUND((1-H480/G480)*100,0),0)</f>
        <v>50</v>
      </c>
      <c r="J480" s="27" t="s">
        <v>29</v>
      </c>
      <c r="K480" s="12" t="s">
        <v>1888</v>
      </c>
      <c r="L480" s="8" t="s">
        <v>26</v>
      </c>
    </row>
    <row r="481" ht="20" customHeight="1" spans="1:12" x14ac:dyDescent="0.25">
      <c r="A481" s="28" t="s">
        <v>2656</v>
      </c>
      <c r="B481" s="28" t="s">
        <v>688</v>
      </c>
      <c r="C481" s="24">
        <f>IF(B481&lt;&gt;"",IFERROR(VLOOKUP(B481,'📦 Productos'!A:C,3,FALSE),IFERROR(VLOOKUP(B481&amp;"",'📦 Productos'!A:C,3,FALSE),IFERROR(VLOOKUP(VALUE(B481),'📦 Productos'!A:C,3,FALSE),""))),"")</f>
      </c>
      <c r="D481" s="28" t="s">
        <v>2657</v>
      </c>
      <c r="E481" s="29" t="s">
        <v>26</v>
      </c>
      <c r="F481" s="30">
        <v>0</v>
      </c>
      <c r="G481" s="31">
        <v>34700</v>
      </c>
      <c r="H481" s="32">
        <v>17350</v>
      </c>
      <c r="I481" s="14">
        <f>IF(AND(G481&gt;0,H481&gt;0),ROUND((1-H481/G481)*100,0),0)</f>
        <v>50</v>
      </c>
      <c r="J481" s="33" t="s">
        <v>29</v>
      </c>
      <c r="K481" s="30" t="s">
        <v>1888</v>
      </c>
      <c r="L481" s="29" t="s">
        <v>26</v>
      </c>
    </row>
    <row r="482" ht="20" customHeight="1" spans="1:12" x14ac:dyDescent="0.25">
      <c r="A482" s="7" t="s">
        <v>2658</v>
      </c>
      <c r="B482" s="7" t="s">
        <v>691</v>
      </c>
      <c r="C482" s="24">
        <f>IF(B482&lt;&gt;"",IFERROR(VLOOKUP(B482,'📦 Productos'!A:C,3,FALSE),IFERROR(VLOOKUP(B482&amp;"",'📦 Productos'!A:C,3,FALSE),IFERROR(VLOOKUP(VALUE(B482),'📦 Productos'!A:C,3,FALSE),""))),"")</f>
      </c>
      <c r="D482" s="7" t="s">
        <v>2659</v>
      </c>
      <c r="E482" s="8" t="s">
        <v>26</v>
      </c>
      <c r="F482" s="12">
        <v>0</v>
      </c>
      <c r="G482" s="25">
        <v>34700</v>
      </c>
      <c r="H482" s="26">
        <v>17350</v>
      </c>
      <c r="I482" s="14">
        <f>IF(AND(G482&gt;0,H482&gt;0),ROUND((1-H482/G482)*100,0),0)</f>
        <v>50</v>
      </c>
      <c r="J482" s="27" t="s">
        <v>29</v>
      </c>
      <c r="K482" s="12" t="s">
        <v>1888</v>
      </c>
      <c r="L482" s="8" t="s">
        <v>26</v>
      </c>
    </row>
    <row r="483" ht="20" customHeight="1" spans="1:12" x14ac:dyDescent="0.25">
      <c r="A483" s="28" t="s">
        <v>2660</v>
      </c>
      <c r="B483" s="28" t="s">
        <v>694</v>
      </c>
      <c r="C483" s="24">
        <f>IF(B483&lt;&gt;"",IFERROR(VLOOKUP(B483,'📦 Productos'!A:C,3,FALSE),IFERROR(VLOOKUP(B483&amp;"",'📦 Productos'!A:C,3,FALSE),IFERROR(VLOOKUP(VALUE(B483),'📦 Productos'!A:C,3,FALSE),""))),"")</f>
      </c>
      <c r="D483" s="28" t="s">
        <v>2661</v>
      </c>
      <c r="E483" s="29" t="s">
        <v>26</v>
      </c>
      <c r="F483" s="30">
        <v>0</v>
      </c>
      <c r="G483" s="31">
        <v>34700</v>
      </c>
      <c r="H483" s="32"/>
      <c r="I483" s="14">
        <f>IF(AND(G483&gt;0,H483&gt;0),ROUND((1-H483/G483)*100,0),0)</f>
        <v>0</v>
      </c>
      <c r="J483" s="33" t="s">
        <v>29</v>
      </c>
      <c r="K483" s="30" t="s">
        <v>1888</v>
      </c>
      <c r="L483" s="29" t="s">
        <v>26</v>
      </c>
    </row>
    <row r="484" ht="20" customHeight="1" spans="1:12" x14ac:dyDescent="0.25">
      <c r="A484" s="7" t="s">
        <v>2662</v>
      </c>
      <c r="B484" s="7" t="s">
        <v>697</v>
      </c>
      <c r="C484" s="24">
        <f>IF(B484&lt;&gt;"",IFERROR(VLOOKUP(B484,'📦 Productos'!A:C,3,FALSE),IFERROR(VLOOKUP(B484&amp;"",'📦 Productos'!A:C,3,FALSE),IFERROR(VLOOKUP(VALUE(B484),'📦 Productos'!A:C,3,FALSE),""))),"")</f>
      </c>
      <c r="D484" s="7" t="s">
        <v>2663</v>
      </c>
      <c r="E484" s="8" t="s">
        <v>26</v>
      </c>
      <c r="F484" s="12">
        <v>0</v>
      </c>
      <c r="G484" s="25">
        <v>28400</v>
      </c>
      <c r="H484" s="26"/>
      <c r="I484" s="14">
        <f>IF(AND(G484&gt;0,H484&gt;0),ROUND((1-H484/G484)*100,0),0)</f>
        <v>0</v>
      </c>
      <c r="J484" s="27" t="s">
        <v>29</v>
      </c>
      <c r="K484" s="12" t="s">
        <v>1888</v>
      </c>
      <c r="L484" s="8" t="s">
        <v>26</v>
      </c>
    </row>
    <row r="485" ht="20" customHeight="1" spans="1:12" x14ac:dyDescent="0.25">
      <c r="A485" s="28" t="s">
        <v>2664</v>
      </c>
      <c r="B485" s="28" t="s">
        <v>700</v>
      </c>
      <c r="C485" s="24">
        <f>IF(B485&lt;&gt;"",IFERROR(VLOOKUP(B485,'📦 Productos'!A:C,3,FALSE),IFERROR(VLOOKUP(B485&amp;"",'📦 Productos'!A:C,3,FALSE),IFERROR(VLOOKUP(VALUE(B485),'📦 Productos'!A:C,3,FALSE),""))),"")</f>
      </c>
      <c r="D485" s="28" t="s">
        <v>2665</v>
      </c>
      <c r="E485" s="29" t="s">
        <v>26</v>
      </c>
      <c r="F485" s="30">
        <v>0</v>
      </c>
      <c r="G485" s="31">
        <v>28400</v>
      </c>
      <c r="H485" s="32"/>
      <c r="I485" s="14">
        <f>IF(AND(G485&gt;0,H485&gt;0),ROUND((1-H485/G485)*100,0),0)</f>
        <v>0</v>
      </c>
      <c r="J485" s="33" t="s">
        <v>29</v>
      </c>
      <c r="K485" s="30" t="s">
        <v>1888</v>
      </c>
      <c r="L485" s="29" t="s">
        <v>26</v>
      </c>
    </row>
    <row r="486" ht="20" customHeight="1" spans="1:12" x14ac:dyDescent="0.25">
      <c r="A486" s="7" t="s">
        <v>2666</v>
      </c>
      <c r="B486" s="7" t="s">
        <v>703</v>
      </c>
      <c r="C486" s="24">
        <f>IF(B486&lt;&gt;"",IFERROR(VLOOKUP(B486,'📦 Productos'!A:C,3,FALSE),IFERROR(VLOOKUP(B486&amp;"",'📦 Productos'!A:C,3,FALSE),IFERROR(VLOOKUP(VALUE(B486),'📦 Productos'!A:C,3,FALSE),""))),"")</f>
      </c>
      <c r="D486" s="7" t="s">
        <v>2667</v>
      </c>
      <c r="E486" s="8" t="s">
        <v>26</v>
      </c>
      <c r="F486" s="12">
        <v>0</v>
      </c>
      <c r="G486" s="25">
        <v>28400</v>
      </c>
      <c r="H486" s="26"/>
      <c r="I486" s="14">
        <f>IF(AND(G486&gt;0,H486&gt;0),ROUND((1-H486/G486)*100,0),0)</f>
        <v>0</v>
      </c>
      <c r="J486" s="27" t="s">
        <v>29</v>
      </c>
      <c r="K486" s="12" t="s">
        <v>1888</v>
      </c>
      <c r="L486" s="8" t="s">
        <v>26</v>
      </c>
    </row>
    <row r="487" ht="20" customHeight="1" spans="1:12" x14ac:dyDescent="0.25">
      <c r="A487" s="28" t="s">
        <v>2668</v>
      </c>
      <c r="B487" s="28" t="s">
        <v>706</v>
      </c>
      <c r="C487" s="24">
        <f>IF(B487&lt;&gt;"",IFERROR(VLOOKUP(B487,'📦 Productos'!A:C,3,FALSE),IFERROR(VLOOKUP(B487&amp;"",'📦 Productos'!A:C,3,FALSE),IFERROR(VLOOKUP(VALUE(B487),'📦 Productos'!A:C,3,FALSE),""))),"")</f>
      </c>
      <c r="D487" s="28" t="s">
        <v>2669</v>
      </c>
      <c r="E487" s="29" t="s">
        <v>26</v>
      </c>
      <c r="F487" s="30">
        <v>0</v>
      </c>
      <c r="G487" s="31">
        <v>28400</v>
      </c>
      <c r="H487" s="32">
        <v>14200</v>
      </c>
      <c r="I487" s="14">
        <f>IF(AND(G487&gt;0,H487&gt;0),ROUND((1-H487/G487)*100,0),0)</f>
        <v>50</v>
      </c>
      <c r="J487" s="33" t="s">
        <v>29</v>
      </c>
      <c r="K487" s="30" t="s">
        <v>1888</v>
      </c>
      <c r="L487" s="29" t="s">
        <v>26</v>
      </c>
    </row>
    <row r="488" ht="20" customHeight="1" spans="1:12" x14ac:dyDescent="0.25">
      <c r="A488" s="7" t="s">
        <v>2670</v>
      </c>
      <c r="B488" s="7" t="s">
        <v>709</v>
      </c>
      <c r="C488" s="24">
        <f>IF(B488&lt;&gt;"",IFERROR(VLOOKUP(B488,'📦 Productos'!A:C,3,FALSE),IFERROR(VLOOKUP(B488&amp;"",'📦 Productos'!A:C,3,FALSE),IFERROR(VLOOKUP(VALUE(B488),'📦 Productos'!A:C,3,FALSE),""))),"")</f>
      </c>
      <c r="D488" s="7" t="s">
        <v>2671</v>
      </c>
      <c r="E488" s="8" t="s">
        <v>26</v>
      </c>
      <c r="F488" s="12">
        <v>0</v>
      </c>
      <c r="G488" s="25">
        <v>28400</v>
      </c>
      <c r="H488" s="26">
        <v>14200</v>
      </c>
      <c r="I488" s="14">
        <f>IF(AND(G488&gt;0,H488&gt;0),ROUND((1-H488/G488)*100,0),0)</f>
        <v>50</v>
      </c>
      <c r="J488" s="27" t="s">
        <v>29</v>
      </c>
      <c r="K488" s="12" t="s">
        <v>1888</v>
      </c>
      <c r="L488" s="8" t="s">
        <v>26</v>
      </c>
    </row>
    <row r="489" ht="20" customHeight="1" spans="1:12" x14ac:dyDescent="0.25">
      <c r="A489" s="28" t="s">
        <v>2672</v>
      </c>
      <c r="B489" s="28" t="s">
        <v>713</v>
      </c>
      <c r="C489" s="24">
        <f>IF(B489&lt;&gt;"",IFERROR(VLOOKUP(B489,'📦 Productos'!A:C,3,FALSE),IFERROR(VLOOKUP(B489&amp;"",'📦 Productos'!A:C,3,FALSE),IFERROR(VLOOKUP(VALUE(B489),'📦 Productos'!A:C,3,FALSE),""))),"")</f>
      </c>
      <c r="D489" s="28" t="s">
        <v>2673</v>
      </c>
      <c r="E489" s="29" t="s">
        <v>26</v>
      </c>
      <c r="F489" s="30">
        <v>0</v>
      </c>
      <c r="G489" s="31">
        <v>28400</v>
      </c>
      <c r="H489" s="32"/>
      <c r="I489" s="14">
        <f>IF(AND(G489&gt;0,H489&gt;0),ROUND((1-H489/G489)*100,0),0)</f>
        <v>0</v>
      </c>
      <c r="J489" s="33" t="s">
        <v>29</v>
      </c>
      <c r="K489" s="30" t="s">
        <v>1888</v>
      </c>
      <c r="L489" s="29" t="s">
        <v>26</v>
      </c>
    </row>
    <row r="490" ht="20" customHeight="1" spans="1:12" x14ac:dyDescent="0.25">
      <c r="A490" s="7" t="s">
        <v>2674</v>
      </c>
      <c r="B490" s="7" t="s">
        <v>716</v>
      </c>
      <c r="C490" s="24">
        <f>IF(B490&lt;&gt;"",IFERROR(VLOOKUP(B490,'📦 Productos'!A:C,3,FALSE),IFERROR(VLOOKUP(B490&amp;"",'📦 Productos'!A:C,3,FALSE),IFERROR(VLOOKUP(VALUE(B490),'📦 Productos'!A:C,3,FALSE),""))),"")</f>
      </c>
      <c r="D490" s="7" t="s">
        <v>2675</v>
      </c>
      <c r="E490" s="8" t="s">
        <v>26</v>
      </c>
      <c r="F490" s="12">
        <v>0</v>
      </c>
      <c r="G490" s="25">
        <v>23900</v>
      </c>
      <c r="H490" s="26">
        <v>15535</v>
      </c>
      <c r="I490" s="14">
        <f>IF(AND(G490&gt;0,H490&gt;0),ROUND((1-H490/G490)*100,0),0)</f>
        <v>35</v>
      </c>
      <c r="J490" s="27" t="s">
        <v>29</v>
      </c>
      <c r="K490" s="12" t="s">
        <v>1888</v>
      </c>
      <c r="L490" s="8" t="s">
        <v>26</v>
      </c>
    </row>
    <row r="491" ht="20" customHeight="1" spans="1:12" x14ac:dyDescent="0.25">
      <c r="A491" s="28" t="s">
        <v>2676</v>
      </c>
      <c r="B491" s="28" t="s">
        <v>719</v>
      </c>
      <c r="C491" s="24">
        <f>IF(B491&lt;&gt;"",IFERROR(VLOOKUP(B491,'📦 Productos'!A:C,3,FALSE),IFERROR(VLOOKUP(B491&amp;"",'📦 Productos'!A:C,3,FALSE),IFERROR(VLOOKUP(VALUE(B491),'📦 Productos'!A:C,3,FALSE),""))),"")</f>
      </c>
      <c r="D491" s="28" t="s">
        <v>2677</v>
      </c>
      <c r="E491" s="29" t="s">
        <v>26</v>
      </c>
      <c r="F491" s="30">
        <v>0</v>
      </c>
      <c r="G491" s="31">
        <v>15500</v>
      </c>
      <c r="H491" s="32">
        <v>7750</v>
      </c>
      <c r="I491" s="14">
        <f>IF(AND(G491&gt;0,H491&gt;0),ROUND((1-H491/G491)*100,0),0)</f>
        <v>50</v>
      </c>
      <c r="J491" s="33" t="s">
        <v>29</v>
      </c>
      <c r="K491" s="30" t="s">
        <v>1888</v>
      </c>
      <c r="L491" s="29" t="s">
        <v>26</v>
      </c>
    </row>
    <row r="492" ht="20" customHeight="1" spans="1:12" x14ac:dyDescent="0.25">
      <c r="A492" s="7" t="s">
        <v>2678</v>
      </c>
      <c r="B492" s="7" t="s">
        <v>722</v>
      </c>
      <c r="C492" s="24">
        <f>IF(B492&lt;&gt;"",IFERROR(VLOOKUP(B492,'📦 Productos'!A:C,3,FALSE),IFERROR(VLOOKUP(B492&amp;"",'📦 Productos'!A:C,3,FALSE),IFERROR(VLOOKUP(VALUE(B492),'📦 Productos'!A:C,3,FALSE),""))),"")</f>
      </c>
      <c r="D492" s="7" t="s">
        <v>2679</v>
      </c>
      <c r="E492" s="8" t="s">
        <v>26</v>
      </c>
      <c r="F492" s="12">
        <v>0</v>
      </c>
      <c r="G492" s="25">
        <v>15500</v>
      </c>
      <c r="H492" s="26"/>
      <c r="I492" s="14">
        <f>IF(AND(G492&gt;0,H492&gt;0),ROUND((1-H492/G492)*100,0),0)</f>
        <v>0</v>
      </c>
      <c r="J492" s="27" t="s">
        <v>29</v>
      </c>
      <c r="K492" s="12" t="s">
        <v>1888</v>
      </c>
      <c r="L492" s="8" t="s">
        <v>26</v>
      </c>
    </row>
    <row r="493" ht="20" customHeight="1" spans="1:12" x14ac:dyDescent="0.25">
      <c r="A493" s="28" t="s">
        <v>2680</v>
      </c>
      <c r="B493" s="28" t="s">
        <v>725</v>
      </c>
      <c r="C493" s="24">
        <f>IF(B493&lt;&gt;"",IFERROR(VLOOKUP(B493,'📦 Productos'!A:C,3,FALSE),IFERROR(VLOOKUP(B493&amp;"",'📦 Productos'!A:C,3,FALSE),IFERROR(VLOOKUP(VALUE(B493),'📦 Productos'!A:C,3,FALSE),""))),"")</f>
      </c>
      <c r="D493" s="28" t="s">
        <v>2681</v>
      </c>
      <c r="E493" s="29" t="s">
        <v>26</v>
      </c>
      <c r="F493" s="30">
        <v>0</v>
      </c>
      <c r="G493" s="31">
        <v>15500</v>
      </c>
      <c r="H493" s="32"/>
      <c r="I493" s="14">
        <f>IF(AND(G493&gt;0,H493&gt;0),ROUND((1-H493/G493)*100,0),0)</f>
        <v>0</v>
      </c>
      <c r="J493" s="33" t="s">
        <v>29</v>
      </c>
      <c r="K493" s="30" t="s">
        <v>1888</v>
      </c>
      <c r="L493" s="29" t="s">
        <v>26</v>
      </c>
    </row>
    <row r="494" ht="20" customHeight="1" spans="1:12" x14ac:dyDescent="0.25">
      <c r="A494" s="7" t="s">
        <v>2682</v>
      </c>
      <c r="B494" s="7" t="s">
        <v>728</v>
      </c>
      <c r="C494" s="24">
        <f>IF(B494&lt;&gt;"",IFERROR(VLOOKUP(B494,'📦 Productos'!A:C,3,FALSE),IFERROR(VLOOKUP(B494&amp;"",'📦 Productos'!A:C,3,FALSE),IFERROR(VLOOKUP(VALUE(B494),'📦 Productos'!A:C,3,FALSE),""))),"")</f>
      </c>
      <c r="D494" s="7" t="s">
        <v>2683</v>
      </c>
      <c r="E494" s="8" t="s">
        <v>26</v>
      </c>
      <c r="F494" s="12">
        <v>0</v>
      </c>
      <c r="G494" s="25">
        <v>15500</v>
      </c>
      <c r="H494" s="26"/>
      <c r="I494" s="14">
        <f>IF(AND(G494&gt;0,H494&gt;0),ROUND((1-H494/G494)*100,0),0)</f>
        <v>0</v>
      </c>
      <c r="J494" s="27" t="s">
        <v>29</v>
      </c>
      <c r="K494" s="12" t="s">
        <v>1888</v>
      </c>
      <c r="L494" s="8" t="s">
        <v>26</v>
      </c>
    </row>
    <row r="495" ht="20" customHeight="1" spans="1:12" x14ac:dyDescent="0.25">
      <c r="A495" s="28" t="s">
        <v>2684</v>
      </c>
      <c r="B495" s="28" t="s">
        <v>731</v>
      </c>
      <c r="C495" s="24">
        <f>IF(B495&lt;&gt;"",IFERROR(VLOOKUP(B495,'📦 Productos'!A:C,3,FALSE),IFERROR(VLOOKUP(B495&amp;"",'📦 Productos'!A:C,3,FALSE),IFERROR(VLOOKUP(VALUE(B495),'📦 Productos'!A:C,3,FALSE),""))),"")</f>
      </c>
      <c r="D495" s="28" t="s">
        <v>2685</v>
      </c>
      <c r="E495" s="29" t="s">
        <v>26</v>
      </c>
      <c r="F495" s="30">
        <v>0</v>
      </c>
      <c r="G495" s="31">
        <v>31500</v>
      </c>
      <c r="H495" s="32">
        <v>15750</v>
      </c>
      <c r="I495" s="14">
        <f>IF(AND(G495&gt;0,H495&gt;0),ROUND((1-H495/G495)*100,0),0)</f>
        <v>50</v>
      </c>
      <c r="J495" s="33" t="s">
        <v>29</v>
      </c>
      <c r="K495" s="30" t="s">
        <v>1888</v>
      </c>
      <c r="L495" s="29" t="s">
        <v>2686</v>
      </c>
    </row>
    <row r="496" ht="20" customHeight="1" spans="1:12" x14ac:dyDescent="0.25">
      <c r="A496" s="7" t="s">
        <v>2687</v>
      </c>
      <c r="B496" s="7" t="s">
        <v>734</v>
      </c>
      <c r="C496" s="24">
        <f>IF(B496&lt;&gt;"",IFERROR(VLOOKUP(B496,'📦 Productos'!A:C,3,FALSE),IFERROR(VLOOKUP(B496&amp;"",'📦 Productos'!A:C,3,FALSE),IFERROR(VLOOKUP(VALUE(B496),'📦 Productos'!A:C,3,FALSE),""))),"")</f>
      </c>
      <c r="D496" s="7" t="s">
        <v>2688</v>
      </c>
      <c r="E496" s="8" t="s">
        <v>26</v>
      </c>
      <c r="F496" s="12">
        <v>0</v>
      </c>
      <c r="G496" s="25">
        <v>26500</v>
      </c>
      <c r="H496" s="26"/>
      <c r="I496" s="14">
        <f>IF(AND(G496&gt;0,H496&gt;0),ROUND((1-H496/G496)*100,0),0)</f>
        <v>0</v>
      </c>
      <c r="J496" s="27" t="s">
        <v>29</v>
      </c>
      <c r="K496" s="12" t="s">
        <v>1888</v>
      </c>
      <c r="L496" s="8" t="s">
        <v>26</v>
      </c>
    </row>
    <row r="497" ht="20" customHeight="1" spans="1:12" x14ac:dyDescent="0.25">
      <c r="A497" s="28" t="s">
        <v>2689</v>
      </c>
      <c r="B497" s="28" t="s">
        <v>737</v>
      </c>
      <c r="C497" s="24">
        <f>IF(B497&lt;&gt;"",IFERROR(VLOOKUP(B497,'📦 Productos'!A:C,3,FALSE),IFERROR(VLOOKUP(B497&amp;"",'📦 Productos'!A:C,3,FALSE),IFERROR(VLOOKUP(VALUE(B497),'📦 Productos'!A:C,3,FALSE),""))),"")</f>
      </c>
      <c r="D497" s="28" t="s">
        <v>2690</v>
      </c>
      <c r="E497" s="29" t="s">
        <v>2691</v>
      </c>
      <c r="F497" s="30">
        <v>6</v>
      </c>
      <c r="G497" s="31">
        <v>26500</v>
      </c>
      <c r="H497" s="32">
        <v>21200</v>
      </c>
      <c r="I497" s="14">
        <f>IF(AND(G497&gt;0,H497&gt;0),ROUND((1-H497/G497)*100,0),0)</f>
        <v>20</v>
      </c>
      <c r="J497" s="33" t="s">
        <v>29</v>
      </c>
      <c r="K497" s="30" t="s">
        <v>2692</v>
      </c>
      <c r="L497" s="29" t="s">
        <v>2693</v>
      </c>
    </row>
    <row r="498" ht="20" customHeight="1" spans="1:12" x14ac:dyDescent="0.25">
      <c r="A498" s="7" t="s">
        <v>2694</v>
      </c>
      <c r="B498" s="7" t="s">
        <v>740</v>
      </c>
      <c r="C498" s="24">
        <f>IF(B498&lt;&gt;"",IFERROR(VLOOKUP(B498,'📦 Productos'!A:C,3,FALSE),IFERROR(VLOOKUP(B498&amp;"",'📦 Productos'!A:C,3,FALSE),IFERROR(VLOOKUP(VALUE(B498),'📦 Productos'!A:C,3,FALSE),""))),"")</f>
      </c>
      <c r="D498" s="7" t="s">
        <v>741</v>
      </c>
      <c r="E498" s="8" t="s">
        <v>26</v>
      </c>
      <c r="F498" s="12">
        <v>0</v>
      </c>
      <c r="G498" s="25">
        <v>3899924</v>
      </c>
      <c r="H498" s="26"/>
      <c r="I498" s="14">
        <f>IF(AND(G498&gt;0,H498&gt;0),ROUND((1-H498/G498)*100,0),0)</f>
        <v>0</v>
      </c>
      <c r="J498" s="34" t="s">
        <v>28</v>
      </c>
      <c r="K498" s="12" t="s">
        <v>1888</v>
      </c>
      <c r="L498" s="8" t="s">
        <v>26</v>
      </c>
    </row>
    <row r="499" ht="20" customHeight="1" spans="1:12" x14ac:dyDescent="0.25">
      <c r="A499" s="28" t="s">
        <v>2695</v>
      </c>
      <c r="B499" s="28" t="s">
        <v>743</v>
      </c>
      <c r="C499" s="24">
        <f>IF(B499&lt;&gt;"",IFERROR(VLOOKUP(B499,'📦 Productos'!A:C,3,FALSE),IFERROR(VLOOKUP(B499&amp;"",'📦 Productos'!A:C,3,FALSE),IFERROR(VLOOKUP(VALUE(B499),'📦 Productos'!A:C,3,FALSE),""))),"")</f>
      </c>
      <c r="D499" s="28" t="s">
        <v>744</v>
      </c>
      <c r="E499" s="29" t="s">
        <v>26</v>
      </c>
      <c r="F499" s="30">
        <v>0</v>
      </c>
      <c r="G499" s="31">
        <v>68600</v>
      </c>
      <c r="H499" s="32"/>
      <c r="I499" s="14">
        <f>IF(AND(G499&gt;0,H499&gt;0),ROUND((1-H499/G499)*100,0),0)</f>
        <v>0</v>
      </c>
      <c r="J499" s="35" t="s">
        <v>28</v>
      </c>
      <c r="K499" s="30" t="s">
        <v>1888</v>
      </c>
      <c r="L499" s="29" t="s">
        <v>26</v>
      </c>
    </row>
    <row r="500" ht="20" customHeight="1" spans="1:12" x14ac:dyDescent="0.25">
      <c r="A500" s="7" t="s">
        <v>2696</v>
      </c>
      <c r="B500" s="7" t="s">
        <v>746</v>
      </c>
      <c r="C500" s="24">
        <f>IF(B500&lt;&gt;"",IFERROR(VLOOKUP(B500,'📦 Productos'!A:C,3,FALSE),IFERROR(VLOOKUP(B500&amp;"",'📦 Productos'!A:C,3,FALSE),IFERROR(VLOOKUP(VALUE(B500),'📦 Productos'!A:C,3,FALSE),""))),"")</f>
      </c>
      <c r="D500" s="7" t="s">
        <v>747</v>
      </c>
      <c r="E500" s="8" t="s">
        <v>26</v>
      </c>
      <c r="F500" s="12">
        <v>0</v>
      </c>
      <c r="G500" s="25">
        <v>46600</v>
      </c>
      <c r="H500" s="26"/>
      <c r="I500" s="14">
        <f>IF(AND(G500&gt;0,H500&gt;0),ROUND((1-H500/G500)*100,0),0)</f>
        <v>0</v>
      </c>
      <c r="J500" s="34" t="s">
        <v>28</v>
      </c>
      <c r="K500" s="12" t="s">
        <v>1888</v>
      </c>
      <c r="L500" s="8" t="s">
        <v>26</v>
      </c>
    </row>
    <row r="501" ht="20" customHeight="1" spans="1:12" x14ac:dyDescent="0.25">
      <c r="A501" s="28" t="s">
        <v>2697</v>
      </c>
      <c r="B501" s="28" t="s">
        <v>749</v>
      </c>
      <c r="C501" s="24">
        <f>IF(B501&lt;&gt;"",IFERROR(VLOOKUP(B501,'📦 Productos'!A:C,3,FALSE),IFERROR(VLOOKUP(B501&amp;"",'📦 Productos'!A:C,3,FALSE),IFERROR(VLOOKUP(VALUE(B501),'📦 Productos'!A:C,3,FALSE),""))),"")</f>
      </c>
      <c r="D501" s="28" t="s">
        <v>750</v>
      </c>
      <c r="E501" s="29" t="s">
        <v>26</v>
      </c>
      <c r="F501" s="30">
        <v>0</v>
      </c>
      <c r="G501" s="31">
        <v>44000</v>
      </c>
      <c r="H501" s="32"/>
      <c r="I501" s="14">
        <f>IF(AND(G501&gt;0,H501&gt;0),ROUND((1-H501/G501)*100,0),0)</f>
        <v>0</v>
      </c>
      <c r="J501" s="35" t="s">
        <v>28</v>
      </c>
      <c r="K501" s="30" t="s">
        <v>1888</v>
      </c>
      <c r="L501" s="29" t="s">
        <v>26</v>
      </c>
    </row>
    <row r="502" ht="20" customHeight="1" spans="1:12" x14ac:dyDescent="0.25">
      <c r="A502" s="7" t="s">
        <v>2698</v>
      </c>
      <c r="B502" s="7" t="s">
        <v>753</v>
      </c>
      <c r="C502" s="24">
        <f>IF(B502&lt;&gt;"",IFERROR(VLOOKUP(B502,'📦 Productos'!A:C,3,FALSE),IFERROR(VLOOKUP(B502&amp;"",'📦 Productos'!A:C,3,FALSE),IFERROR(VLOOKUP(VALUE(B502),'📦 Productos'!A:C,3,FALSE),""))),"")</f>
      </c>
      <c r="D502" s="7" t="s">
        <v>754</v>
      </c>
      <c r="E502" s="8" t="s">
        <v>26</v>
      </c>
      <c r="F502" s="12">
        <v>0</v>
      </c>
      <c r="G502" s="25">
        <v>44000</v>
      </c>
      <c r="H502" s="26"/>
      <c r="I502" s="14">
        <f>IF(AND(G502&gt;0,H502&gt;0),ROUND((1-H502/G502)*100,0),0)</f>
        <v>0</v>
      </c>
      <c r="J502" s="34" t="s">
        <v>28</v>
      </c>
      <c r="K502" s="12" t="s">
        <v>1888</v>
      </c>
      <c r="L502" s="8" t="s">
        <v>26</v>
      </c>
    </row>
    <row r="503" ht="20" customHeight="1" spans="1:12" x14ac:dyDescent="0.25">
      <c r="A503" s="28" t="s">
        <v>2699</v>
      </c>
      <c r="B503" s="28" t="s">
        <v>756</v>
      </c>
      <c r="C503" s="24">
        <f>IF(B503&lt;&gt;"",IFERROR(VLOOKUP(B503,'📦 Productos'!A:C,3,FALSE),IFERROR(VLOOKUP(B503&amp;"",'📦 Productos'!A:C,3,FALSE),IFERROR(VLOOKUP(VALUE(B503),'📦 Productos'!A:C,3,FALSE),""))),"")</f>
      </c>
      <c r="D503" s="28" t="s">
        <v>757</v>
      </c>
      <c r="E503" s="29" t="s">
        <v>26</v>
      </c>
      <c r="F503" s="30">
        <v>0</v>
      </c>
      <c r="G503" s="31">
        <v>86700</v>
      </c>
      <c r="H503" s="32">
        <v>52020</v>
      </c>
      <c r="I503" s="14">
        <f>IF(AND(G503&gt;0,H503&gt;0),ROUND((1-H503/G503)*100,0),0)</f>
        <v>40</v>
      </c>
      <c r="J503" s="35" t="s">
        <v>28</v>
      </c>
      <c r="K503" s="30" t="s">
        <v>1888</v>
      </c>
      <c r="L503" s="29" t="s">
        <v>26</v>
      </c>
    </row>
    <row r="504" ht="20" customHeight="1" spans="1:12" x14ac:dyDescent="0.25">
      <c r="A504" s="7" t="s">
        <v>2700</v>
      </c>
      <c r="B504" s="7" t="s">
        <v>759</v>
      </c>
      <c r="C504" s="24">
        <f>IF(B504&lt;&gt;"",IFERROR(VLOOKUP(B504,'📦 Productos'!A:C,3,FALSE),IFERROR(VLOOKUP(B504&amp;"",'📦 Productos'!A:C,3,FALSE),IFERROR(VLOOKUP(VALUE(B504),'📦 Productos'!A:C,3,FALSE),""))),"")</f>
      </c>
      <c r="D504" s="7" t="s">
        <v>760</v>
      </c>
      <c r="E504" s="8" t="s">
        <v>26</v>
      </c>
      <c r="F504" s="12">
        <v>0</v>
      </c>
      <c r="G504" s="25">
        <v>41600</v>
      </c>
      <c r="H504" s="26"/>
      <c r="I504" s="14">
        <f>IF(AND(G504&gt;0,H504&gt;0),ROUND((1-H504/G504)*100,0),0)</f>
        <v>0</v>
      </c>
      <c r="J504" s="34" t="s">
        <v>28</v>
      </c>
      <c r="K504" s="12" t="s">
        <v>1888</v>
      </c>
      <c r="L504" s="8" t="s">
        <v>26</v>
      </c>
    </row>
    <row r="505" ht="20" customHeight="1" spans="1:12" x14ac:dyDescent="0.25">
      <c r="A505" s="28" t="s">
        <v>2701</v>
      </c>
      <c r="B505" s="28" t="s">
        <v>762</v>
      </c>
      <c r="C505" s="24">
        <f>IF(B505&lt;&gt;"",IFERROR(VLOOKUP(B505,'📦 Productos'!A:C,3,FALSE),IFERROR(VLOOKUP(B505&amp;"",'📦 Productos'!A:C,3,FALSE),IFERROR(VLOOKUP(VALUE(B505),'📦 Productos'!A:C,3,FALSE),""))),"")</f>
      </c>
      <c r="D505" s="28" t="s">
        <v>763</v>
      </c>
      <c r="E505" s="29" t="s">
        <v>26</v>
      </c>
      <c r="F505" s="30">
        <v>0</v>
      </c>
      <c r="G505" s="31">
        <v>31000</v>
      </c>
      <c r="H505" s="32"/>
      <c r="I505" s="14">
        <f>IF(AND(G505&gt;0,H505&gt;0),ROUND((1-H505/G505)*100,0),0)</f>
        <v>0</v>
      </c>
      <c r="J505" s="35" t="s">
        <v>28</v>
      </c>
      <c r="K505" s="30" t="s">
        <v>1888</v>
      </c>
      <c r="L505" s="29" t="s">
        <v>26</v>
      </c>
    </row>
    <row r="506" ht="20" customHeight="1" spans="1:12" x14ac:dyDescent="0.25">
      <c r="A506" s="7" t="s">
        <v>2702</v>
      </c>
      <c r="B506" s="7" t="s">
        <v>765</v>
      </c>
      <c r="C506" s="24">
        <f>IF(B506&lt;&gt;"",IFERROR(VLOOKUP(B506,'📦 Productos'!A:C,3,FALSE),IFERROR(VLOOKUP(B506&amp;"",'📦 Productos'!A:C,3,FALSE),IFERROR(VLOOKUP(VALUE(B506),'📦 Productos'!A:C,3,FALSE),""))),"")</f>
      </c>
      <c r="D506" s="7" t="s">
        <v>766</v>
      </c>
      <c r="E506" s="8" t="s">
        <v>26</v>
      </c>
      <c r="F506" s="12">
        <v>0</v>
      </c>
      <c r="G506" s="25">
        <v>36700</v>
      </c>
      <c r="H506" s="26"/>
      <c r="I506" s="14">
        <f>IF(AND(G506&gt;0,H506&gt;0),ROUND((1-H506/G506)*100,0),0)</f>
        <v>0</v>
      </c>
      <c r="J506" s="34" t="s">
        <v>28</v>
      </c>
      <c r="K506" s="12" t="s">
        <v>1888</v>
      </c>
      <c r="L506" s="8" t="s">
        <v>26</v>
      </c>
    </row>
    <row r="507" ht="20" customHeight="1" spans="1:12" x14ac:dyDescent="0.25">
      <c r="A507" s="28" t="s">
        <v>2703</v>
      </c>
      <c r="B507" s="28" t="s">
        <v>768</v>
      </c>
      <c r="C507" s="24">
        <f>IF(B507&lt;&gt;"",IFERROR(VLOOKUP(B507,'📦 Productos'!A:C,3,FALSE),IFERROR(VLOOKUP(B507&amp;"",'📦 Productos'!A:C,3,FALSE),IFERROR(VLOOKUP(VALUE(B507),'📦 Productos'!A:C,3,FALSE),""))),"")</f>
      </c>
      <c r="D507" s="28" t="s">
        <v>769</v>
      </c>
      <c r="E507" s="29" t="s">
        <v>26</v>
      </c>
      <c r="F507" s="30">
        <v>0</v>
      </c>
      <c r="G507" s="31">
        <v>36700</v>
      </c>
      <c r="H507" s="32"/>
      <c r="I507" s="14">
        <f>IF(AND(G507&gt;0,H507&gt;0),ROUND((1-H507/G507)*100,0),0)</f>
        <v>0</v>
      </c>
      <c r="J507" s="35" t="s">
        <v>28</v>
      </c>
      <c r="K507" s="30" t="s">
        <v>1888</v>
      </c>
      <c r="L507" s="29" t="s">
        <v>26</v>
      </c>
    </row>
    <row r="508" ht="20" customHeight="1" spans="1:12" x14ac:dyDescent="0.25">
      <c r="A508" s="7" t="s">
        <v>2704</v>
      </c>
      <c r="B508" s="7" t="s">
        <v>771</v>
      </c>
      <c r="C508" s="24">
        <f>IF(B508&lt;&gt;"",IFERROR(VLOOKUP(B508,'📦 Productos'!A:C,3,FALSE),IFERROR(VLOOKUP(B508&amp;"",'📦 Productos'!A:C,3,FALSE),IFERROR(VLOOKUP(VALUE(B508),'📦 Productos'!A:C,3,FALSE),""))),"")</f>
      </c>
      <c r="D508" s="7" t="s">
        <v>772</v>
      </c>
      <c r="E508" s="8" t="s">
        <v>26</v>
      </c>
      <c r="F508" s="12">
        <v>0</v>
      </c>
      <c r="G508" s="25">
        <v>82600</v>
      </c>
      <c r="H508" s="26">
        <v>49560</v>
      </c>
      <c r="I508" s="14">
        <f>IF(AND(G508&gt;0,H508&gt;0),ROUND((1-H508/G508)*100,0),0)</f>
        <v>40</v>
      </c>
      <c r="J508" s="34" t="s">
        <v>28</v>
      </c>
      <c r="K508" s="12" t="s">
        <v>1888</v>
      </c>
      <c r="L508" s="8" t="s">
        <v>26</v>
      </c>
    </row>
    <row r="509" ht="20" customHeight="1" spans="1:12" x14ac:dyDescent="0.25">
      <c r="A509" s="28" t="s">
        <v>2705</v>
      </c>
      <c r="B509" s="28" t="s">
        <v>774</v>
      </c>
      <c r="C509" s="24">
        <f>IF(B509&lt;&gt;"",IFERROR(VLOOKUP(B509,'📦 Productos'!A:C,3,FALSE),IFERROR(VLOOKUP(B509&amp;"",'📦 Productos'!A:C,3,FALSE),IFERROR(VLOOKUP(VALUE(B509),'📦 Productos'!A:C,3,FALSE),""))),"")</f>
      </c>
      <c r="D509" s="28" t="s">
        <v>775</v>
      </c>
      <c r="E509" s="29" t="s">
        <v>26</v>
      </c>
      <c r="F509" s="30">
        <v>0</v>
      </c>
      <c r="G509" s="31">
        <v>36900</v>
      </c>
      <c r="H509" s="32"/>
      <c r="I509" s="14">
        <f>IF(AND(G509&gt;0,H509&gt;0),ROUND((1-H509/G509)*100,0),0)</f>
        <v>0</v>
      </c>
      <c r="J509" s="35" t="s">
        <v>28</v>
      </c>
      <c r="K509" s="30" t="s">
        <v>1888</v>
      </c>
      <c r="L509" s="29" t="s">
        <v>26</v>
      </c>
    </row>
    <row r="510" ht="20" customHeight="1" spans="1:12" x14ac:dyDescent="0.25">
      <c r="A510" s="7" t="s">
        <v>2706</v>
      </c>
      <c r="B510" s="7" t="s">
        <v>777</v>
      </c>
      <c r="C510" s="24">
        <f>IF(B510&lt;&gt;"",IFERROR(VLOOKUP(B510,'📦 Productos'!A:C,3,FALSE),IFERROR(VLOOKUP(B510&amp;"",'📦 Productos'!A:C,3,FALSE),IFERROR(VLOOKUP(VALUE(B510),'📦 Productos'!A:C,3,FALSE),""))),"")</f>
      </c>
      <c r="D510" s="7" t="s">
        <v>778</v>
      </c>
      <c r="E510" s="8" t="s">
        <v>26</v>
      </c>
      <c r="F510" s="12">
        <v>0</v>
      </c>
      <c r="G510" s="25">
        <v>36900</v>
      </c>
      <c r="H510" s="26"/>
      <c r="I510" s="14">
        <f>IF(AND(G510&gt;0,H510&gt;0),ROUND((1-H510/G510)*100,0),0)</f>
        <v>0</v>
      </c>
      <c r="J510" s="34" t="s">
        <v>28</v>
      </c>
      <c r="K510" s="12" t="s">
        <v>1888</v>
      </c>
      <c r="L510" s="8" t="s">
        <v>26</v>
      </c>
    </row>
    <row r="511" ht="20" customHeight="1" spans="1:12" x14ac:dyDescent="0.25">
      <c r="A511" s="28" t="s">
        <v>2707</v>
      </c>
      <c r="B511" s="28" t="s">
        <v>780</v>
      </c>
      <c r="C511" s="24">
        <f>IF(B511&lt;&gt;"",IFERROR(VLOOKUP(B511,'📦 Productos'!A:C,3,FALSE),IFERROR(VLOOKUP(B511&amp;"",'📦 Productos'!A:C,3,FALSE),IFERROR(VLOOKUP(VALUE(B511),'📦 Productos'!A:C,3,FALSE),""))),"")</f>
      </c>
      <c r="D511" s="28" t="s">
        <v>781</v>
      </c>
      <c r="E511" s="29" t="s">
        <v>26</v>
      </c>
      <c r="F511" s="30">
        <v>0</v>
      </c>
      <c r="G511" s="31">
        <v>36900</v>
      </c>
      <c r="H511" s="32"/>
      <c r="I511" s="14">
        <f>IF(AND(G511&gt;0,H511&gt;0),ROUND((1-H511/G511)*100,0),0)</f>
        <v>0</v>
      </c>
      <c r="J511" s="35" t="s">
        <v>28</v>
      </c>
      <c r="K511" s="30" t="s">
        <v>1888</v>
      </c>
      <c r="L511" s="29" t="s">
        <v>26</v>
      </c>
    </row>
    <row r="512" ht="20" customHeight="1" spans="1:12" x14ac:dyDescent="0.25">
      <c r="A512" s="7" t="s">
        <v>2708</v>
      </c>
      <c r="B512" s="7" t="s">
        <v>783</v>
      </c>
      <c r="C512" s="24">
        <f>IF(B512&lt;&gt;"",IFERROR(VLOOKUP(B512,'📦 Productos'!A:C,3,FALSE),IFERROR(VLOOKUP(B512&amp;"",'📦 Productos'!A:C,3,FALSE),IFERROR(VLOOKUP(VALUE(B512),'📦 Productos'!A:C,3,FALSE),""))),"")</f>
      </c>
      <c r="D512" s="7" t="s">
        <v>784</v>
      </c>
      <c r="E512" s="8" t="s">
        <v>26</v>
      </c>
      <c r="F512" s="12">
        <v>0</v>
      </c>
      <c r="G512" s="25">
        <v>36900</v>
      </c>
      <c r="H512" s="26"/>
      <c r="I512" s="14">
        <f>IF(AND(G512&gt;0,H512&gt;0),ROUND((1-H512/G512)*100,0),0)</f>
        <v>0</v>
      </c>
      <c r="J512" s="34" t="s">
        <v>28</v>
      </c>
      <c r="K512" s="12" t="s">
        <v>1888</v>
      </c>
      <c r="L512" s="8" t="s">
        <v>26</v>
      </c>
    </row>
    <row r="513" ht="20" customHeight="1" spans="1:12" x14ac:dyDescent="0.25">
      <c r="A513" s="28" t="s">
        <v>2709</v>
      </c>
      <c r="B513" s="28" t="s">
        <v>786</v>
      </c>
      <c r="C513" s="24">
        <f>IF(B513&lt;&gt;"",IFERROR(VLOOKUP(B513,'📦 Productos'!A:C,3,FALSE),IFERROR(VLOOKUP(B513&amp;"",'📦 Productos'!A:C,3,FALSE),IFERROR(VLOOKUP(VALUE(B513),'📦 Productos'!A:C,3,FALSE),""))),"")</f>
      </c>
      <c r="D513" s="28" t="s">
        <v>787</v>
      </c>
      <c r="E513" s="29" t="s">
        <v>26</v>
      </c>
      <c r="F513" s="30">
        <v>0</v>
      </c>
      <c r="G513" s="31">
        <v>46300</v>
      </c>
      <c r="H513" s="32"/>
      <c r="I513" s="14">
        <f>IF(AND(G513&gt;0,H513&gt;0),ROUND((1-H513/G513)*100,0),0)</f>
        <v>0</v>
      </c>
      <c r="J513" s="35" t="s">
        <v>28</v>
      </c>
      <c r="K513" s="30" t="s">
        <v>1888</v>
      </c>
      <c r="L513" s="29" t="s">
        <v>26</v>
      </c>
    </row>
    <row r="514" ht="20" customHeight="1" spans="1:12" x14ac:dyDescent="0.25">
      <c r="A514" s="7" t="s">
        <v>2710</v>
      </c>
      <c r="B514" s="7" t="s">
        <v>789</v>
      </c>
      <c r="C514" s="24">
        <f>IF(B514&lt;&gt;"",IFERROR(VLOOKUP(B514,'📦 Productos'!A:C,3,FALSE),IFERROR(VLOOKUP(B514&amp;"",'📦 Productos'!A:C,3,FALSE),IFERROR(VLOOKUP(VALUE(B514),'📦 Productos'!A:C,3,FALSE),""))),"")</f>
      </c>
      <c r="D514" s="7" t="s">
        <v>790</v>
      </c>
      <c r="E514" s="8" t="s">
        <v>26</v>
      </c>
      <c r="F514" s="12">
        <v>0</v>
      </c>
      <c r="G514" s="25">
        <v>49000</v>
      </c>
      <c r="H514" s="26"/>
      <c r="I514" s="14">
        <f>IF(AND(G514&gt;0,H514&gt;0),ROUND((1-H514/G514)*100,0),0)</f>
        <v>0</v>
      </c>
      <c r="J514" s="34" t="s">
        <v>28</v>
      </c>
      <c r="K514" s="12" t="s">
        <v>1888</v>
      </c>
      <c r="L514" s="8" t="s">
        <v>26</v>
      </c>
    </row>
    <row r="515" ht="20" customHeight="1" spans="1:12" x14ac:dyDescent="0.25">
      <c r="A515" s="28" t="s">
        <v>2711</v>
      </c>
      <c r="B515" s="28" t="s">
        <v>792</v>
      </c>
      <c r="C515" s="24">
        <f>IF(B515&lt;&gt;"",IFERROR(VLOOKUP(B515,'📦 Productos'!A:C,3,FALSE),IFERROR(VLOOKUP(B515&amp;"",'📦 Productos'!A:C,3,FALSE),IFERROR(VLOOKUP(VALUE(B515),'📦 Productos'!A:C,3,FALSE),""))),"")</f>
      </c>
      <c r="D515" s="28" t="s">
        <v>793</v>
      </c>
      <c r="E515" s="29" t="s">
        <v>26</v>
      </c>
      <c r="F515" s="30">
        <v>0</v>
      </c>
      <c r="G515" s="31">
        <v>50500</v>
      </c>
      <c r="H515" s="32"/>
      <c r="I515" s="14">
        <f>IF(AND(G515&gt;0,H515&gt;0),ROUND((1-H515/G515)*100,0),0)</f>
        <v>0</v>
      </c>
      <c r="J515" s="35" t="s">
        <v>28</v>
      </c>
      <c r="K515" s="30" t="s">
        <v>1888</v>
      </c>
      <c r="L515" s="29" t="s">
        <v>26</v>
      </c>
    </row>
    <row r="516" ht="20" customHeight="1" spans="1:12" x14ac:dyDescent="0.25">
      <c r="A516" s="7" t="s">
        <v>2712</v>
      </c>
      <c r="B516" s="7" t="s">
        <v>795</v>
      </c>
      <c r="C516" s="24">
        <f>IF(B516&lt;&gt;"",IFERROR(VLOOKUP(B516,'📦 Productos'!A:C,3,FALSE),IFERROR(VLOOKUP(B516&amp;"",'📦 Productos'!A:C,3,FALSE),IFERROR(VLOOKUP(VALUE(B516),'📦 Productos'!A:C,3,FALSE),""))),"")</f>
      </c>
      <c r="D516" s="7" t="s">
        <v>796</v>
      </c>
      <c r="E516" s="8" t="s">
        <v>26</v>
      </c>
      <c r="F516" s="12">
        <v>0</v>
      </c>
      <c r="G516" s="25">
        <v>50500</v>
      </c>
      <c r="H516" s="26"/>
      <c r="I516" s="14">
        <f>IF(AND(G516&gt;0,H516&gt;0),ROUND((1-H516/G516)*100,0),0)</f>
        <v>0</v>
      </c>
      <c r="J516" s="34" t="s">
        <v>28</v>
      </c>
      <c r="K516" s="12" t="s">
        <v>1888</v>
      </c>
      <c r="L516" s="8" t="s">
        <v>26</v>
      </c>
    </row>
    <row r="517" ht="20" customHeight="1" spans="1:12" x14ac:dyDescent="0.25">
      <c r="A517" s="28" t="s">
        <v>2713</v>
      </c>
      <c r="B517" s="28" t="s">
        <v>798</v>
      </c>
      <c r="C517" s="24">
        <f>IF(B517&lt;&gt;"",IFERROR(VLOOKUP(B517,'📦 Productos'!A:C,3,FALSE),IFERROR(VLOOKUP(B517&amp;"",'📦 Productos'!A:C,3,FALSE),IFERROR(VLOOKUP(VALUE(B517),'📦 Productos'!A:C,3,FALSE),""))),"")</f>
      </c>
      <c r="D517" s="28" t="s">
        <v>799</v>
      </c>
      <c r="E517" s="29" t="s">
        <v>26</v>
      </c>
      <c r="F517" s="30">
        <v>0</v>
      </c>
      <c r="G517" s="31">
        <v>46300</v>
      </c>
      <c r="H517" s="32">
        <v>37040</v>
      </c>
      <c r="I517" s="14">
        <f>IF(AND(G517&gt;0,H517&gt;0),ROUND((1-H517/G517)*100,0),0)</f>
        <v>20</v>
      </c>
      <c r="J517" s="35" t="s">
        <v>28</v>
      </c>
      <c r="K517" s="30" t="s">
        <v>1888</v>
      </c>
      <c r="L517" s="29" t="s">
        <v>26</v>
      </c>
    </row>
    <row r="518" ht="20" customHeight="1" spans="1:12" x14ac:dyDescent="0.25">
      <c r="A518" s="7" t="s">
        <v>2714</v>
      </c>
      <c r="B518" s="7" t="s">
        <v>801</v>
      </c>
      <c r="C518" s="24">
        <f>IF(B518&lt;&gt;"",IFERROR(VLOOKUP(B518,'📦 Productos'!A:C,3,FALSE),IFERROR(VLOOKUP(B518&amp;"",'📦 Productos'!A:C,3,FALSE),IFERROR(VLOOKUP(VALUE(B518),'📦 Productos'!A:C,3,FALSE),""))),"")</f>
      </c>
      <c r="D518" s="7" t="s">
        <v>802</v>
      </c>
      <c r="E518" s="8" t="s">
        <v>26</v>
      </c>
      <c r="F518" s="12">
        <v>0</v>
      </c>
      <c r="G518" s="25">
        <v>50500</v>
      </c>
      <c r="H518" s="26"/>
      <c r="I518" s="14">
        <f>IF(AND(G518&gt;0,H518&gt;0),ROUND((1-H518/G518)*100,0),0)</f>
        <v>0</v>
      </c>
      <c r="J518" s="34" t="s">
        <v>28</v>
      </c>
      <c r="K518" s="12" t="s">
        <v>1888</v>
      </c>
      <c r="L518" s="8" t="s">
        <v>26</v>
      </c>
    </row>
    <row r="519" ht="20" customHeight="1" spans="1:12" x14ac:dyDescent="0.25">
      <c r="A519" s="28" t="s">
        <v>2715</v>
      </c>
      <c r="B519" s="28" t="s">
        <v>804</v>
      </c>
      <c r="C519" s="24">
        <f>IF(B519&lt;&gt;"",IFERROR(VLOOKUP(B519,'📦 Productos'!A:C,3,FALSE),IFERROR(VLOOKUP(B519&amp;"",'📦 Productos'!A:C,3,FALSE),IFERROR(VLOOKUP(VALUE(B519),'📦 Productos'!A:C,3,FALSE),""))),"")</f>
      </c>
      <c r="D519" s="28" t="s">
        <v>805</v>
      </c>
      <c r="E519" s="29" t="s">
        <v>26</v>
      </c>
      <c r="F519" s="30">
        <v>0</v>
      </c>
      <c r="G519" s="31">
        <v>46300</v>
      </c>
      <c r="H519" s="32"/>
      <c r="I519" s="14">
        <f>IF(AND(G519&gt;0,H519&gt;0),ROUND((1-H519/G519)*100,0),0)</f>
        <v>0</v>
      </c>
      <c r="J519" s="35" t="s">
        <v>28</v>
      </c>
      <c r="K519" s="30" t="s">
        <v>1888</v>
      </c>
      <c r="L519" s="29" t="s">
        <v>26</v>
      </c>
    </row>
    <row r="520" ht="20" customHeight="1" spans="1:12" x14ac:dyDescent="0.25">
      <c r="A520" s="7" t="s">
        <v>2716</v>
      </c>
      <c r="B520" s="7" t="s">
        <v>807</v>
      </c>
      <c r="C520" s="24">
        <f>IF(B520&lt;&gt;"",IFERROR(VLOOKUP(B520,'📦 Productos'!A:C,3,FALSE),IFERROR(VLOOKUP(B520&amp;"",'📦 Productos'!A:C,3,FALSE),IFERROR(VLOOKUP(VALUE(B520),'📦 Productos'!A:C,3,FALSE),""))),"")</f>
      </c>
      <c r="D520" s="7" t="s">
        <v>808</v>
      </c>
      <c r="E520" s="8" t="s">
        <v>26</v>
      </c>
      <c r="F520" s="12">
        <v>0</v>
      </c>
      <c r="G520" s="25">
        <v>46300</v>
      </c>
      <c r="H520" s="26"/>
      <c r="I520" s="14">
        <f>IF(AND(G520&gt;0,H520&gt;0),ROUND((1-H520/G520)*100,0),0)</f>
        <v>0</v>
      </c>
      <c r="J520" s="34" t="s">
        <v>28</v>
      </c>
      <c r="K520" s="12" t="s">
        <v>1888</v>
      </c>
      <c r="L520" s="8" t="s">
        <v>26</v>
      </c>
    </row>
    <row r="521" ht="20" customHeight="1" spans="1:12" x14ac:dyDescent="0.25">
      <c r="A521" s="28" t="s">
        <v>2717</v>
      </c>
      <c r="B521" s="28" t="s">
        <v>810</v>
      </c>
      <c r="C521" s="24">
        <f>IF(B521&lt;&gt;"",IFERROR(VLOOKUP(B521,'📦 Productos'!A:C,3,FALSE),IFERROR(VLOOKUP(B521&amp;"",'📦 Productos'!A:C,3,FALSE),IFERROR(VLOOKUP(VALUE(B521),'📦 Productos'!A:C,3,FALSE),""))),"")</f>
      </c>
      <c r="D521" s="28" t="s">
        <v>811</v>
      </c>
      <c r="E521" s="29" t="s">
        <v>26</v>
      </c>
      <c r="F521" s="30">
        <v>0</v>
      </c>
      <c r="G521" s="31">
        <v>50500</v>
      </c>
      <c r="H521" s="32"/>
      <c r="I521" s="14">
        <f>IF(AND(G521&gt;0,H521&gt;0),ROUND((1-H521/G521)*100,0),0)</f>
        <v>0</v>
      </c>
      <c r="J521" s="35" t="s">
        <v>28</v>
      </c>
      <c r="K521" s="30" t="s">
        <v>1888</v>
      </c>
      <c r="L521" s="29" t="s">
        <v>26</v>
      </c>
    </row>
    <row r="522" ht="20" customHeight="1" spans="1:12" x14ac:dyDescent="0.25">
      <c r="A522" s="7" t="s">
        <v>2718</v>
      </c>
      <c r="B522" s="7" t="s">
        <v>813</v>
      </c>
      <c r="C522" s="24">
        <f>IF(B522&lt;&gt;"",IFERROR(VLOOKUP(B522,'📦 Productos'!A:C,3,FALSE),IFERROR(VLOOKUP(B522&amp;"",'📦 Productos'!A:C,3,FALSE),IFERROR(VLOOKUP(VALUE(B522),'📦 Productos'!A:C,3,FALSE),""))),"")</f>
      </c>
      <c r="D522" s="7" t="s">
        <v>814</v>
      </c>
      <c r="E522" s="8" t="s">
        <v>26</v>
      </c>
      <c r="F522" s="12">
        <v>0</v>
      </c>
      <c r="G522" s="25">
        <v>46300</v>
      </c>
      <c r="H522" s="26"/>
      <c r="I522" s="14">
        <f>IF(AND(G522&gt;0,H522&gt;0),ROUND((1-H522/G522)*100,0),0)</f>
        <v>0</v>
      </c>
      <c r="J522" s="34" t="s">
        <v>28</v>
      </c>
      <c r="K522" s="12" t="s">
        <v>1888</v>
      </c>
      <c r="L522" s="8" t="s">
        <v>26</v>
      </c>
    </row>
    <row r="523" ht="20" customHeight="1" spans="1:12" x14ac:dyDescent="0.25">
      <c r="A523" s="28" t="s">
        <v>2719</v>
      </c>
      <c r="B523" s="28" t="s">
        <v>816</v>
      </c>
      <c r="C523" s="24">
        <f>IF(B523&lt;&gt;"",IFERROR(VLOOKUP(B523,'📦 Productos'!A:C,3,FALSE),IFERROR(VLOOKUP(B523&amp;"",'📦 Productos'!A:C,3,FALSE),IFERROR(VLOOKUP(VALUE(B523),'📦 Productos'!A:C,3,FALSE),""))),"")</f>
      </c>
      <c r="D523" s="28" t="s">
        <v>817</v>
      </c>
      <c r="E523" s="29" t="s">
        <v>26</v>
      </c>
      <c r="F523" s="30">
        <v>0</v>
      </c>
      <c r="G523" s="31">
        <v>52200</v>
      </c>
      <c r="H523" s="32"/>
      <c r="I523" s="14">
        <f>IF(AND(G523&gt;0,H523&gt;0),ROUND((1-H523/G523)*100,0),0)</f>
        <v>0</v>
      </c>
      <c r="J523" s="35" t="s">
        <v>28</v>
      </c>
      <c r="K523" s="30" t="s">
        <v>1888</v>
      </c>
      <c r="L523" s="29" t="s">
        <v>26</v>
      </c>
    </row>
    <row r="524" ht="20" customHeight="1" spans="1:12" x14ac:dyDescent="0.25">
      <c r="A524" s="7" t="s">
        <v>2720</v>
      </c>
      <c r="B524" s="7" t="s">
        <v>819</v>
      </c>
      <c r="C524" s="24">
        <f>IF(B524&lt;&gt;"",IFERROR(VLOOKUP(B524,'📦 Productos'!A:C,3,FALSE),IFERROR(VLOOKUP(B524&amp;"",'📦 Productos'!A:C,3,FALSE),IFERROR(VLOOKUP(VALUE(B524),'📦 Productos'!A:C,3,FALSE),""))),"")</f>
      </c>
      <c r="D524" s="7" t="s">
        <v>820</v>
      </c>
      <c r="E524" s="8" t="s">
        <v>26</v>
      </c>
      <c r="F524" s="12">
        <v>0</v>
      </c>
      <c r="G524" s="25">
        <v>46300</v>
      </c>
      <c r="H524" s="26"/>
      <c r="I524" s="14">
        <f>IF(AND(G524&gt;0,H524&gt;0),ROUND((1-H524/G524)*100,0),0)</f>
        <v>0</v>
      </c>
      <c r="J524" s="34" t="s">
        <v>28</v>
      </c>
      <c r="K524" s="12" t="s">
        <v>1888</v>
      </c>
      <c r="L524" s="8" t="s">
        <v>26</v>
      </c>
    </row>
    <row r="525" ht="20" customHeight="1" spans="1:12" x14ac:dyDescent="0.25">
      <c r="A525" s="28" t="s">
        <v>2721</v>
      </c>
      <c r="B525" s="28" t="s">
        <v>822</v>
      </c>
      <c r="C525" s="24">
        <f>IF(B525&lt;&gt;"",IFERROR(VLOOKUP(B525,'📦 Productos'!A:C,3,FALSE),IFERROR(VLOOKUP(B525&amp;"",'📦 Productos'!A:C,3,FALSE),IFERROR(VLOOKUP(VALUE(B525),'📦 Productos'!A:C,3,FALSE),""))),"")</f>
      </c>
      <c r="D525" s="28" t="s">
        <v>823</v>
      </c>
      <c r="E525" s="29" t="s">
        <v>26</v>
      </c>
      <c r="F525" s="30">
        <v>0</v>
      </c>
      <c r="G525" s="31">
        <v>50900</v>
      </c>
      <c r="H525" s="32"/>
      <c r="I525" s="14">
        <f>IF(AND(G525&gt;0,H525&gt;0),ROUND((1-H525/G525)*100,0),0)</f>
        <v>0</v>
      </c>
      <c r="J525" s="35" t="s">
        <v>28</v>
      </c>
      <c r="K525" s="30" t="s">
        <v>1888</v>
      </c>
      <c r="L525" s="29" t="s">
        <v>26</v>
      </c>
    </row>
    <row r="526" ht="20" customHeight="1" spans="1:12" x14ac:dyDescent="0.25">
      <c r="A526" s="7" t="s">
        <v>2722</v>
      </c>
      <c r="B526" s="7" t="s">
        <v>825</v>
      </c>
      <c r="C526" s="24">
        <f>IF(B526&lt;&gt;"",IFERROR(VLOOKUP(B526,'📦 Productos'!A:C,3,FALSE),IFERROR(VLOOKUP(B526&amp;"",'📦 Productos'!A:C,3,FALSE),IFERROR(VLOOKUP(VALUE(B526),'📦 Productos'!A:C,3,FALSE),""))),"")</f>
      </c>
      <c r="D526" s="7" t="s">
        <v>826</v>
      </c>
      <c r="E526" s="8" t="s">
        <v>26</v>
      </c>
      <c r="F526" s="12">
        <v>0</v>
      </c>
      <c r="G526" s="25">
        <v>47400</v>
      </c>
      <c r="H526" s="26"/>
      <c r="I526" s="14">
        <f>IF(AND(G526&gt;0,H526&gt;0),ROUND((1-H526/G526)*100,0),0)</f>
        <v>0</v>
      </c>
      <c r="J526" s="34" t="s">
        <v>28</v>
      </c>
      <c r="K526" s="12" t="s">
        <v>1888</v>
      </c>
      <c r="L526" s="8" t="s">
        <v>26</v>
      </c>
    </row>
    <row r="527" ht="20" customHeight="1" spans="1:12" x14ac:dyDescent="0.25">
      <c r="A527" s="28" t="s">
        <v>2723</v>
      </c>
      <c r="B527" s="28" t="s">
        <v>828</v>
      </c>
      <c r="C527" s="24">
        <f>IF(B527&lt;&gt;"",IFERROR(VLOOKUP(B527,'📦 Productos'!A:C,3,FALSE),IFERROR(VLOOKUP(B527&amp;"",'📦 Productos'!A:C,3,FALSE),IFERROR(VLOOKUP(VALUE(B527),'📦 Productos'!A:C,3,FALSE),""))),"")</f>
      </c>
      <c r="D527" s="28" t="s">
        <v>829</v>
      </c>
      <c r="E527" s="29" t="s">
        <v>26</v>
      </c>
      <c r="F527" s="30">
        <v>0</v>
      </c>
      <c r="G527" s="31">
        <v>52200</v>
      </c>
      <c r="H527" s="32"/>
      <c r="I527" s="14">
        <f>IF(AND(G527&gt;0,H527&gt;0),ROUND((1-H527/G527)*100,0),0)</f>
        <v>0</v>
      </c>
      <c r="J527" s="35" t="s">
        <v>28</v>
      </c>
      <c r="K527" s="30" t="s">
        <v>1888</v>
      </c>
      <c r="L527" s="29" t="s">
        <v>26</v>
      </c>
    </row>
    <row r="528" ht="20" customHeight="1" spans="1:12" x14ac:dyDescent="0.25">
      <c r="A528" s="7" t="s">
        <v>2724</v>
      </c>
      <c r="B528" s="7" t="s">
        <v>831</v>
      </c>
      <c r="C528" s="24">
        <f>IF(B528&lt;&gt;"",IFERROR(VLOOKUP(B528,'📦 Productos'!A:C,3,FALSE),IFERROR(VLOOKUP(B528&amp;"",'📦 Productos'!A:C,3,FALSE),IFERROR(VLOOKUP(VALUE(B528),'📦 Productos'!A:C,3,FALSE),""))),"")</f>
      </c>
      <c r="D528" s="7" t="s">
        <v>832</v>
      </c>
      <c r="E528" s="8" t="s">
        <v>26</v>
      </c>
      <c r="F528" s="12">
        <v>0</v>
      </c>
      <c r="G528" s="25">
        <v>46300</v>
      </c>
      <c r="H528" s="26"/>
      <c r="I528" s="14">
        <f>IF(AND(G528&gt;0,H528&gt;0),ROUND((1-H528/G528)*100,0),0)</f>
        <v>0</v>
      </c>
      <c r="J528" s="34" t="s">
        <v>28</v>
      </c>
      <c r="K528" s="12" t="s">
        <v>1888</v>
      </c>
      <c r="L528" s="8" t="s">
        <v>26</v>
      </c>
    </row>
    <row r="529" ht="20" customHeight="1" spans="1:12" x14ac:dyDescent="0.25">
      <c r="A529" s="28" t="s">
        <v>2725</v>
      </c>
      <c r="B529" s="28" t="s">
        <v>834</v>
      </c>
      <c r="C529" s="24">
        <f>IF(B529&lt;&gt;"",IFERROR(VLOOKUP(B529,'📦 Productos'!A:C,3,FALSE),IFERROR(VLOOKUP(B529&amp;"",'📦 Productos'!A:C,3,FALSE),IFERROR(VLOOKUP(VALUE(B529),'📦 Productos'!A:C,3,FALSE),""))),"")</f>
      </c>
      <c r="D529" s="28" t="s">
        <v>835</v>
      </c>
      <c r="E529" s="29" t="s">
        <v>26</v>
      </c>
      <c r="F529" s="30">
        <v>0</v>
      </c>
      <c r="G529" s="31">
        <v>50900</v>
      </c>
      <c r="H529" s="32"/>
      <c r="I529" s="14">
        <f>IF(AND(G529&gt;0,H529&gt;0),ROUND((1-H529/G529)*100,0),0)</f>
        <v>0</v>
      </c>
      <c r="J529" s="35" t="s">
        <v>28</v>
      </c>
      <c r="K529" s="30" t="s">
        <v>1888</v>
      </c>
      <c r="L529" s="29" t="s">
        <v>26</v>
      </c>
    </row>
    <row r="530" ht="20" customHeight="1" spans="1:12" x14ac:dyDescent="0.25">
      <c r="A530" s="7" t="s">
        <v>2726</v>
      </c>
      <c r="B530" s="7" t="s">
        <v>837</v>
      </c>
      <c r="C530" s="24">
        <f>IF(B530&lt;&gt;"",IFERROR(VLOOKUP(B530,'📦 Productos'!A:C,3,FALSE),IFERROR(VLOOKUP(B530&amp;"",'📦 Productos'!A:C,3,FALSE),IFERROR(VLOOKUP(VALUE(B530),'📦 Productos'!A:C,3,FALSE),""))),"")</f>
      </c>
      <c r="D530" s="7" t="s">
        <v>838</v>
      </c>
      <c r="E530" s="8" t="s">
        <v>26</v>
      </c>
      <c r="F530" s="12">
        <v>0</v>
      </c>
      <c r="G530" s="25">
        <v>50900</v>
      </c>
      <c r="H530" s="26"/>
      <c r="I530" s="14">
        <f>IF(AND(G530&gt;0,H530&gt;0),ROUND((1-H530/G530)*100,0),0)</f>
        <v>0</v>
      </c>
      <c r="J530" s="34" t="s">
        <v>28</v>
      </c>
      <c r="K530" s="12" t="s">
        <v>1888</v>
      </c>
      <c r="L530" s="8" t="s">
        <v>26</v>
      </c>
    </row>
    <row r="531" ht="20" customHeight="1" spans="1:12" x14ac:dyDescent="0.25">
      <c r="A531" s="28" t="s">
        <v>2727</v>
      </c>
      <c r="B531" s="28" t="s">
        <v>839</v>
      </c>
      <c r="C531" s="24">
        <f>IF(B531&lt;&gt;"",IFERROR(VLOOKUP(B531,'📦 Productos'!A:C,3,FALSE),IFERROR(VLOOKUP(B531&amp;"",'📦 Productos'!A:C,3,FALSE),IFERROR(VLOOKUP(VALUE(B531),'📦 Productos'!A:C,3,FALSE),""))),"")</f>
      </c>
      <c r="D531" s="28" t="s">
        <v>840</v>
      </c>
      <c r="E531" s="29" t="s">
        <v>26</v>
      </c>
      <c r="F531" s="30">
        <v>0</v>
      </c>
      <c r="G531" s="31">
        <v>46300</v>
      </c>
      <c r="H531" s="32"/>
      <c r="I531" s="14">
        <f>IF(AND(G531&gt;0,H531&gt;0),ROUND((1-H531/G531)*100,0),0)</f>
        <v>0</v>
      </c>
      <c r="J531" s="35" t="s">
        <v>28</v>
      </c>
      <c r="K531" s="30" t="s">
        <v>1888</v>
      </c>
      <c r="L531" s="29" t="s">
        <v>26</v>
      </c>
    </row>
    <row r="532" ht="20" customHeight="1" spans="1:12" x14ac:dyDescent="0.25">
      <c r="A532" s="7" t="s">
        <v>2728</v>
      </c>
      <c r="B532" s="7" t="s">
        <v>842</v>
      </c>
      <c r="C532" s="24">
        <f>IF(B532&lt;&gt;"",IFERROR(VLOOKUP(B532,'📦 Productos'!A:C,3,FALSE),IFERROR(VLOOKUP(B532&amp;"",'📦 Productos'!A:C,3,FALSE),IFERROR(VLOOKUP(VALUE(B532),'📦 Productos'!A:C,3,FALSE),""))),"")</f>
      </c>
      <c r="D532" s="7" t="s">
        <v>843</v>
      </c>
      <c r="E532" s="8" t="s">
        <v>26</v>
      </c>
      <c r="F532" s="12">
        <v>0</v>
      </c>
      <c r="G532" s="25">
        <v>49800</v>
      </c>
      <c r="H532" s="26"/>
      <c r="I532" s="14">
        <f>IF(AND(G532&gt;0,H532&gt;0),ROUND((1-H532/G532)*100,0),0)</f>
        <v>0</v>
      </c>
      <c r="J532" s="34" t="s">
        <v>28</v>
      </c>
      <c r="K532" s="12" t="s">
        <v>1888</v>
      </c>
      <c r="L532" s="8" t="s">
        <v>26</v>
      </c>
    </row>
    <row r="533" ht="20" customHeight="1" spans="1:12" x14ac:dyDescent="0.25">
      <c r="A533" s="28" t="s">
        <v>2729</v>
      </c>
      <c r="B533" s="28" t="s">
        <v>845</v>
      </c>
      <c r="C533" s="24">
        <f>IF(B533&lt;&gt;"",IFERROR(VLOOKUP(B533,'📦 Productos'!A:C,3,FALSE),IFERROR(VLOOKUP(B533&amp;"",'📦 Productos'!A:C,3,FALSE),IFERROR(VLOOKUP(VALUE(B533),'📦 Productos'!A:C,3,FALSE),""))),"")</f>
      </c>
      <c r="D533" s="28" t="s">
        <v>846</v>
      </c>
      <c r="E533" s="29" t="s">
        <v>26</v>
      </c>
      <c r="F533" s="30">
        <v>0</v>
      </c>
      <c r="G533" s="31">
        <v>157300</v>
      </c>
      <c r="H533" s="32">
        <v>94380</v>
      </c>
      <c r="I533" s="14">
        <f>IF(AND(G533&gt;0,H533&gt;0),ROUND((1-H533/G533)*100,0),0)</f>
        <v>40</v>
      </c>
      <c r="J533" s="35" t="s">
        <v>28</v>
      </c>
      <c r="K533" s="30" t="s">
        <v>1888</v>
      </c>
      <c r="L533" s="29" t="s">
        <v>26</v>
      </c>
    </row>
    <row r="534" ht="20" customHeight="1" spans="1:12" x14ac:dyDescent="0.25">
      <c r="A534" s="7" t="s">
        <v>2730</v>
      </c>
      <c r="B534" s="7" t="s">
        <v>848</v>
      </c>
      <c r="C534" s="24">
        <f>IF(B534&lt;&gt;"",IFERROR(VLOOKUP(B534,'📦 Productos'!A:C,3,FALSE),IFERROR(VLOOKUP(B534&amp;"",'📦 Productos'!A:C,3,FALSE),IFERROR(VLOOKUP(VALUE(B534),'📦 Productos'!A:C,3,FALSE),""))),"")</f>
      </c>
      <c r="D534" s="7" t="s">
        <v>849</v>
      </c>
      <c r="E534" s="8" t="s">
        <v>26</v>
      </c>
      <c r="F534" s="12">
        <v>0</v>
      </c>
      <c r="G534" s="25">
        <v>46600</v>
      </c>
      <c r="H534" s="26"/>
      <c r="I534" s="14">
        <f>IF(AND(G534&gt;0,H534&gt;0),ROUND((1-H534/G534)*100,0),0)</f>
        <v>0</v>
      </c>
      <c r="J534" s="34" t="s">
        <v>28</v>
      </c>
      <c r="K534" s="12" t="s">
        <v>1888</v>
      </c>
      <c r="L534" s="8" t="s">
        <v>26</v>
      </c>
    </row>
    <row r="535" ht="20" customHeight="1" spans="1:12" x14ac:dyDescent="0.25">
      <c r="A535" s="28" t="s">
        <v>2731</v>
      </c>
      <c r="B535" s="28" t="s">
        <v>851</v>
      </c>
      <c r="C535" s="24">
        <f>IF(B535&lt;&gt;"",IFERROR(VLOOKUP(B535,'📦 Productos'!A:C,3,FALSE),IFERROR(VLOOKUP(B535&amp;"",'📦 Productos'!A:C,3,FALSE),IFERROR(VLOOKUP(VALUE(B535),'📦 Productos'!A:C,3,FALSE),""))),"")</f>
      </c>
      <c r="D535" s="28" t="s">
        <v>852</v>
      </c>
      <c r="E535" s="29" t="s">
        <v>26</v>
      </c>
      <c r="F535" s="30">
        <v>0</v>
      </c>
      <c r="G535" s="31">
        <v>97000</v>
      </c>
      <c r="H535" s="32">
        <v>58200</v>
      </c>
      <c r="I535" s="14">
        <f>IF(AND(G535&gt;0,H535&gt;0),ROUND((1-H535/G535)*100,0),0)</f>
        <v>40</v>
      </c>
      <c r="J535" s="35" t="s">
        <v>28</v>
      </c>
      <c r="K535" s="30" t="s">
        <v>1888</v>
      </c>
      <c r="L535" s="29" t="s">
        <v>26</v>
      </c>
    </row>
    <row r="536" ht="20" customHeight="1" spans="1:12" x14ac:dyDescent="0.25">
      <c r="A536" s="7" t="s">
        <v>2732</v>
      </c>
      <c r="B536" s="7" t="s">
        <v>854</v>
      </c>
      <c r="C536" s="24">
        <f>IF(B536&lt;&gt;"",IFERROR(VLOOKUP(B536,'📦 Productos'!A:C,3,FALSE),IFERROR(VLOOKUP(B536&amp;"",'📦 Productos'!A:C,3,FALSE),IFERROR(VLOOKUP(VALUE(B536),'📦 Productos'!A:C,3,FALSE),""))),"")</f>
      </c>
      <c r="D536" s="7" t="s">
        <v>855</v>
      </c>
      <c r="E536" s="8" t="s">
        <v>26</v>
      </c>
      <c r="F536" s="12">
        <v>0</v>
      </c>
      <c r="G536" s="25">
        <v>46600</v>
      </c>
      <c r="H536" s="26"/>
      <c r="I536" s="14">
        <f>IF(AND(G536&gt;0,H536&gt;0),ROUND((1-H536/G536)*100,0),0)</f>
        <v>0</v>
      </c>
      <c r="J536" s="34" t="s">
        <v>28</v>
      </c>
      <c r="K536" s="12" t="s">
        <v>1888</v>
      </c>
      <c r="L536" s="8" t="s">
        <v>26</v>
      </c>
    </row>
    <row r="537" ht="20" customHeight="1" spans="1:12" x14ac:dyDescent="0.25">
      <c r="A537" s="28" t="s">
        <v>2733</v>
      </c>
      <c r="B537" s="28" t="s">
        <v>857</v>
      </c>
      <c r="C537" s="24">
        <f>IF(B537&lt;&gt;"",IFERROR(VLOOKUP(B537,'📦 Productos'!A:C,3,FALSE),IFERROR(VLOOKUP(B537&amp;"",'📦 Productos'!A:C,3,FALSE),IFERROR(VLOOKUP(VALUE(B537),'📦 Productos'!A:C,3,FALSE),""))),"")</f>
      </c>
      <c r="D537" s="28" t="s">
        <v>858</v>
      </c>
      <c r="E537" s="29" t="s">
        <v>26</v>
      </c>
      <c r="F537" s="30">
        <v>0</v>
      </c>
      <c r="G537" s="31">
        <v>51500</v>
      </c>
      <c r="H537" s="32"/>
      <c r="I537" s="14">
        <f>IF(AND(G537&gt;0,H537&gt;0),ROUND((1-H537/G537)*100,0),0)</f>
        <v>0</v>
      </c>
      <c r="J537" s="35" t="s">
        <v>28</v>
      </c>
      <c r="K537" s="30" t="s">
        <v>1888</v>
      </c>
      <c r="L537" s="29" t="s">
        <v>26</v>
      </c>
    </row>
    <row r="538" ht="20" customHeight="1" spans="1:12" x14ac:dyDescent="0.25">
      <c r="A538" s="7" t="s">
        <v>2734</v>
      </c>
      <c r="B538" s="7" t="s">
        <v>860</v>
      </c>
      <c r="C538" s="24">
        <f>IF(B538&lt;&gt;"",IFERROR(VLOOKUP(B538,'📦 Productos'!A:C,3,FALSE),IFERROR(VLOOKUP(B538&amp;"",'📦 Productos'!A:C,3,FALSE),IFERROR(VLOOKUP(VALUE(B538),'📦 Productos'!A:C,3,FALSE),""))),"")</f>
      </c>
      <c r="D538" s="7" t="s">
        <v>861</v>
      </c>
      <c r="E538" s="8" t="s">
        <v>26</v>
      </c>
      <c r="F538" s="12">
        <v>0</v>
      </c>
      <c r="G538" s="25">
        <v>38700</v>
      </c>
      <c r="H538" s="26"/>
      <c r="I538" s="14">
        <f>IF(AND(G538&gt;0,H538&gt;0),ROUND((1-H538/G538)*100,0),0)</f>
        <v>0</v>
      </c>
      <c r="J538" s="34" t="s">
        <v>28</v>
      </c>
      <c r="K538" s="12" t="s">
        <v>1888</v>
      </c>
      <c r="L538" s="8" t="s">
        <v>26</v>
      </c>
    </row>
    <row r="539" ht="20" customHeight="1" spans="1:12" x14ac:dyDescent="0.25">
      <c r="A539" s="28" t="s">
        <v>2735</v>
      </c>
      <c r="B539" s="28" t="s">
        <v>863</v>
      </c>
      <c r="C539" s="24">
        <f>IF(B539&lt;&gt;"",IFERROR(VLOOKUP(B539,'📦 Productos'!A:C,3,FALSE),IFERROR(VLOOKUP(B539&amp;"",'📦 Productos'!A:C,3,FALSE),IFERROR(VLOOKUP(VALUE(B539),'📦 Productos'!A:C,3,FALSE),""))),"")</f>
      </c>
      <c r="D539" s="28" t="s">
        <v>864</v>
      </c>
      <c r="E539" s="29" t="s">
        <v>26</v>
      </c>
      <c r="F539" s="30">
        <v>0</v>
      </c>
      <c r="G539" s="31">
        <v>32000</v>
      </c>
      <c r="H539" s="32"/>
      <c r="I539" s="14">
        <f>IF(AND(G539&gt;0,H539&gt;0),ROUND((1-H539/G539)*100,0),0)</f>
        <v>0</v>
      </c>
      <c r="J539" s="35" t="s">
        <v>28</v>
      </c>
      <c r="K539" s="30" t="s">
        <v>1888</v>
      </c>
      <c r="L539" s="29" t="s">
        <v>26</v>
      </c>
    </row>
    <row r="540" ht="20" customHeight="1" spans="1:12" x14ac:dyDescent="0.25">
      <c r="A540" s="7" t="s">
        <v>2736</v>
      </c>
      <c r="B540" s="7" t="s">
        <v>866</v>
      </c>
      <c r="C540" s="24">
        <f>IF(B540&lt;&gt;"",IFERROR(VLOOKUP(B540,'📦 Productos'!A:C,3,FALSE),IFERROR(VLOOKUP(B540&amp;"",'📦 Productos'!A:C,3,FALSE),IFERROR(VLOOKUP(VALUE(B540),'📦 Productos'!A:C,3,FALSE),""))),"")</f>
      </c>
      <c r="D540" s="7" t="s">
        <v>867</v>
      </c>
      <c r="E540" s="8" t="s">
        <v>26</v>
      </c>
      <c r="F540" s="12">
        <v>0</v>
      </c>
      <c r="G540" s="25">
        <v>999999</v>
      </c>
      <c r="H540" s="26"/>
      <c r="I540" s="14">
        <f>IF(AND(G540&gt;0,H540&gt;0),ROUND((1-H540/G540)*100,0),0)</f>
        <v>0</v>
      </c>
      <c r="J540" s="34" t="s">
        <v>28</v>
      </c>
      <c r="K540" s="12" t="s">
        <v>1888</v>
      </c>
      <c r="L540" s="8" t="s">
        <v>26</v>
      </c>
    </row>
    <row r="541" ht="20" customHeight="1" spans="1:12" x14ac:dyDescent="0.25">
      <c r="A541" s="28" t="s">
        <v>2737</v>
      </c>
      <c r="B541" s="28" t="s">
        <v>869</v>
      </c>
      <c r="C541" s="24">
        <f>IF(B541&lt;&gt;"",IFERROR(VLOOKUP(B541,'📦 Productos'!A:C,3,FALSE),IFERROR(VLOOKUP(B541&amp;"",'📦 Productos'!A:C,3,FALSE),IFERROR(VLOOKUP(VALUE(B541),'📦 Productos'!A:C,3,FALSE),""))),"")</f>
      </c>
      <c r="D541" s="28" t="s">
        <v>870</v>
      </c>
      <c r="E541" s="29" t="s">
        <v>26</v>
      </c>
      <c r="F541" s="30">
        <v>0</v>
      </c>
      <c r="G541" s="31">
        <v>84500</v>
      </c>
      <c r="H541" s="32"/>
      <c r="I541" s="14">
        <f>IF(AND(G541&gt;0,H541&gt;0),ROUND((1-H541/G541)*100,0),0)</f>
        <v>0</v>
      </c>
      <c r="J541" s="35" t="s">
        <v>28</v>
      </c>
      <c r="K541" s="30" t="s">
        <v>1888</v>
      </c>
      <c r="L541" s="29" t="s">
        <v>26</v>
      </c>
    </row>
    <row r="542" ht="20" customHeight="1" spans="1:12" x14ac:dyDescent="0.25">
      <c r="A542" s="7" t="s">
        <v>2738</v>
      </c>
      <c r="B542" s="7" t="s">
        <v>872</v>
      </c>
      <c r="C542" s="24">
        <f>IF(B542&lt;&gt;"",IFERROR(VLOOKUP(B542,'📦 Productos'!A:C,3,FALSE),IFERROR(VLOOKUP(B542&amp;"",'📦 Productos'!A:C,3,FALSE),IFERROR(VLOOKUP(VALUE(B542),'📦 Productos'!A:C,3,FALSE),""))),"")</f>
      </c>
      <c r="D542" s="7" t="s">
        <v>873</v>
      </c>
      <c r="E542" s="8" t="s">
        <v>26</v>
      </c>
      <c r="F542" s="12">
        <v>0</v>
      </c>
      <c r="G542" s="25">
        <v>40600</v>
      </c>
      <c r="H542" s="26"/>
      <c r="I542" s="14">
        <f>IF(AND(G542&gt;0,H542&gt;0),ROUND((1-H542/G542)*100,0),0)</f>
        <v>0</v>
      </c>
      <c r="J542" s="34" t="s">
        <v>28</v>
      </c>
      <c r="K542" s="12" t="s">
        <v>1888</v>
      </c>
      <c r="L542" s="8" t="s">
        <v>26</v>
      </c>
    </row>
    <row r="543" ht="20" customHeight="1" spans="1:12" x14ac:dyDescent="0.25">
      <c r="A543" s="28" t="s">
        <v>2739</v>
      </c>
      <c r="B543" s="28" t="s">
        <v>875</v>
      </c>
      <c r="C543" s="24">
        <f>IF(B543&lt;&gt;"",IFERROR(VLOOKUP(B543,'📦 Productos'!A:C,3,FALSE),IFERROR(VLOOKUP(B543&amp;"",'📦 Productos'!A:C,3,FALSE),IFERROR(VLOOKUP(VALUE(B543),'📦 Productos'!A:C,3,FALSE),""))),"")</f>
      </c>
      <c r="D543" s="28" t="s">
        <v>876</v>
      </c>
      <c r="E543" s="29" t="s">
        <v>26</v>
      </c>
      <c r="F543" s="30">
        <v>0</v>
      </c>
      <c r="G543" s="31">
        <v>36500</v>
      </c>
      <c r="H543" s="32"/>
      <c r="I543" s="14">
        <f>IF(AND(G543&gt;0,H543&gt;0),ROUND((1-H543/G543)*100,0),0)</f>
        <v>0</v>
      </c>
      <c r="J543" s="35" t="s">
        <v>28</v>
      </c>
      <c r="K543" s="30" t="s">
        <v>1888</v>
      </c>
      <c r="L543" s="29" t="s">
        <v>26</v>
      </c>
    </row>
    <row r="544" ht="20" customHeight="1" spans="1:12" x14ac:dyDescent="0.25">
      <c r="A544" s="7" t="s">
        <v>2740</v>
      </c>
      <c r="B544" s="7" t="s">
        <v>878</v>
      </c>
      <c r="C544" s="24">
        <f>IF(B544&lt;&gt;"",IFERROR(VLOOKUP(B544,'📦 Productos'!A:C,3,FALSE),IFERROR(VLOOKUP(B544&amp;"",'📦 Productos'!A:C,3,FALSE),IFERROR(VLOOKUP(VALUE(B544),'📦 Productos'!A:C,3,FALSE),""))),"")</f>
      </c>
      <c r="D544" s="7" t="s">
        <v>879</v>
      </c>
      <c r="E544" s="8" t="s">
        <v>26</v>
      </c>
      <c r="F544" s="12">
        <v>0</v>
      </c>
      <c r="G544" s="25">
        <v>76000</v>
      </c>
      <c r="H544" s="26">
        <v>45600</v>
      </c>
      <c r="I544" s="14">
        <f>IF(AND(G544&gt;0,H544&gt;0),ROUND((1-H544/G544)*100,0),0)</f>
        <v>40</v>
      </c>
      <c r="J544" s="34" t="s">
        <v>28</v>
      </c>
      <c r="K544" s="12" t="s">
        <v>1888</v>
      </c>
      <c r="L544" s="8" t="s">
        <v>26</v>
      </c>
    </row>
    <row r="545" ht="20" customHeight="1" spans="1:12" x14ac:dyDescent="0.25">
      <c r="A545" s="28" t="s">
        <v>2741</v>
      </c>
      <c r="B545" s="28" t="s">
        <v>881</v>
      </c>
      <c r="C545" s="24">
        <f>IF(B545&lt;&gt;"",IFERROR(VLOOKUP(B545,'📦 Productos'!A:C,3,FALSE),IFERROR(VLOOKUP(B545&amp;"",'📦 Productos'!A:C,3,FALSE),IFERROR(VLOOKUP(VALUE(B545),'📦 Productos'!A:C,3,FALSE),""))),"")</f>
      </c>
      <c r="D545" s="28" t="s">
        <v>882</v>
      </c>
      <c r="E545" s="29" t="s">
        <v>26</v>
      </c>
      <c r="F545" s="30">
        <v>0</v>
      </c>
      <c r="G545" s="31">
        <v>82000</v>
      </c>
      <c r="H545" s="32">
        <v>65600</v>
      </c>
      <c r="I545" s="14">
        <f>IF(AND(G545&gt;0,H545&gt;0),ROUND((1-H545/G545)*100,0),0)</f>
        <v>20</v>
      </c>
      <c r="J545" s="35" t="s">
        <v>28</v>
      </c>
      <c r="K545" s="30" t="s">
        <v>1888</v>
      </c>
      <c r="L545" s="29" t="s">
        <v>26</v>
      </c>
    </row>
    <row r="546" ht="20" customHeight="1" spans="1:12" x14ac:dyDescent="0.25">
      <c r="A546" s="7" t="s">
        <v>2742</v>
      </c>
      <c r="B546" s="7" t="s">
        <v>884</v>
      </c>
      <c r="C546" s="24">
        <f>IF(B546&lt;&gt;"",IFERROR(VLOOKUP(B546,'📦 Productos'!A:C,3,FALSE),IFERROR(VLOOKUP(B546&amp;"",'📦 Productos'!A:C,3,FALSE),IFERROR(VLOOKUP(VALUE(B546),'📦 Productos'!A:C,3,FALSE),""))),"")</f>
      </c>
      <c r="D546" s="7" t="s">
        <v>885</v>
      </c>
      <c r="E546" s="8" t="s">
        <v>26</v>
      </c>
      <c r="F546" s="12">
        <v>0</v>
      </c>
      <c r="G546" s="25">
        <v>170800</v>
      </c>
      <c r="H546" s="26">
        <v>102480</v>
      </c>
      <c r="I546" s="14">
        <f>IF(AND(G546&gt;0,H546&gt;0),ROUND((1-H546/G546)*100,0),0)</f>
        <v>40</v>
      </c>
      <c r="J546" s="34" t="s">
        <v>28</v>
      </c>
      <c r="K546" s="12" t="s">
        <v>1888</v>
      </c>
      <c r="L546" s="8" t="s">
        <v>26</v>
      </c>
    </row>
    <row r="547" ht="20" customHeight="1" spans="1:12" x14ac:dyDescent="0.25">
      <c r="A547" s="28" t="s">
        <v>2743</v>
      </c>
      <c r="B547" s="28" t="s">
        <v>887</v>
      </c>
      <c r="C547" s="24">
        <f>IF(B547&lt;&gt;"",IFERROR(VLOOKUP(B547,'📦 Productos'!A:C,3,FALSE),IFERROR(VLOOKUP(B547&amp;"",'📦 Productos'!A:C,3,FALSE),IFERROR(VLOOKUP(VALUE(B547),'📦 Productos'!A:C,3,FALSE),""))),"")</f>
      </c>
      <c r="D547" s="28" t="s">
        <v>888</v>
      </c>
      <c r="E547" s="29" t="s">
        <v>26</v>
      </c>
      <c r="F547" s="30">
        <v>0</v>
      </c>
      <c r="G547" s="31">
        <v>42700</v>
      </c>
      <c r="H547" s="32"/>
      <c r="I547" s="14">
        <f>IF(AND(G547&gt;0,H547&gt;0),ROUND((1-H547/G547)*100,0),0)</f>
        <v>0</v>
      </c>
      <c r="J547" s="35" t="s">
        <v>28</v>
      </c>
      <c r="K547" s="30" t="s">
        <v>1888</v>
      </c>
      <c r="L547" s="29" t="s">
        <v>26</v>
      </c>
    </row>
    <row r="548" ht="20" customHeight="1" spans="1:12" x14ac:dyDescent="0.25">
      <c r="A548" s="7" t="s">
        <v>2744</v>
      </c>
      <c r="B548" s="7" t="s">
        <v>890</v>
      </c>
      <c r="C548" s="24">
        <f>IF(B548&lt;&gt;"",IFERROR(VLOOKUP(B548,'📦 Productos'!A:C,3,FALSE),IFERROR(VLOOKUP(B548&amp;"",'📦 Productos'!A:C,3,FALSE),IFERROR(VLOOKUP(VALUE(B548),'📦 Productos'!A:C,3,FALSE),""))),"")</f>
      </c>
      <c r="D548" s="7" t="s">
        <v>891</v>
      </c>
      <c r="E548" s="8" t="s">
        <v>26</v>
      </c>
      <c r="F548" s="12">
        <v>0</v>
      </c>
      <c r="G548" s="25">
        <v>42700</v>
      </c>
      <c r="H548" s="26"/>
      <c r="I548" s="14">
        <f>IF(AND(G548&gt;0,H548&gt;0),ROUND((1-H548/G548)*100,0),0)</f>
        <v>0</v>
      </c>
      <c r="J548" s="34" t="s">
        <v>28</v>
      </c>
      <c r="K548" s="12" t="s">
        <v>1888</v>
      </c>
      <c r="L548" s="8" t="s">
        <v>26</v>
      </c>
    </row>
    <row r="549" ht="20" customHeight="1" spans="1:12" x14ac:dyDescent="0.25">
      <c r="A549" s="28" t="s">
        <v>2745</v>
      </c>
      <c r="B549" s="28" t="s">
        <v>893</v>
      </c>
      <c r="C549" s="24">
        <f>IF(B549&lt;&gt;"",IFERROR(VLOOKUP(B549,'📦 Productos'!A:C,3,FALSE),IFERROR(VLOOKUP(B549&amp;"",'📦 Productos'!A:C,3,FALSE),IFERROR(VLOOKUP(VALUE(B549),'📦 Productos'!A:C,3,FALSE),""))),"")</f>
      </c>
      <c r="D549" s="28" t="s">
        <v>894</v>
      </c>
      <c r="E549" s="29" t="s">
        <v>26</v>
      </c>
      <c r="F549" s="30">
        <v>0</v>
      </c>
      <c r="G549" s="31">
        <v>42700</v>
      </c>
      <c r="H549" s="32"/>
      <c r="I549" s="14">
        <f>IF(AND(G549&gt;0,H549&gt;0),ROUND((1-H549/G549)*100,0),0)</f>
        <v>0</v>
      </c>
      <c r="J549" s="35" t="s">
        <v>28</v>
      </c>
      <c r="K549" s="30" t="s">
        <v>1888</v>
      </c>
      <c r="L549" s="29" t="s">
        <v>26</v>
      </c>
    </row>
    <row r="550" ht="20" customHeight="1" spans="1:12" x14ac:dyDescent="0.25">
      <c r="A550" s="7" t="s">
        <v>2746</v>
      </c>
      <c r="B550" s="7" t="s">
        <v>896</v>
      </c>
      <c r="C550" s="24">
        <f>IF(B550&lt;&gt;"",IFERROR(VLOOKUP(B550,'📦 Productos'!A:C,3,FALSE),IFERROR(VLOOKUP(B550&amp;"",'📦 Productos'!A:C,3,FALSE),IFERROR(VLOOKUP(VALUE(B550),'📦 Productos'!A:C,3,FALSE),""))),"")</f>
      </c>
      <c r="D550" s="7" t="s">
        <v>897</v>
      </c>
      <c r="E550" s="8" t="s">
        <v>26</v>
      </c>
      <c r="F550" s="12">
        <v>0</v>
      </c>
      <c r="G550" s="25">
        <v>42700</v>
      </c>
      <c r="H550" s="26"/>
      <c r="I550" s="14">
        <f>IF(AND(G550&gt;0,H550&gt;0),ROUND((1-H550/G550)*100,0),0)</f>
        <v>0</v>
      </c>
      <c r="J550" s="34" t="s">
        <v>28</v>
      </c>
      <c r="K550" s="12" t="s">
        <v>1888</v>
      </c>
      <c r="L550" s="8" t="s">
        <v>26</v>
      </c>
    </row>
    <row r="551" ht="20" customHeight="1" spans="1:12" x14ac:dyDescent="0.25">
      <c r="A551" s="28" t="s">
        <v>2747</v>
      </c>
      <c r="B551" s="28" t="s">
        <v>899</v>
      </c>
      <c r="C551" s="24">
        <f>IF(B551&lt;&gt;"",IFERROR(VLOOKUP(B551,'📦 Productos'!A:C,3,FALSE),IFERROR(VLOOKUP(B551&amp;"",'📦 Productos'!A:C,3,FALSE),IFERROR(VLOOKUP(VALUE(B551),'📦 Productos'!A:C,3,FALSE),""))),"")</f>
      </c>
      <c r="D551" s="28" t="s">
        <v>900</v>
      </c>
      <c r="E551" s="29" t="s">
        <v>26</v>
      </c>
      <c r="F551" s="30">
        <v>0</v>
      </c>
      <c r="G551" s="31">
        <v>40600</v>
      </c>
      <c r="H551" s="32"/>
      <c r="I551" s="14">
        <f>IF(AND(G551&gt;0,H551&gt;0),ROUND((1-H551/G551)*100,0),0)</f>
        <v>0</v>
      </c>
      <c r="J551" s="35" t="s">
        <v>28</v>
      </c>
      <c r="K551" s="30" t="s">
        <v>1888</v>
      </c>
      <c r="L551" s="29" t="s">
        <v>26</v>
      </c>
    </row>
    <row r="552" ht="20" customHeight="1" spans="1:12" x14ac:dyDescent="0.25">
      <c r="A552" s="7" t="s">
        <v>2748</v>
      </c>
      <c r="B552" s="7" t="s">
        <v>902</v>
      </c>
      <c r="C552" s="24">
        <f>IF(B552&lt;&gt;"",IFERROR(VLOOKUP(B552,'📦 Productos'!A:C,3,FALSE),IFERROR(VLOOKUP(B552&amp;"",'📦 Productos'!A:C,3,FALSE),IFERROR(VLOOKUP(VALUE(B552),'📦 Productos'!A:C,3,FALSE),""))),"")</f>
      </c>
      <c r="D552" s="7" t="s">
        <v>903</v>
      </c>
      <c r="E552" s="8" t="s">
        <v>26</v>
      </c>
      <c r="F552" s="12">
        <v>0</v>
      </c>
      <c r="G552" s="25">
        <v>48200</v>
      </c>
      <c r="H552" s="26"/>
      <c r="I552" s="14">
        <f>IF(AND(G552&gt;0,H552&gt;0),ROUND((1-H552/G552)*100,0),0)</f>
        <v>0</v>
      </c>
      <c r="J552" s="34" t="s">
        <v>28</v>
      </c>
      <c r="K552" s="12" t="s">
        <v>1888</v>
      </c>
      <c r="L552" s="8" t="s">
        <v>26</v>
      </c>
    </row>
    <row r="553" ht="20" customHeight="1" spans="1:12" x14ac:dyDescent="0.25">
      <c r="A553" s="28" t="s">
        <v>2749</v>
      </c>
      <c r="B553" s="28" t="s">
        <v>905</v>
      </c>
      <c r="C553" s="24">
        <f>IF(B553&lt;&gt;"",IFERROR(VLOOKUP(B553,'📦 Productos'!A:C,3,FALSE),IFERROR(VLOOKUP(B553&amp;"",'📦 Productos'!A:C,3,FALSE),IFERROR(VLOOKUP(VALUE(B553),'📦 Productos'!A:C,3,FALSE),""))),"")</f>
      </c>
      <c r="D553" s="28" t="s">
        <v>906</v>
      </c>
      <c r="E553" s="29" t="s">
        <v>26</v>
      </c>
      <c r="F553" s="30">
        <v>0</v>
      </c>
      <c r="G553" s="31">
        <v>29700</v>
      </c>
      <c r="H553" s="32"/>
      <c r="I553" s="14">
        <f>IF(AND(G553&gt;0,H553&gt;0),ROUND((1-H553/G553)*100,0),0)</f>
        <v>0</v>
      </c>
      <c r="J553" s="35" t="s">
        <v>28</v>
      </c>
      <c r="K553" s="30" t="s">
        <v>1888</v>
      </c>
      <c r="L553" s="29" t="s">
        <v>26</v>
      </c>
    </row>
    <row r="554" ht="20" customHeight="1" spans="1:12" x14ac:dyDescent="0.25">
      <c r="A554" s="7" t="s">
        <v>2750</v>
      </c>
      <c r="B554" s="7" t="s">
        <v>908</v>
      </c>
      <c r="C554" s="24">
        <f>IF(B554&lt;&gt;"",IFERROR(VLOOKUP(B554,'📦 Productos'!A:C,3,FALSE),IFERROR(VLOOKUP(B554&amp;"",'📦 Productos'!A:C,3,FALSE),IFERROR(VLOOKUP(VALUE(B554),'📦 Productos'!A:C,3,FALSE),""))),"")</f>
      </c>
      <c r="D554" s="7" t="s">
        <v>909</v>
      </c>
      <c r="E554" s="8" t="s">
        <v>26</v>
      </c>
      <c r="F554" s="12">
        <v>0</v>
      </c>
      <c r="G554" s="25">
        <v>40600</v>
      </c>
      <c r="H554" s="26"/>
      <c r="I554" s="14">
        <f>IF(AND(G554&gt;0,H554&gt;0),ROUND((1-H554/G554)*100,0),0)</f>
        <v>0</v>
      </c>
      <c r="J554" s="34" t="s">
        <v>28</v>
      </c>
      <c r="K554" s="12" t="s">
        <v>1888</v>
      </c>
      <c r="L554" s="8" t="s">
        <v>26</v>
      </c>
    </row>
    <row r="555" ht="20" customHeight="1" spans="1:12" x14ac:dyDescent="0.25">
      <c r="A555" s="28" t="s">
        <v>2751</v>
      </c>
      <c r="B555" s="28" t="s">
        <v>911</v>
      </c>
      <c r="C555" s="24">
        <f>IF(B555&lt;&gt;"",IFERROR(VLOOKUP(B555,'📦 Productos'!A:C,3,FALSE),IFERROR(VLOOKUP(B555&amp;"",'📦 Productos'!A:C,3,FALSE),IFERROR(VLOOKUP(VALUE(B555),'📦 Productos'!A:C,3,FALSE),""))),"")</f>
      </c>
      <c r="D555" s="28" t="s">
        <v>912</v>
      </c>
      <c r="E555" s="29" t="s">
        <v>26</v>
      </c>
      <c r="F555" s="30">
        <v>0</v>
      </c>
      <c r="G555" s="31">
        <v>39800</v>
      </c>
      <c r="H555" s="32"/>
      <c r="I555" s="14">
        <f>IF(AND(G555&gt;0,H555&gt;0),ROUND((1-H555/G555)*100,0),0)</f>
        <v>0</v>
      </c>
      <c r="J555" s="35" t="s">
        <v>28</v>
      </c>
      <c r="K555" s="30" t="s">
        <v>1888</v>
      </c>
      <c r="L555" s="29" t="s">
        <v>26</v>
      </c>
    </row>
    <row r="556" ht="20" customHeight="1" spans="1:12" x14ac:dyDescent="0.25">
      <c r="A556" s="7" t="s">
        <v>2752</v>
      </c>
      <c r="B556" s="7" t="s">
        <v>913</v>
      </c>
      <c r="C556" s="24">
        <f>IF(B556&lt;&gt;"",IFERROR(VLOOKUP(B556,'📦 Productos'!A:C,3,FALSE),IFERROR(VLOOKUP(B556&amp;"",'📦 Productos'!A:C,3,FALSE),IFERROR(VLOOKUP(VALUE(B556),'📦 Productos'!A:C,3,FALSE),""))),"")</f>
      </c>
      <c r="D556" s="7" t="s">
        <v>914</v>
      </c>
      <c r="E556" s="8" t="s">
        <v>26</v>
      </c>
      <c r="F556" s="12">
        <v>0</v>
      </c>
      <c r="G556" s="25">
        <v>29700</v>
      </c>
      <c r="H556" s="26"/>
      <c r="I556" s="14">
        <f>IF(AND(G556&gt;0,H556&gt;0),ROUND((1-H556/G556)*100,0),0)</f>
        <v>0</v>
      </c>
      <c r="J556" s="34" t="s">
        <v>28</v>
      </c>
      <c r="K556" s="12" t="s">
        <v>1888</v>
      </c>
      <c r="L556" s="8" t="s">
        <v>26</v>
      </c>
    </row>
    <row r="557" ht="20" customHeight="1" spans="1:12" x14ac:dyDescent="0.25">
      <c r="A557" s="28" t="s">
        <v>2753</v>
      </c>
      <c r="B557" s="28" t="s">
        <v>916</v>
      </c>
      <c r="C557" s="24">
        <f>IF(B557&lt;&gt;"",IFERROR(VLOOKUP(B557,'📦 Productos'!A:C,3,FALSE),IFERROR(VLOOKUP(B557&amp;"",'📦 Productos'!A:C,3,FALSE),IFERROR(VLOOKUP(VALUE(B557),'📦 Productos'!A:C,3,FALSE),""))),"")</f>
      </c>
      <c r="D557" s="28" t="s">
        <v>917</v>
      </c>
      <c r="E557" s="29" t="s">
        <v>26</v>
      </c>
      <c r="F557" s="30">
        <v>0</v>
      </c>
      <c r="G557" s="31">
        <v>39800</v>
      </c>
      <c r="H557" s="32"/>
      <c r="I557" s="14">
        <f>IF(AND(G557&gt;0,H557&gt;0),ROUND((1-H557/G557)*100,0),0)</f>
        <v>0</v>
      </c>
      <c r="J557" s="35" t="s">
        <v>28</v>
      </c>
      <c r="K557" s="30" t="s">
        <v>1888</v>
      </c>
      <c r="L557" s="29" t="s">
        <v>26</v>
      </c>
    </row>
    <row r="558" ht="20" customHeight="1" spans="1:12" x14ac:dyDescent="0.25">
      <c r="A558" s="7" t="s">
        <v>2754</v>
      </c>
      <c r="B558" s="7" t="s">
        <v>919</v>
      </c>
      <c r="C558" s="24">
        <f>IF(B558&lt;&gt;"",IFERROR(VLOOKUP(B558,'📦 Productos'!A:C,3,FALSE),IFERROR(VLOOKUP(B558&amp;"",'📦 Productos'!A:C,3,FALSE),IFERROR(VLOOKUP(VALUE(B558),'📦 Productos'!A:C,3,FALSE),""))),"")</f>
      </c>
      <c r="D558" s="7" t="s">
        <v>920</v>
      </c>
      <c r="E558" s="8" t="s">
        <v>26</v>
      </c>
      <c r="F558" s="12">
        <v>0</v>
      </c>
      <c r="G558" s="25">
        <v>99600</v>
      </c>
      <c r="H558" s="26"/>
      <c r="I558" s="14">
        <f>IF(AND(G558&gt;0,H558&gt;0),ROUND((1-H558/G558)*100,0),0)</f>
        <v>0</v>
      </c>
      <c r="J558" s="34" t="s">
        <v>28</v>
      </c>
      <c r="K558" s="12" t="s">
        <v>1888</v>
      </c>
      <c r="L558" s="8" t="s">
        <v>26</v>
      </c>
    </row>
    <row r="559" ht="20" customHeight="1" spans="1:12" x14ac:dyDescent="0.25">
      <c r="A559" s="28" t="s">
        <v>2755</v>
      </c>
      <c r="B559" s="28" t="s">
        <v>922</v>
      </c>
      <c r="C559" s="24">
        <f>IF(B559&lt;&gt;"",IFERROR(VLOOKUP(B559,'📦 Productos'!A:C,3,FALSE),IFERROR(VLOOKUP(B559&amp;"",'📦 Productos'!A:C,3,FALSE),IFERROR(VLOOKUP(VALUE(B559),'📦 Productos'!A:C,3,FALSE),""))),"")</f>
      </c>
      <c r="D559" s="28" t="s">
        <v>923</v>
      </c>
      <c r="E559" s="29" t="s">
        <v>26</v>
      </c>
      <c r="F559" s="30">
        <v>0</v>
      </c>
      <c r="G559" s="31">
        <v>99600</v>
      </c>
      <c r="H559" s="32"/>
      <c r="I559" s="14">
        <f>IF(AND(G559&gt;0,H559&gt;0),ROUND((1-H559/G559)*100,0),0)</f>
        <v>0</v>
      </c>
      <c r="J559" s="35" t="s">
        <v>28</v>
      </c>
      <c r="K559" s="30" t="s">
        <v>1888</v>
      </c>
      <c r="L559" s="29" t="s">
        <v>26</v>
      </c>
    </row>
    <row r="560" ht="20" customHeight="1" spans="1:12" x14ac:dyDescent="0.25">
      <c r="A560" s="7" t="s">
        <v>2756</v>
      </c>
      <c r="B560" s="7" t="s">
        <v>925</v>
      </c>
      <c r="C560" s="24">
        <f>IF(B560&lt;&gt;"",IFERROR(VLOOKUP(B560,'📦 Productos'!A:C,3,FALSE),IFERROR(VLOOKUP(B560&amp;"",'📦 Productos'!A:C,3,FALSE),IFERROR(VLOOKUP(VALUE(B560),'📦 Productos'!A:C,3,FALSE),""))),"")</f>
      </c>
      <c r="D560" s="7" t="s">
        <v>926</v>
      </c>
      <c r="E560" s="8" t="s">
        <v>26</v>
      </c>
      <c r="F560" s="12">
        <v>0</v>
      </c>
      <c r="G560" s="25">
        <v>47900</v>
      </c>
      <c r="H560" s="26"/>
      <c r="I560" s="14">
        <f>IF(AND(G560&gt;0,H560&gt;0),ROUND((1-H560/G560)*100,0),0)</f>
        <v>0</v>
      </c>
      <c r="J560" s="34" t="s">
        <v>28</v>
      </c>
      <c r="K560" s="12" t="s">
        <v>1888</v>
      </c>
      <c r="L560" s="8" t="s">
        <v>26</v>
      </c>
    </row>
    <row r="561" ht="20" customHeight="1" spans="1:12" x14ac:dyDescent="0.25">
      <c r="A561" s="28" t="s">
        <v>2757</v>
      </c>
      <c r="B561" s="28" t="s">
        <v>928</v>
      </c>
      <c r="C561" s="24">
        <f>IF(B561&lt;&gt;"",IFERROR(VLOOKUP(B561,'📦 Productos'!A:C,3,FALSE),IFERROR(VLOOKUP(B561&amp;"",'📦 Productos'!A:C,3,FALSE),IFERROR(VLOOKUP(VALUE(B561),'📦 Productos'!A:C,3,FALSE),""))),"")</f>
      </c>
      <c r="D561" s="28" t="s">
        <v>929</v>
      </c>
      <c r="E561" s="29" t="s">
        <v>26</v>
      </c>
      <c r="F561" s="30">
        <v>0</v>
      </c>
      <c r="G561" s="31">
        <v>47900</v>
      </c>
      <c r="H561" s="32"/>
      <c r="I561" s="14">
        <f>IF(AND(G561&gt;0,H561&gt;0),ROUND((1-H561/G561)*100,0),0)</f>
        <v>0</v>
      </c>
      <c r="J561" s="35" t="s">
        <v>28</v>
      </c>
      <c r="K561" s="30" t="s">
        <v>1888</v>
      </c>
      <c r="L561" s="29" t="s">
        <v>26</v>
      </c>
    </row>
    <row r="562" ht="20" customHeight="1" spans="1:12" x14ac:dyDescent="0.25">
      <c r="A562" s="7" t="s">
        <v>2758</v>
      </c>
      <c r="B562" s="7" t="s">
        <v>931</v>
      </c>
      <c r="C562" s="24">
        <f>IF(B562&lt;&gt;"",IFERROR(VLOOKUP(B562,'📦 Productos'!A:C,3,FALSE),IFERROR(VLOOKUP(B562&amp;"",'📦 Productos'!A:C,3,FALSE),IFERROR(VLOOKUP(VALUE(B562),'📦 Productos'!A:C,3,FALSE),""))),"")</f>
      </c>
      <c r="D562" s="7" t="s">
        <v>932</v>
      </c>
      <c r="E562" s="8" t="s">
        <v>26</v>
      </c>
      <c r="F562" s="12">
        <v>0</v>
      </c>
      <c r="G562" s="25">
        <v>34800</v>
      </c>
      <c r="H562" s="26"/>
      <c r="I562" s="14">
        <f>IF(AND(G562&gt;0,H562&gt;0),ROUND((1-H562/G562)*100,0),0)</f>
        <v>0</v>
      </c>
      <c r="J562" s="34" t="s">
        <v>28</v>
      </c>
      <c r="K562" s="12" t="s">
        <v>1888</v>
      </c>
      <c r="L562" s="8" t="s">
        <v>26</v>
      </c>
    </row>
    <row r="563" ht="20" customHeight="1" spans="1:12" x14ac:dyDescent="0.25">
      <c r="A563" s="28" t="s">
        <v>2759</v>
      </c>
      <c r="B563" s="28" t="s">
        <v>934</v>
      </c>
      <c r="C563" s="24">
        <f>IF(B563&lt;&gt;"",IFERROR(VLOOKUP(B563,'📦 Productos'!A:C,3,FALSE),IFERROR(VLOOKUP(B563&amp;"",'📦 Productos'!A:C,3,FALSE),IFERROR(VLOOKUP(VALUE(B563),'📦 Productos'!A:C,3,FALSE),""))),"")</f>
      </c>
      <c r="D563" s="28" t="s">
        <v>935</v>
      </c>
      <c r="E563" s="29" t="s">
        <v>26</v>
      </c>
      <c r="F563" s="30">
        <v>0</v>
      </c>
      <c r="G563" s="31">
        <v>52600</v>
      </c>
      <c r="H563" s="32"/>
      <c r="I563" s="14">
        <f>IF(AND(G563&gt;0,H563&gt;0),ROUND((1-H563/G563)*100,0),0)</f>
        <v>0</v>
      </c>
      <c r="J563" s="35" t="s">
        <v>28</v>
      </c>
      <c r="K563" s="30" t="s">
        <v>1888</v>
      </c>
      <c r="L563" s="29" t="s">
        <v>26</v>
      </c>
    </row>
    <row r="564" ht="20" customHeight="1" spans="1:12" x14ac:dyDescent="0.25">
      <c r="A564" s="7" t="s">
        <v>2760</v>
      </c>
      <c r="B564" s="7" t="s">
        <v>937</v>
      </c>
      <c r="C564" s="24">
        <f>IF(B564&lt;&gt;"",IFERROR(VLOOKUP(B564,'📦 Productos'!A:C,3,FALSE),IFERROR(VLOOKUP(B564&amp;"",'📦 Productos'!A:C,3,FALSE),IFERROR(VLOOKUP(VALUE(B564),'📦 Productos'!A:C,3,FALSE),""))),"")</f>
      </c>
      <c r="D564" s="7" t="s">
        <v>938</v>
      </c>
      <c r="E564" s="8" t="s">
        <v>26</v>
      </c>
      <c r="F564" s="12">
        <v>0</v>
      </c>
      <c r="G564" s="25">
        <v>34800</v>
      </c>
      <c r="H564" s="26"/>
      <c r="I564" s="14">
        <f>IF(AND(G564&gt;0,H564&gt;0),ROUND((1-H564/G564)*100,0),0)</f>
        <v>0</v>
      </c>
      <c r="J564" s="34" t="s">
        <v>28</v>
      </c>
      <c r="K564" s="12" t="s">
        <v>1888</v>
      </c>
      <c r="L564" s="8" t="s">
        <v>26</v>
      </c>
    </row>
    <row r="565" ht="20" customHeight="1" spans="1:12" x14ac:dyDescent="0.25">
      <c r="A565" s="28" t="s">
        <v>2761</v>
      </c>
      <c r="B565" s="28" t="s">
        <v>940</v>
      </c>
      <c r="C565" s="24">
        <f>IF(B565&lt;&gt;"",IFERROR(VLOOKUP(B565,'📦 Productos'!A:C,3,FALSE),IFERROR(VLOOKUP(B565&amp;"",'📦 Productos'!A:C,3,FALSE),IFERROR(VLOOKUP(VALUE(B565),'📦 Productos'!A:C,3,FALSE),""))),"")</f>
      </c>
      <c r="D565" s="28" t="s">
        <v>941</v>
      </c>
      <c r="E565" s="29" t="s">
        <v>26</v>
      </c>
      <c r="F565" s="30">
        <v>0</v>
      </c>
      <c r="G565" s="31">
        <v>40400</v>
      </c>
      <c r="H565" s="32"/>
      <c r="I565" s="14">
        <f>IF(AND(G565&gt;0,H565&gt;0),ROUND((1-H565/G565)*100,0),0)</f>
        <v>0</v>
      </c>
      <c r="J565" s="35" t="s">
        <v>28</v>
      </c>
      <c r="K565" s="30" t="s">
        <v>1888</v>
      </c>
      <c r="L565" s="29" t="s">
        <v>26</v>
      </c>
    </row>
    <row r="566" ht="20" customHeight="1" spans="1:12" x14ac:dyDescent="0.25">
      <c r="A566" s="7" t="s">
        <v>2762</v>
      </c>
      <c r="B566" s="7" t="s">
        <v>943</v>
      </c>
      <c r="C566" s="24">
        <f>IF(B566&lt;&gt;"",IFERROR(VLOOKUP(B566,'📦 Productos'!A:C,3,FALSE),IFERROR(VLOOKUP(B566&amp;"",'📦 Productos'!A:C,3,FALSE),IFERROR(VLOOKUP(VALUE(B566),'📦 Productos'!A:C,3,FALSE),""))),"")</f>
      </c>
      <c r="D566" s="7" t="s">
        <v>944</v>
      </c>
      <c r="E566" s="8" t="s">
        <v>26</v>
      </c>
      <c r="F566" s="12">
        <v>0</v>
      </c>
      <c r="G566" s="25">
        <v>42700</v>
      </c>
      <c r="H566" s="26"/>
      <c r="I566" s="14">
        <f>IF(AND(G566&gt;0,H566&gt;0),ROUND((1-H566/G566)*100,0),0)</f>
        <v>0</v>
      </c>
      <c r="J566" s="34" t="s">
        <v>28</v>
      </c>
      <c r="K566" s="12" t="s">
        <v>1888</v>
      </c>
      <c r="L566" s="8" t="s">
        <v>26</v>
      </c>
    </row>
    <row r="567" ht="20" customHeight="1" spans="1:12" x14ac:dyDescent="0.25">
      <c r="A567" s="28" t="s">
        <v>2763</v>
      </c>
      <c r="B567" s="28" t="s">
        <v>946</v>
      </c>
      <c r="C567" s="24">
        <f>IF(B567&lt;&gt;"",IFERROR(VLOOKUP(B567,'📦 Productos'!A:C,3,FALSE),IFERROR(VLOOKUP(B567&amp;"",'📦 Productos'!A:C,3,FALSE),IFERROR(VLOOKUP(VALUE(B567),'📦 Productos'!A:C,3,FALSE),""))),"")</f>
      </c>
      <c r="D567" s="28" t="s">
        <v>947</v>
      </c>
      <c r="E567" s="29" t="s">
        <v>26</v>
      </c>
      <c r="F567" s="30">
        <v>0</v>
      </c>
      <c r="G567" s="31">
        <v>18500</v>
      </c>
      <c r="H567" s="32"/>
      <c r="I567" s="14">
        <f>IF(AND(G567&gt;0,H567&gt;0),ROUND((1-H567/G567)*100,0),0)</f>
        <v>0</v>
      </c>
      <c r="J567" s="35" t="s">
        <v>28</v>
      </c>
      <c r="K567" s="30" t="s">
        <v>1888</v>
      </c>
      <c r="L567" s="29" t="s">
        <v>26</v>
      </c>
    </row>
    <row r="568" ht="20" customHeight="1" spans="1:12" x14ac:dyDescent="0.25">
      <c r="A568" s="7" t="s">
        <v>2764</v>
      </c>
      <c r="B568" s="7" t="s">
        <v>950</v>
      </c>
      <c r="C568" s="24">
        <f>IF(B568&lt;&gt;"",IFERROR(VLOOKUP(B568,'📦 Productos'!A:C,3,FALSE),IFERROR(VLOOKUP(B568&amp;"",'📦 Productos'!A:C,3,FALSE),IFERROR(VLOOKUP(VALUE(B568),'📦 Productos'!A:C,3,FALSE),""))),"")</f>
      </c>
      <c r="D568" s="7" t="s">
        <v>951</v>
      </c>
      <c r="E568" s="8" t="s">
        <v>26</v>
      </c>
      <c r="F568" s="12">
        <v>0</v>
      </c>
      <c r="G568" s="25">
        <v>18500</v>
      </c>
      <c r="H568" s="26"/>
      <c r="I568" s="14">
        <f>IF(AND(G568&gt;0,H568&gt;0),ROUND((1-H568/G568)*100,0),0)</f>
        <v>0</v>
      </c>
      <c r="J568" s="34" t="s">
        <v>28</v>
      </c>
      <c r="K568" s="12" t="s">
        <v>1888</v>
      </c>
      <c r="L568" s="8" t="s">
        <v>26</v>
      </c>
    </row>
    <row r="569" ht="20" customHeight="1" spans="1:12" x14ac:dyDescent="0.25">
      <c r="A569" s="28" t="s">
        <v>2765</v>
      </c>
      <c r="B569" s="28" t="s">
        <v>953</v>
      </c>
      <c r="C569" s="24">
        <f>IF(B569&lt;&gt;"",IFERROR(VLOOKUP(B569,'📦 Productos'!A:C,3,FALSE),IFERROR(VLOOKUP(B569&amp;"",'📦 Productos'!A:C,3,FALSE),IFERROR(VLOOKUP(VALUE(B569),'📦 Productos'!A:C,3,FALSE),""))),"")</f>
      </c>
      <c r="D569" s="28" t="s">
        <v>954</v>
      </c>
      <c r="E569" s="29" t="s">
        <v>26</v>
      </c>
      <c r="F569" s="30">
        <v>0</v>
      </c>
      <c r="G569" s="31">
        <v>18500</v>
      </c>
      <c r="H569" s="32"/>
      <c r="I569" s="14">
        <f>IF(AND(G569&gt;0,H569&gt;0),ROUND((1-H569/G569)*100,0),0)</f>
        <v>0</v>
      </c>
      <c r="J569" s="35" t="s">
        <v>28</v>
      </c>
      <c r="K569" s="30" t="s">
        <v>1888</v>
      </c>
      <c r="L569" s="29" t="s">
        <v>26</v>
      </c>
    </row>
    <row r="570" ht="20" customHeight="1" spans="1:12" x14ac:dyDescent="0.25">
      <c r="A570" s="7" t="s">
        <v>2766</v>
      </c>
      <c r="B570" s="7" t="s">
        <v>956</v>
      </c>
      <c r="C570" s="24">
        <f>IF(B570&lt;&gt;"",IFERROR(VLOOKUP(B570,'📦 Productos'!A:C,3,FALSE),IFERROR(VLOOKUP(B570&amp;"",'📦 Productos'!A:C,3,FALSE),IFERROR(VLOOKUP(VALUE(B570),'📦 Productos'!A:C,3,FALSE),""))),"")</f>
      </c>
      <c r="D570" s="7" t="s">
        <v>957</v>
      </c>
      <c r="E570" s="8" t="s">
        <v>26</v>
      </c>
      <c r="F570" s="12">
        <v>0</v>
      </c>
      <c r="G570" s="25">
        <v>18500</v>
      </c>
      <c r="H570" s="26"/>
      <c r="I570" s="14">
        <f>IF(AND(G570&gt;0,H570&gt;0),ROUND((1-H570/G570)*100,0),0)</f>
        <v>0</v>
      </c>
      <c r="J570" s="34" t="s">
        <v>28</v>
      </c>
      <c r="K570" s="12" t="s">
        <v>1888</v>
      </c>
      <c r="L570" s="8" t="s">
        <v>26</v>
      </c>
    </row>
    <row r="571" ht="20" customHeight="1" spans="1:12" x14ac:dyDescent="0.25">
      <c r="A571" s="28" t="s">
        <v>2767</v>
      </c>
      <c r="B571" s="28" t="s">
        <v>959</v>
      </c>
      <c r="C571" s="24">
        <f>IF(B571&lt;&gt;"",IFERROR(VLOOKUP(B571,'📦 Productos'!A:C,3,FALSE),IFERROR(VLOOKUP(B571&amp;"",'📦 Productos'!A:C,3,FALSE),IFERROR(VLOOKUP(VALUE(B571),'📦 Productos'!A:C,3,FALSE),""))),"")</f>
      </c>
      <c r="D571" s="28" t="s">
        <v>960</v>
      </c>
      <c r="E571" s="29" t="s">
        <v>26</v>
      </c>
      <c r="F571" s="30">
        <v>0</v>
      </c>
      <c r="G571" s="31">
        <v>18500</v>
      </c>
      <c r="H571" s="32"/>
      <c r="I571" s="14">
        <f>IF(AND(G571&gt;0,H571&gt;0),ROUND((1-H571/G571)*100,0),0)</f>
        <v>0</v>
      </c>
      <c r="J571" s="35" t="s">
        <v>28</v>
      </c>
      <c r="K571" s="30" t="s">
        <v>1888</v>
      </c>
      <c r="L571" s="29" t="s">
        <v>26</v>
      </c>
    </row>
    <row r="572" ht="20" customHeight="1" spans="1:12" x14ac:dyDescent="0.25">
      <c r="A572" s="7" t="s">
        <v>2768</v>
      </c>
      <c r="B572" s="7" t="s">
        <v>962</v>
      </c>
      <c r="C572" s="24">
        <f>IF(B572&lt;&gt;"",IFERROR(VLOOKUP(B572,'📦 Productos'!A:C,3,FALSE),IFERROR(VLOOKUP(B572&amp;"",'📦 Productos'!A:C,3,FALSE),IFERROR(VLOOKUP(VALUE(B572),'📦 Productos'!A:C,3,FALSE),""))),"")</f>
      </c>
      <c r="D572" s="7" t="s">
        <v>963</v>
      </c>
      <c r="E572" s="8" t="s">
        <v>26</v>
      </c>
      <c r="F572" s="12">
        <v>0</v>
      </c>
      <c r="G572" s="25">
        <v>18500</v>
      </c>
      <c r="H572" s="26"/>
      <c r="I572" s="14">
        <f>IF(AND(G572&gt;0,H572&gt;0),ROUND((1-H572/G572)*100,0),0)</f>
        <v>0</v>
      </c>
      <c r="J572" s="34" t="s">
        <v>28</v>
      </c>
      <c r="K572" s="12" t="s">
        <v>1888</v>
      </c>
      <c r="L572" s="8" t="s">
        <v>26</v>
      </c>
    </row>
    <row r="573" ht="20" customHeight="1" spans="1:12" x14ac:dyDescent="0.25">
      <c r="A573" s="28" t="s">
        <v>2769</v>
      </c>
      <c r="B573" s="28" t="s">
        <v>965</v>
      </c>
      <c r="C573" s="24">
        <f>IF(B573&lt;&gt;"",IFERROR(VLOOKUP(B573,'📦 Productos'!A:C,3,FALSE),IFERROR(VLOOKUP(B573&amp;"",'📦 Productos'!A:C,3,FALSE),IFERROR(VLOOKUP(VALUE(B573),'📦 Productos'!A:C,3,FALSE),""))),"")</f>
      </c>
      <c r="D573" s="28" t="s">
        <v>966</v>
      </c>
      <c r="E573" s="29" t="s">
        <v>26</v>
      </c>
      <c r="F573" s="30">
        <v>0</v>
      </c>
      <c r="G573" s="31">
        <v>18500</v>
      </c>
      <c r="H573" s="32"/>
      <c r="I573" s="14">
        <f>IF(AND(G573&gt;0,H573&gt;0),ROUND((1-H573/G573)*100,0),0)</f>
        <v>0</v>
      </c>
      <c r="J573" s="35" t="s">
        <v>28</v>
      </c>
      <c r="K573" s="30" t="s">
        <v>1888</v>
      </c>
      <c r="L573" s="29" t="s">
        <v>26</v>
      </c>
    </row>
    <row r="574" ht="20" customHeight="1" spans="1:12" x14ac:dyDescent="0.25">
      <c r="A574" s="7" t="s">
        <v>2770</v>
      </c>
      <c r="B574" s="7" t="s">
        <v>968</v>
      </c>
      <c r="C574" s="24">
        <f>IF(B574&lt;&gt;"",IFERROR(VLOOKUP(B574,'📦 Productos'!A:C,3,FALSE),IFERROR(VLOOKUP(B574&amp;"",'📦 Productos'!A:C,3,FALSE),IFERROR(VLOOKUP(VALUE(B574),'📦 Productos'!A:C,3,FALSE),""))),"")</f>
      </c>
      <c r="D574" s="7" t="s">
        <v>969</v>
      </c>
      <c r="E574" s="8" t="s">
        <v>26</v>
      </c>
      <c r="F574" s="12">
        <v>0</v>
      </c>
      <c r="G574" s="25">
        <v>46600</v>
      </c>
      <c r="H574" s="26"/>
      <c r="I574" s="14">
        <f>IF(AND(G574&gt;0,H574&gt;0),ROUND((1-H574/G574)*100,0),0)</f>
        <v>0</v>
      </c>
      <c r="J574" s="34" t="s">
        <v>28</v>
      </c>
      <c r="K574" s="12" t="s">
        <v>1888</v>
      </c>
      <c r="L574" s="8" t="s">
        <v>26</v>
      </c>
    </row>
    <row r="575" ht="20" customHeight="1" spans="1:12" x14ac:dyDescent="0.25">
      <c r="A575" s="28" t="s">
        <v>2771</v>
      </c>
      <c r="B575" s="28" t="s">
        <v>971</v>
      </c>
      <c r="C575" s="24">
        <f>IF(B575&lt;&gt;"",IFERROR(VLOOKUP(B575,'📦 Productos'!A:C,3,FALSE),IFERROR(VLOOKUP(B575&amp;"",'📦 Productos'!A:C,3,FALSE),IFERROR(VLOOKUP(VALUE(B575),'📦 Productos'!A:C,3,FALSE),""))),"")</f>
      </c>
      <c r="D575" s="28" t="s">
        <v>972</v>
      </c>
      <c r="E575" s="29" t="s">
        <v>26</v>
      </c>
      <c r="F575" s="30">
        <v>0</v>
      </c>
      <c r="G575" s="31">
        <v>97000</v>
      </c>
      <c r="H575" s="32">
        <v>58200</v>
      </c>
      <c r="I575" s="14">
        <f>IF(AND(G575&gt;0,H575&gt;0),ROUND((1-H575/G575)*100,0),0)</f>
        <v>40</v>
      </c>
      <c r="J575" s="35" t="s">
        <v>28</v>
      </c>
      <c r="K575" s="30" t="s">
        <v>1888</v>
      </c>
      <c r="L575" s="29" t="s">
        <v>26</v>
      </c>
    </row>
    <row r="576" ht="20" customHeight="1" spans="1:12" x14ac:dyDescent="0.25">
      <c r="A576" s="7" t="s">
        <v>2772</v>
      </c>
      <c r="B576" s="7" t="s">
        <v>974</v>
      </c>
      <c r="C576" s="24">
        <f>IF(B576&lt;&gt;"",IFERROR(VLOOKUP(B576,'📦 Productos'!A:C,3,FALSE),IFERROR(VLOOKUP(B576&amp;"",'📦 Productos'!A:C,3,FALSE),IFERROR(VLOOKUP(VALUE(B576),'📦 Productos'!A:C,3,FALSE),""))),"")</f>
      </c>
      <c r="D576" s="7" t="s">
        <v>975</v>
      </c>
      <c r="E576" s="8" t="s">
        <v>26</v>
      </c>
      <c r="F576" s="12">
        <v>0</v>
      </c>
      <c r="G576" s="25">
        <v>33300</v>
      </c>
      <c r="H576" s="26"/>
      <c r="I576" s="14">
        <f>IF(AND(G576&gt;0,H576&gt;0),ROUND((1-H576/G576)*100,0),0)</f>
        <v>0</v>
      </c>
      <c r="J576" s="34" t="s">
        <v>28</v>
      </c>
      <c r="K576" s="12" t="s">
        <v>1888</v>
      </c>
      <c r="L576" s="8" t="s">
        <v>26</v>
      </c>
    </row>
    <row r="577" ht="20" customHeight="1" spans="1:12" x14ac:dyDescent="0.25">
      <c r="A577" s="28" t="s">
        <v>2773</v>
      </c>
      <c r="B577" s="28" t="s">
        <v>977</v>
      </c>
      <c r="C577" s="24">
        <f>IF(B577&lt;&gt;"",IFERROR(VLOOKUP(B577,'📦 Productos'!A:C,3,FALSE),IFERROR(VLOOKUP(B577&amp;"",'📦 Productos'!A:C,3,FALSE),IFERROR(VLOOKUP(VALUE(B577),'📦 Productos'!A:C,3,FALSE),""))),"")</f>
      </c>
      <c r="D577" s="28" t="s">
        <v>978</v>
      </c>
      <c r="E577" s="29" t="s">
        <v>26</v>
      </c>
      <c r="F577" s="30">
        <v>0</v>
      </c>
      <c r="G577" s="31">
        <v>63900</v>
      </c>
      <c r="H577" s="32">
        <v>54315</v>
      </c>
      <c r="I577" s="14">
        <f>IF(AND(G577&gt;0,H577&gt;0),ROUND((1-H577/G577)*100,0),0)</f>
        <v>15</v>
      </c>
      <c r="J577" s="35" t="s">
        <v>28</v>
      </c>
      <c r="K577" s="30" t="s">
        <v>1888</v>
      </c>
      <c r="L577" s="29" t="s">
        <v>26</v>
      </c>
    </row>
    <row r="578" ht="20" customHeight="1" spans="1:12" x14ac:dyDescent="0.25">
      <c r="A578" s="7" t="s">
        <v>2774</v>
      </c>
      <c r="B578" s="7" t="s">
        <v>981</v>
      </c>
      <c r="C578" s="24">
        <f>IF(B578&lt;&gt;"",IFERROR(VLOOKUP(B578,'📦 Productos'!A:C,3,FALSE),IFERROR(VLOOKUP(B578&amp;"",'📦 Productos'!A:C,3,FALSE),IFERROR(VLOOKUP(VALUE(B578),'📦 Productos'!A:C,3,FALSE),""))),"")</f>
      </c>
      <c r="D578" s="7" t="s">
        <v>982</v>
      </c>
      <c r="E578" s="8" t="s">
        <v>26</v>
      </c>
      <c r="F578" s="12">
        <v>0</v>
      </c>
      <c r="G578" s="25">
        <v>63900</v>
      </c>
      <c r="H578" s="26"/>
      <c r="I578" s="14">
        <f>IF(AND(G578&gt;0,H578&gt;0),ROUND((1-H578/G578)*100,0),0)</f>
        <v>0</v>
      </c>
      <c r="J578" s="34" t="s">
        <v>28</v>
      </c>
      <c r="K578" s="12" t="s">
        <v>1888</v>
      </c>
      <c r="L578" s="8" t="s">
        <v>26</v>
      </c>
    </row>
    <row r="579" ht="20" customHeight="1" spans="1:12" x14ac:dyDescent="0.25">
      <c r="A579" s="28" t="s">
        <v>2775</v>
      </c>
      <c r="B579" s="28" t="s">
        <v>984</v>
      </c>
      <c r="C579" s="24">
        <f>IF(B579&lt;&gt;"",IFERROR(VLOOKUP(B579,'📦 Productos'!A:C,3,FALSE),IFERROR(VLOOKUP(B579&amp;"",'📦 Productos'!A:C,3,FALSE),IFERROR(VLOOKUP(VALUE(B579),'📦 Productos'!A:C,3,FALSE),""))),"")</f>
      </c>
      <c r="D579" s="28" t="s">
        <v>985</v>
      </c>
      <c r="E579" s="29" t="s">
        <v>26</v>
      </c>
      <c r="F579" s="30">
        <v>0</v>
      </c>
      <c r="G579" s="31">
        <v>63900</v>
      </c>
      <c r="H579" s="32"/>
      <c r="I579" s="14">
        <f>IF(AND(G579&gt;0,H579&gt;0),ROUND((1-H579/G579)*100,0),0)</f>
        <v>0</v>
      </c>
      <c r="J579" s="35" t="s">
        <v>28</v>
      </c>
      <c r="K579" s="30" t="s">
        <v>1888</v>
      </c>
      <c r="L579" s="29" t="s">
        <v>26</v>
      </c>
    </row>
    <row r="580" ht="20" customHeight="1" spans="1:12" x14ac:dyDescent="0.25">
      <c r="A580" s="7" t="s">
        <v>2776</v>
      </c>
      <c r="B580" s="7" t="s">
        <v>987</v>
      </c>
      <c r="C580" s="24">
        <f>IF(B580&lt;&gt;"",IFERROR(VLOOKUP(B580,'📦 Productos'!A:C,3,FALSE),IFERROR(VLOOKUP(B580&amp;"",'📦 Productos'!A:C,3,FALSE),IFERROR(VLOOKUP(VALUE(B580),'📦 Productos'!A:C,3,FALSE),""))),"")</f>
      </c>
      <c r="D580" s="7" t="s">
        <v>988</v>
      </c>
      <c r="E580" s="8" t="s">
        <v>26</v>
      </c>
      <c r="F580" s="12">
        <v>0</v>
      </c>
      <c r="G580" s="25">
        <v>63900</v>
      </c>
      <c r="H580" s="26">
        <v>54315</v>
      </c>
      <c r="I580" s="14">
        <f>IF(AND(G580&gt;0,H580&gt;0),ROUND((1-H580/G580)*100,0),0)</f>
        <v>15</v>
      </c>
      <c r="J580" s="34" t="s">
        <v>28</v>
      </c>
      <c r="K580" s="12" t="s">
        <v>1888</v>
      </c>
      <c r="L580" s="8" t="s">
        <v>26</v>
      </c>
    </row>
    <row r="581" ht="20" customHeight="1" spans="1:12" x14ac:dyDescent="0.25">
      <c r="A581" s="28" t="s">
        <v>2777</v>
      </c>
      <c r="B581" s="28" t="s">
        <v>990</v>
      </c>
      <c r="C581" s="24">
        <f>IF(B581&lt;&gt;"",IFERROR(VLOOKUP(B581,'📦 Productos'!A:C,3,FALSE),IFERROR(VLOOKUP(B581&amp;"",'📦 Productos'!A:C,3,FALSE),IFERROR(VLOOKUP(VALUE(B581),'📦 Productos'!A:C,3,FALSE),""))),"")</f>
      </c>
      <c r="D581" s="28" t="s">
        <v>991</v>
      </c>
      <c r="E581" s="29" t="s">
        <v>26</v>
      </c>
      <c r="F581" s="30">
        <v>0</v>
      </c>
      <c r="G581" s="31">
        <v>37700</v>
      </c>
      <c r="H581" s="32"/>
      <c r="I581" s="14">
        <f>IF(AND(G581&gt;0,H581&gt;0),ROUND((1-H581/G581)*100,0),0)</f>
        <v>0</v>
      </c>
      <c r="J581" s="35" t="s">
        <v>28</v>
      </c>
      <c r="K581" s="30" t="s">
        <v>1888</v>
      </c>
      <c r="L581" s="29" t="s">
        <v>26</v>
      </c>
    </row>
    <row r="582" ht="20" customHeight="1" spans="1:12" x14ac:dyDescent="0.25">
      <c r="A582" s="7" t="s">
        <v>2778</v>
      </c>
      <c r="B582" s="7" t="s">
        <v>994</v>
      </c>
      <c r="C582" s="24">
        <f>IF(B582&lt;&gt;"",IFERROR(VLOOKUP(B582,'📦 Productos'!A:C,3,FALSE),IFERROR(VLOOKUP(B582&amp;"",'📦 Productos'!A:C,3,FALSE),IFERROR(VLOOKUP(VALUE(B582),'📦 Productos'!A:C,3,FALSE),""))),"")</f>
      </c>
      <c r="D582" s="7" t="s">
        <v>995</v>
      </c>
      <c r="E582" s="8" t="s">
        <v>26</v>
      </c>
      <c r="F582" s="12">
        <v>0</v>
      </c>
      <c r="G582" s="25">
        <v>37400</v>
      </c>
      <c r="H582" s="26"/>
      <c r="I582" s="14">
        <f>IF(AND(G582&gt;0,H582&gt;0),ROUND((1-H582/G582)*100,0),0)</f>
        <v>0</v>
      </c>
      <c r="J582" s="34" t="s">
        <v>28</v>
      </c>
      <c r="K582" s="12" t="s">
        <v>1888</v>
      </c>
      <c r="L582" s="8" t="s">
        <v>26</v>
      </c>
    </row>
    <row r="583" ht="20" customHeight="1" spans="1:12" x14ac:dyDescent="0.25">
      <c r="A583" s="28" t="s">
        <v>2779</v>
      </c>
      <c r="B583" s="28" t="s">
        <v>997</v>
      </c>
      <c r="C583" s="24">
        <f>IF(B583&lt;&gt;"",IFERROR(VLOOKUP(B583,'📦 Productos'!A:C,3,FALSE),IFERROR(VLOOKUP(B583&amp;"",'📦 Productos'!A:C,3,FALSE),IFERROR(VLOOKUP(VALUE(B583),'📦 Productos'!A:C,3,FALSE),""))),"")</f>
      </c>
      <c r="D583" s="28" t="s">
        <v>998</v>
      </c>
      <c r="E583" s="29" t="s">
        <v>26</v>
      </c>
      <c r="F583" s="30">
        <v>0</v>
      </c>
      <c r="G583" s="31">
        <v>48700</v>
      </c>
      <c r="H583" s="32"/>
      <c r="I583" s="14">
        <f>IF(AND(G583&gt;0,H583&gt;0),ROUND((1-H583/G583)*100,0),0)</f>
        <v>0</v>
      </c>
      <c r="J583" s="35" t="s">
        <v>28</v>
      </c>
      <c r="K583" s="30" t="s">
        <v>1888</v>
      </c>
      <c r="L583" s="29" t="s">
        <v>26</v>
      </c>
    </row>
    <row r="584" ht="20" customHeight="1" spans="1:12" x14ac:dyDescent="0.25">
      <c r="A584" s="7" t="s">
        <v>2780</v>
      </c>
      <c r="B584" s="7" t="s">
        <v>1000</v>
      </c>
      <c r="C584" s="24">
        <f>IF(B584&lt;&gt;"",IFERROR(VLOOKUP(B584,'📦 Productos'!A:C,3,FALSE),IFERROR(VLOOKUP(B584&amp;"",'📦 Productos'!A:C,3,FALSE),IFERROR(VLOOKUP(VALUE(B584),'📦 Productos'!A:C,3,FALSE),""))),"")</f>
      </c>
      <c r="D584" s="7" t="s">
        <v>1001</v>
      </c>
      <c r="E584" s="8" t="s">
        <v>26</v>
      </c>
      <c r="F584" s="12">
        <v>0</v>
      </c>
      <c r="G584" s="25">
        <v>37700</v>
      </c>
      <c r="H584" s="26"/>
      <c r="I584" s="14">
        <f>IF(AND(G584&gt;0,H584&gt;0),ROUND((1-H584/G584)*100,0),0)</f>
        <v>0</v>
      </c>
      <c r="J584" s="34" t="s">
        <v>28</v>
      </c>
      <c r="K584" s="12" t="s">
        <v>1888</v>
      </c>
      <c r="L584" s="8" t="s">
        <v>26</v>
      </c>
    </row>
    <row r="585" ht="20" customHeight="1" spans="1:12" x14ac:dyDescent="0.25">
      <c r="A585" s="28" t="s">
        <v>2781</v>
      </c>
      <c r="B585" s="28" t="s">
        <v>1003</v>
      </c>
      <c r="C585" s="24">
        <f>IF(B585&lt;&gt;"",IFERROR(VLOOKUP(B585,'📦 Productos'!A:C,3,FALSE),IFERROR(VLOOKUP(B585&amp;"",'📦 Productos'!A:C,3,FALSE),IFERROR(VLOOKUP(VALUE(B585),'📦 Productos'!A:C,3,FALSE),""))),"")</f>
      </c>
      <c r="D585" s="28" t="s">
        <v>1004</v>
      </c>
      <c r="E585" s="29" t="s">
        <v>26</v>
      </c>
      <c r="F585" s="30">
        <v>0</v>
      </c>
      <c r="G585" s="31">
        <v>42200</v>
      </c>
      <c r="H585" s="32"/>
      <c r="I585" s="14">
        <f>IF(AND(G585&gt;0,H585&gt;0),ROUND((1-H585/G585)*100,0),0)</f>
        <v>0</v>
      </c>
      <c r="J585" s="35" t="s">
        <v>28</v>
      </c>
      <c r="K585" s="30" t="s">
        <v>1888</v>
      </c>
      <c r="L585" s="29" t="s">
        <v>26</v>
      </c>
    </row>
    <row r="586" ht="20" customHeight="1" spans="1:12" x14ac:dyDescent="0.25">
      <c r="A586" s="7" t="s">
        <v>2782</v>
      </c>
      <c r="B586" s="7" t="s">
        <v>1006</v>
      </c>
      <c r="C586" s="24">
        <f>IF(B586&lt;&gt;"",IFERROR(VLOOKUP(B586,'📦 Productos'!A:C,3,FALSE),IFERROR(VLOOKUP(B586&amp;"",'📦 Productos'!A:C,3,FALSE),IFERROR(VLOOKUP(VALUE(B586),'📦 Productos'!A:C,3,FALSE),""))),"")</f>
      </c>
      <c r="D586" s="7" t="s">
        <v>1007</v>
      </c>
      <c r="E586" s="8" t="s">
        <v>26</v>
      </c>
      <c r="F586" s="12">
        <v>0</v>
      </c>
      <c r="G586" s="25">
        <v>45000</v>
      </c>
      <c r="H586" s="26"/>
      <c r="I586" s="14">
        <f>IF(AND(G586&gt;0,H586&gt;0),ROUND((1-H586/G586)*100,0),0)</f>
        <v>0</v>
      </c>
      <c r="J586" s="34" t="s">
        <v>28</v>
      </c>
      <c r="K586" s="12" t="s">
        <v>1888</v>
      </c>
      <c r="L586" s="8" t="s">
        <v>26</v>
      </c>
    </row>
    <row r="587" ht="20" customHeight="1" spans="1:12" x14ac:dyDescent="0.25">
      <c r="A587" s="28" t="s">
        <v>2783</v>
      </c>
      <c r="B587" s="28" t="s">
        <v>1009</v>
      </c>
      <c r="C587" s="24">
        <f>IF(B587&lt;&gt;"",IFERROR(VLOOKUP(B587,'📦 Productos'!A:C,3,FALSE),IFERROR(VLOOKUP(B587&amp;"",'📦 Productos'!A:C,3,FALSE),IFERROR(VLOOKUP(VALUE(B587),'📦 Productos'!A:C,3,FALSE),""))),"")</f>
      </c>
      <c r="D587" s="28" t="s">
        <v>1010</v>
      </c>
      <c r="E587" s="29" t="s">
        <v>26</v>
      </c>
      <c r="F587" s="30">
        <v>0</v>
      </c>
      <c r="G587" s="31">
        <v>32000</v>
      </c>
      <c r="H587" s="32"/>
      <c r="I587" s="14">
        <f>IF(AND(G587&gt;0,H587&gt;0),ROUND((1-H587/G587)*100,0),0)</f>
        <v>0</v>
      </c>
      <c r="J587" s="35" t="s">
        <v>28</v>
      </c>
      <c r="K587" s="30" t="s">
        <v>1888</v>
      </c>
      <c r="L587" s="29" t="s">
        <v>26</v>
      </c>
    </row>
    <row r="588" ht="20" customHeight="1" spans="1:12" x14ac:dyDescent="0.25">
      <c r="A588" s="7" t="s">
        <v>2784</v>
      </c>
      <c r="B588" s="7" t="s">
        <v>1012</v>
      </c>
      <c r="C588" s="24">
        <f>IF(B588&lt;&gt;"",IFERROR(VLOOKUP(B588,'📦 Productos'!A:C,3,FALSE),IFERROR(VLOOKUP(B588&amp;"",'📦 Productos'!A:C,3,FALSE),IFERROR(VLOOKUP(VALUE(B588),'📦 Productos'!A:C,3,FALSE),""))),"")</f>
      </c>
      <c r="D588" s="7" t="s">
        <v>1013</v>
      </c>
      <c r="E588" s="8" t="s">
        <v>26</v>
      </c>
      <c r="F588" s="12">
        <v>0</v>
      </c>
      <c r="G588" s="25">
        <v>42200</v>
      </c>
      <c r="H588" s="26"/>
      <c r="I588" s="14">
        <f>IF(AND(G588&gt;0,H588&gt;0),ROUND((1-H588/G588)*100,0),0)</f>
        <v>0</v>
      </c>
      <c r="J588" s="34" t="s">
        <v>28</v>
      </c>
      <c r="K588" s="12" t="s">
        <v>1888</v>
      </c>
      <c r="L588" s="8" t="s">
        <v>26</v>
      </c>
    </row>
    <row r="589" ht="20" customHeight="1" spans="1:12" x14ac:dyDescent="0.25">
      <c r="A589" s="28" t="s">
        <v>2785</v>
      </c>
      <c r="B589" s="28" t="s">
        <v>1015</v>
      </c>
      <c r="C589" s="24">
        <f>IF(B589&lt;&gt;"",IFERROR(VLOOKUP(B589,'📦 Productos'!A:C,3,FALSE),IFERROR(VLOOKUP(B589&amp;"",'📦 Productos'!A:C,3,FALSE),IFERROR(VLOOKUP(VALUE(B589),'📦 Productos'!A:C,3,FALSE),""))),"")</f>
      </c>
      <c r="D589" s="28" t="s">
        <v>1016</v>
      </c>
      <c r="E589" s="29" t="s">
        <v>26</v>
      </c>
      <c r="F589" s="30">
        <v>0</v>
      </c>
      <c r="G589" s="31">
        <v>51000</v>
      </c>
      <c r="H589" s="32"/>
      <c r="I589" s="14">
        <f>IF(AND(G589&gt;0,H589&gt;0),ROUND((1-H589/G589)*100,0),0)</f>
        <v>0</v>
      </c>
      <c r="J589" s="35" t="s">
        <v>28</v>
      </c>
      <c r="K589" s="30" t="s">
        <v>1888</v>
      </c>
      <c r="L589" s="29" t="s">
        <v>26</v>
      </c>
    </row>
    <row r="590" ht="20" customHeight="1" spans="1:12" x14ac:dyDescent="0.25">
      <c r="A590" s="7" t="s">
        <v>2786</v>
      </c>
      <c r="B590" s="7" t="s">
        <v>1018</v>
      </c>
      <c r="C590" s="24">
        <f>IF(B590&lt;&gt;"",IFERROR(VLOOKUP(B590,'📦 Productos'!A:C,3,FALSE),IFERROR(VLOOKUP(B590&amp;"",'📦 Productos'!A:C,3,FALSE),IFERROR(VLOOKUP(VALUE(B590),'📦 Productos'!A:C,3,FALSE),""))),"")</f>
      </c>
      <c r="D590" s="7" t="s">
        <v>1019</v>
      </c>
      <c r="E590" s="8" t="s">
        <v>26</v>
      </c>
      <c r="F590" s="12">
        <v>0</v>
      </c>
      <c r="G590" s="25">
        <v>39900</v>
      </c>
      <c r="H590" s="26"/>
      <c r="I590" s="14">
        <f>IF(AND(G590&gt;0,H590&gt;0),ROUND((1-H590/G590)*100,0),0)</f>
        <v>0</v>
      </c>
      <c r="J590" s="34" t="s">
        <v>28</v>
      </c>
      <c r="K590" s="12" t="s">
        <v>1888</v>
      </c>
      <c r="L590" s="8" t="s">
        <v>26</v>
      </c>
    </row>
    <row r="591" ht="20" customHeight="1" spans="1:12" x14ac:dyDescent="0.25">
      <c r="A591" s="28" t="s">
        <v>2787</v>
      </c>
      <c r="B591" s="28" t="s">
        <v>1021</v>
      </c>
      <c r="C591" s="24">
        <f>IF(B591&lt;&gt;"",IFERROR(VLOOKUP(B591,'📦 Productos'!A:C,3,FALSE),IFERROR(VLOOKUP(B591&amp;"",'📦 Productos'!A:C,3,FALSE),IFERROR(VLOOKUP(VALUE(B591),'📦 Productos'!A:C,3,FALSE),""))),"")</f>
      </c>
      <c r="D591" s="28" t="s">
        <v>1022</v>
      </c>
      <c r="E591" s="29" t="s">
        <v>26</v>
      </c>
      <c r="F591" s="30">
        <v>0</v>
      </c>
      <c r="G591" s="31">
        <v>47400</v>
      </c>
      <c r="H591" s="32">
        <v>37920</v>
      </c>
      <c r="I591" s="14">
        <f>IF(AND(G591&gt;0,H591&gt;0),ROUND((1-H591/G591)*100,0),0)</f>
        <v>20</v>
      </c>
      <c r="J591" s="35" t="s">
        <v>28</v>
      </c>
      <c r="K591" s="30" t="s">
        <v>1888</v>
      </c>
      <c r="L591" s="29" t="s">
        <v>26</v>
      </c>
    </row>
    <row r="592" ht="20" customHeight="1" spans="1:12" x14ac:dyDescent="0.25">
      <c r="A592" s="7" t="s">
        <v>2788</v>
      </c>
      <c r="B592" s="7" t="s">
        <v>1024</v>
      </c>
      <c r="C592" s="24">
        <f>IF(B592&lt;&gt;"",IFERROR(VLOOKUP(B592,'📦 Productos'!A:C,3,FALSE),IFERROR(VLOOKUP(B592&amp;"",'📦 Productos'!A:C,3,FALSE),IFERROR(VLOOKUP(VALUE(B592),'📦 Productos'!A:C,3,FALSE),""))),"")</f>
      </c>
      <c r="D592" s="7" t="s">
        <v>1025</v>
      </c>
      <c r="E592" s="8" t="s">
        <v>26</v>
      </c>
      <c r="F592" s="12">
        <v>0</v>
      </c>
      <c r="G592" s="25">
        <v>36300</v>
      </c>
      <c r="H592" s="26"/>
      <c r="I592" s="14">
        <f>IF(AND(G592&gt;0,H592&gt;0),ROUND((1-H592/G592)*100,0),0)</f>
        <v>0</v>
      </c>
      <c r="J592" s="34" t="s">
        <v>28</v>
      </c>
      <c r="K592" s="12" t="s">
        <v>1888</v>
      </c>
      <c r="L592" s="8" t="s">
        <v>26</v>
      </c>
    </row>
    <row r="593" ht="20" customHeight="1" spans="1:12" x14ac:dyDescent="0.25">
      <c r="A593" s="28" t="s">
        <v>2789</v>
      </c>
      <c r="B593" s="28" t="s">
        <v>1027</v>
      </c>
      <c r="C593" s="24">
        <f>IF(B593&lt;&gt;"",IFERROR(VLOOKUP(B593,'📦 Productos'!A:C,3,FALSE),IFERROR(VLOOKUP(B593&amp;"",'📦 Productos'!A:C,3,FALSE),IFERROR(VLOOKUP(VALUE(B593),'📦 Productos'!A:C,3,FALSE),""))),"")</f>
      </c>
      <c r="D593" s="28" t="s">
        <v>1028</v>
      </c>
      <c r="E593" s="29" t="s">
        <v>26</v>
      </c>
      <c r="F593" s="30">
        <v>0</v>
      </c>
      <c r="G593" s="31">
        <v>39100</v>
      </c>
      <c r="H593" s="32"/>
      <c r="I593" s="14">
        <f>IF(AND(G593&gt;0,H593&gt;0),ROUND((1-H593/G593)*100,0),0)</f>
        <v>0</v>
      </c>
      <c r="J593" s="35" t="s">
        <v>28</v>
      </c>
      <c r="K593" s="30" t="s">
        <v>1888</v>
      </c>
      <c r="L593" s="29" t="s">
        <v>26</v>
      </c>
    </row>
    <row r="594" ht="20" customHeight="1" spans="1:12" x14ac:dyDescent="0.25">
      <c r="A594" s="7" t="s">
        <v>2790</v>
      </c>
      <c r="B594" s="7" t="s">
        <v>1030</v>
      </c>
      <c r="C594" s="24">
        <f>IF(B594&lt;&gt;"",IFERROR(VLOOKUP(B594,'📦 Productos'!A:C,3,FALSE),IFERROR(VLOOKUP(B594&amp;"",'📦 Productos'!A:C,3,FALSE),IFERROR(VLOOKUP(VALUE(B594),'📦 Productos'!A:C,3,FALSE),""))),"")</f>
      </c>
      <c r="D594" s="7" t="s">
        <v>1031</v>
      </c>
      <c r="E594" s="8" t="s">
        <v>26</v>
      </c>
      <c r="F594" s="12">
        <v>0</v>
      </c>
      <c r="G594" s="25">
        <v>36300</v>
      </c>
      <c r="H594" s="26"/>
      <c r="I594" s="14">
        <f>IF(AND(G594&gt;0,H594&gt;0),ROUND((1-H594/G594)*100,0),0)</f>
        <v>0</v>
      </c>
      <c r="J594" s="34" t="s">
        <v>28</v>
      </c>
      <c r="K594" s="12" t="s">
        <v>1888</v>
      </c>
      <c r="L594" s="8" t="s">
        <v>26</v>
      </c>
    </row>
    <row r="595" ht="20" customHeight="1" spans="1:12" x14ac:dyDescent="0.25">
      <c r="A595" s="28" t="s">
        <v>2791</v>
      </c>
      <c r="B595" s="28" t="s">
        <v>1033</v>
      </c>
      <c r="C595" s="24">
        <f>IF(B595&lt;&gt;"",IFERROR(VLOOKUP(B595,'📦 Productos'!A:C,3,FALSE),IFERROR(VLOOKUP(B595&amp;"",'📦 Productos'!A:C,3,FALSE),IFERROR(VLOOKUP(VALUE(B595),'📦 Productos'!A:C,3,FALSE),""))),"")</f>
      </c>
      <c r="D595" s="28" t="s">
        <v>1034</v>
      </c>
      <c r="E595" s="29" t="s">
        <v>26</v>
      </c>
      <c r="F595" s="30">
        <v>0</v>
      </c>
      <c r="G595" s="31">
        <v>47400</v>
      </c>
      <c r="H595" s="32"/>
      <c r="I595" s="14">
        <f>IF(AND(G595&gt;0,H595&gt;0),ROUND((1-H595/G595)*100,0),0)</f>
        <v>0</v>
      </c>
      <c r="J595" s="35" t="s">
        <v>28</v>
      </c>
      <c r="K595" s="30" t="s">
        <v>1888</v>
      </c>
      <c r="L595" s="29" t="s">
        <v>26</v>
      </c>
    </row>
    <row r="596" ht="20" customHeight="1" spans="1:12" x14ac:dyDescent="0.25">
      <c r="A596" s="7" t="s">
        <v>2792</v>
      </c>
      <c r="B596" s="7" t="s">
        <v>1036</v>
      </c>
      <c r="C596" s="24">
        <f>IF(B596&lt;&gt;"",IFERROR(VLOOKUP(B596,'📦 Productos'!A:C,3,FALSE),IFERROR(VLOOKUP(B596&amp;"",'📦 Productos'!A:C,3,FALSE),IFERROR(VLOOKUP(VALUE(B596),'📦 Productos'!A:C,3,FALSE),""))),"")</f>
      </c>
      <c r="D596" s="7" t="s">
        <v>1037</v>
      </c>
      <c r="E596" s="8" t="s">
        <v>26</v>
      </c>
      <c r="F596" s="12">
        <v>0</v>
      </c>
      <c r="G596" s="25">
        <v>43900</v>
      </c>
      <c r="H596" s="26"/>
      <c r="I596" s="14">
        <f>IF(AND(G596&gt;0,H596&gt;0),ROUND((1-H596/G596)*100,0),0)</f>
        <v>0</v>
      </c>
      <c r="J596" s="34" t="s">
        <v>28</v>
      </c>
      <c r="K596" s="12" t="s">
        <v>1888</v>
      </c>
      <c r="L596" s="8" t="s">
        <v>26</v>
      </c>
    </row>
    <row r="597" ht="20" customHeight="1" spans="1:12" x14ac:dyDescent="0.25">
      <c r="A597" s="28" t="s">
        <v>2793</v>
      </c>
      <c r="B597" s="28" t="s">
        <v>1039</v>
      </c>
      <c r="C597" s="24">
        <f>IF(B597&lt;&gt;"",IFERROR(VLOOKUP(B597,'📦 Productos'!A:C,3,FALSE),IFERROR(VLOOKUP(B597&amp;"",'📦 Productos'!A:C,3,FALSE),IFERROR(VLOOKUP(VALUE(B597),'📦 Productos'!A:C,3,FALSE),""))),"")</f>
      </c>
      <c r="D597" s="28" t="s">
        <v>1040</v>
      </c>
      <c r="E597" s="29" t="s">
        <v>26</v>
      </c>
      <c r="F597" s="30">
        <v>0</v>
      </c>
      <c r="G597" s="31">
        <v>36300</v>
      </c>
      <c r="H597" s="32"/>
      <c r="I597" s="14">
        <f>IF(AND(G597&gt;0,H597&gt;0),ROUND((1-H597/G597)*100,0),0)</f>
        <v>0</v>
      </c>
      <c r="J597" s="35" t="s">
        <v>28</v>
      </c>
      <c r="K597" s="30" t="s">
        <v>1888</v>
      </c>
      <c r="L597" s="29" t="s">
        <v>26</v>
      </c>
    </row>
    <row r="598" ht="20" customHeight="1" spans="1:12" x14ac:dyDescent="0.25">
      <c r="A598" s="7" t="s">
        <v>2794</v>
      </c>
      <c r="B598" s="7" t="s">
        <v>1042</v>
      </c>
      <c r="C598" s="24">
        <f>IF(B598&lt;&gt;"",IFERROR(VLOOKUP(B598,'📦 Productos'!A:C,3,FALSE),IFERROR(VLOOKUP(B598&amp;"",'📦 Productos'!A:C,3,FALSE),IFERROR(VLOOKUP(VALUE(B598),'📦 Productos'!A:C,3,FALSE),""))),"")</f>
      </c>
      <c r="D598" s="7" t="s">
        <v>1043</v>
      </c>
      <c r="E598" s="8" t="s">
        <v>26</v>
      </c>
      <c r="F598" s="12">
        <v>0</v>
      </c>
      <c r="G598" s="25">
        <v>47400</v>
      </c>
      <c r="H598" s="26"/>
      <c r="I598" s="14">
        <f>IF(AND(G598&gt;0,H598&gt;0),ROUND((1-H598/G598)*100,0),0)</f>
        <v>0</v>
      </c>
      <c r="J598" s="34" t="s">
        <v>28</v>
      </c>
      <c r="K598" s="12" t="s">
        <v>1888</v>
      </c>
      <c r="L598" s="8" t="s">
        <v>26</v>
      </c>
    </row>
    <row r="599" ht="20" customHeight="1" spans="1:12" x14ac:dyDescent="0.25">
      <c r="A599" s="28" t="s">
        <v>2795</v>
      </c>
      <c r="B599" s="28" t="s">
        <v>1045</v>
      </c>
      <c r="C599" s="24">
        <f>IF(B599&lt;&gt;"",IFERROR(VLOOKUP(B599,'📦 Productos'!A:C,3,FALSE),IFERROR(VLOOKUP(B599&amp;"",'📦 Productos'!A:C,3,FALSE),IFERROR(VLOOKUP(VALUE(B599),'📦 Productos'!A:C,3,FALSE),""))),"")</f>
      </c>
      <c r="D599" s="28" t="s">
        <v>1046</v>
      </c>
      <c r="E599" s="29" t="s">
        <v>26</v>
      </c>
      <c r="F599" s="30">
        <v>0</v>
      </c>
      <c r="G599" s="31">
        <v>43900</v>
      </c>
      <c r="H599" s="32"/>
      <c r="I599" s="14">
        <f>IF(AND(G599&gt;0,H599&gt;0),ROUND((1-H599/G599)*100,0),0)</f>
        <v>0</v>
      </c>
      <c r="J599" s="35" t="s">
        <v>28</v>
      </c>
      <c r="K599" s="30" t="s">
        <v>1888</v>
      </c>
      <c r="L599" s="29" t="s">
        <v>26</v>
      </c>
    </row>
    <row r="600" ht="20" customHeight="1" spans="1:12" x14ac:dyDescent="0.25">
      <c r="A600" s="7" t="s">
        <v>2796</v>
      </c>
      <c r="B600" s="7" t="s">
        <v>1048</v>
      </c>
      <c r="C600" s="24">
        <f>IF(B600&lt;&gt;"",IFERROR(VLOOKUP(B600,'📦 Productos'!A:C,3,FALSE),IFERROR(VLOOKUP(B600&amp;"",'📦 Productos'!A:C,3,FALSE),IFERROR(VLOOKUP(VALUE(B600),'📦 Productos'!A:C,3,FALSE),""))),"")</f>
      </c>
      <c r="D600" s="7" t="s">
        <v>1049</v>
      </c>
      <c r="E600" s="8" t="s">
        <v>26</v>
      </c>
      <c r="F600" s="12">
        <v>0</v>
      </c>
      <c r="G600" s="25">
        <v>33200</v>
      </c>
      <c r="H600" s="26"/>
      <c r="I600" s="14">
        <f>IF(AND(G600&gt;0,H600&gt;0),ROUND((1-H600/G600)*100,0),0)</f>
        <v>0</v>
      </c>
      <c r="J600" s="34" t="s">
        <v>28</v>
      </c>
      <c r="K600" s="12" t="s">
        <v>1888</v>
      </c>
      <c r="L600" s="8" t="s">
        <v>26</v>
      </c>
    </row>
    <row r="601" ht="20" customHeight="1" spans="1:12" x14ac:dyDescent="0.25">
      <c r="A601" s="28" t="s">
        <v>2797</v>
      </c>
      <c r="B601" s="28" t="s">
        <v>1051</v>
      </c>
      <c r="C601" s="24">
        <f>IF(B601&lt;&gt;"",IFERROR(VLOOKUP(B601,'📦 Productos'!A:C,3,FALSE),IFERROR(VLOOKUP(B601&amp;"",'📦 Productos'!A:C,3,FALSE),IFERROR(VLOOKUP(VALUE(B601),'📦 Productos'!A:C,3,FALSE),""))),"")</f>
      </c>
      <c r="D601" s="28" t="s">
        <v>1052</v>
      </c>
      <c r="E601" s="29" t="s">
        <v>26</v>
      </c>
      <c r="F601" s="30">
        <v>0</v>
      </c>
      <c r="G601" s="31">
        <v>40800</v>
      </c>
      <c r="H601" s="32"/>
      <c r="I601" s="14">
        <f>IF(AND(G601&gt;0,H601&gt;0),ROUND((1-H601/G601)*100,0),0)</f>
        <v>0</v>
      </c>
      <c r="J601" s="35" t="s">
        <v>28</v>
      </c>
      <c r="K601" s="30" t="s">
        <v>1888</v>
      </c>
      <c r="L601" s="29" t="s">
        <v>26</v>
      </c>
    </row>
    <row r="602" ht="20" customHeight="1" spans="1:12" x14ac:dyDescent="0.25">
      <c r="A602" s="7" t="s">
        <v>2798</v>
      </c>
      <c r="B602" s="7" t="s">
        <v>1054</v>
      </c>
      <c r="C602" s="24">
        <f>IF(B602&lt;&gt;"",IFERROR(VLOOKUP(B602,'📦 Productos'!A:C,3,FALSE),IFERROR(VLOOKUP(B602&amp;"",'📦 Productos'!A:C,3,FALSE),IFERROR(VLOOKUP(VALUE(B602),'📦 Productos'!A:C,3,FALSE),""))),"")</f>
      </c>
      <c r="D602" s="7" t="s">
        <v>1055</v>
      </c>
      <c r="E602" s="8" t="s">
        <v>26</v>
      </c>
      <c r="F602" s="12">
        <v>0</v>
      </c>
      <c r="G602" s="25">
        <v>33200</v>
      </c>
      <c r="H602" s="26"/>
      <c r="I602" s="14">
        <f>IF(AND(G602&gt;0,H602&gt;0),ROUND((1-H602/G602)*100,0),0)</f>
        <v>0</v>
      </c>
      <c r="J602" s="34" t="s">
        <v>28</v>
      </c>
      <c r="K602" s="12" t="s">
        <v>1888</v>
      </c>
      <c r="L602" s="8" t="s">
        <v>26</v>
      </c>
    </row>
    <row r="603" ht="20" customHeight="1" spans="1:12" x14ac:dyDescent="0.25">
      <c r="A603" s="28" t="s">
        <v>2799</v>
      </c>
      <c r="B603" s="28" t="s">
        <v>1057</v>
      </c>
      <c r="C603" s="24">
        <f>IF(B603&lt;&gt;"",IFERROR(VLOOKUP(B603,'📦 Productos'!A:C,3,FALSE),IFERROR(VLOOKUP(B603&amp;"",'📦 Productos'!A:C,3,FALSE),IFERROR(VLOOKUP(VALUE(B603),'📦 Productos'!A:C,3,FALSE),""))),"")</f>
      </c>
      <c r="D603" s="28" t="s">
        <v>1058</v>
      </c>
      <c r="E603" s="29" t="s">
        <v>26</v>
      </c>
      <c r="F603" s="30">
        <v>0</v>
      </c>
      <c r="G603" s="31">
        <v>37400</v>
      </c>
      <c r="H603" s="32"/>
      <c r="I603" s="14">
        <f>IF(AND(G603&gt;0,H603&gt;0),ROUND((1-H603/G603)*100,0),0)</f>
        <v>0</v>
      </c>
      <c r="J603" s="35" t="s">
        <v>28</v>
      </c>
      <c r="K603" s="30" t="s">
        <v>1888</v>
      </c>
      <c r="L603" s="29" t="s">
        <v>26</v>
      </c>
    </row>
    <row r="604" ht="20" customHeight="1" spans="1:12" x14ac:dyDescent="0.25">
      <c r="A604" s="7" t="s">
        <v>2800</v>
      </c>
      <c r="B604" s="7" t="s">
        <v>1060</v>
      </c>
      <c r="C604" s="24">
        <f>IF(B604&lt;&gt;"",IFERROR(VLOOKUP(B604,'📦 Productos'!A:C,3,FALSE),IFERROR(VLOOKUP(B604&amp;"",'📦 Productos'!A:C,3,FALSE),IFERROR(VLOOKUP(VALUE(B604),'📦 Productos'!A:C,3,FALSE),""))),"")</f>
      </c>
      <c r="D604" s="7" t="s">
        <v>1061</v>
      </c>
      <c r="E604" s="8" t="s">
        <v>26</v>
      </c>
      <c r="F604" s="12">
        <v>0</v>
      </c>
      <c r="G604" s="25">
        <v>48700</v>
      </c>
      <c r="H604" s="26"/>
      <c r="I604" s="14">
        <f>IF(AND(G604&gt;0,H604&gt;0),ROUND((1-H604/G604)*100,0),0)</f>
        <v>0</v>
      </c>
      <c r="J604" s="34" t="s">
        <v>28</v>
      </c>
      <c r="K604" s="12" t="s">
        <v>1888</v>
      </c>
      <c r="L604" s="8" t="s">
        <v>26</v>
      </c>
    </row>
    <row r="605" ht="20" customHeight="1" spans="1:12" x14ac:dyDescent="0.25">
      <c r="A605" s="28" t="s">
        <v>2801</v>
      </c>
      <c r="B605" s="28" t="s">
        <v>1063</v>
      </c>
      <c r="C605" s="24">
        <f>IF(B605&lt;&gt;"",IFERROR(VLOOKUP(B605,'📦 Productos'!A:C,3,FALSE),IFERROR(VLOOKUP(B605&amp;"",'📦 Productos'!A:C,3,FALSE),IFERROR(VLOOKUP(VALUE(B605),'📦 Productos'!A:C,3,FALSE),""))),"")</f>
      </c>
      <c r="D605" s="28" t="s">
        <v>1064</v>
      </c>
      <c r="E605" s="29" t="s">
        <v>26</v>
      </c>
      <c r="F605" s="30">
        <v>0</v>
      </c>
      <c r="G605" s="31">
        <v>37900</v>
      </c>
      <c r="H605" s="32"/>
      <c r="I605" s="14">
        <f>IF(AND(G605&gt;0,H605&gt;0),ROUND((1-H605/G605)*100,0),0)</f>
        <v>0</v>
      </c>
      <c r="J605" s="35" t="s">
        <v>28</v>
      </c>
      <c r="K605" s="30" t="s">
        <v>1888</v>
      </c>
      <c r="L605" s="29" t="s">
        <v>26</v>
      </c>
    </row>
    <row r="606" ht="20" customHeight="1" spans="1:12" x14ac:dyDescent="0.25">
      <c r="A606" s="7" t="s">
        <v>2802</v>
      </c>
      <c r="B606" s="7" t="s">
        <v>1066</v>
      </c>
      <c r="C606" s="24">
        <f>IF(B606&lt;&gt;"",IFERROR(VLOOKUP(B606,'📦 Productos'!A:C,3,FALSE),IFERROR(VLOOKUP(B606&amp;"",'📦 Productos'!A:C,3,FALSE),IFERROR(VLOOKUP(VALUE(B606),'📦 Productos'!A:C,3,FALSE),""))),"")</f>
      </c>
      <c r="D606" s="7" t="s">
        <v>1067</v>
      </c>
      <c r="E606" s="8" t="s">
        <v>26</v>
      </c>
      <c r="F606" s="12">
        <v>0</v>
      </c>
      <c r="G606" s="25">
        <v>37400</v>
      </c>
      <c r="H606" s="26"/>
      <c r="I606" s="14">
        <f>IF(AND(G606&gt;0,H606&gt;0),ROUND((1-H606/G606)*100,0),0)</f>
        <v>0</v>
      </c>
      <c r="J606" s="34" t="s">
        <v>28</v>
      </c>
      <c r="K606" s="12" t="s">
        <v>1888</v>
      </c>
      <c r="L606" s="8" t="s">
        <v>26</v>
      </c>
    </row>
    <row r="607" ht="20" customHeight="1" spans="1:12" x14ac:dyDescent="0.25">
      <c r="A607" s="28" t="s">
        <v>2803</v>
      </c>
      <c r="B607" s="28" t="s">
        <v>1069</v>
      </c>
      <c r="C607" s="24">
        <f>IF(B607&lt;&gt;"",IFERROR(VLOOKUP(B607,'📦 Productos'!A:C,3,FALSE),IFERROR(VLOOKUP(B607&amp;"",'📦 Productos'!A:C,3,FALSE),IFERROR(VLOOKUP(VALUE(B607),'📦 Productos'!A:C,3,FALSE),""))),"")</f>
      </c>
      <c r="D607" s="28" t="s">
        <v>1070</v>
      </c>
      <c r="E607" s="29" t="s">
        <v>26</v>
      </c>
      <c r="F607" s="30">
        <v>0</v>
      </c>
      <c r="G607" s="31">
        <v>48700</v>
      </c>
      <c r="H607" s="32"/>
      <c r="I607" s="14">
        <f>IF(AND(G607&gt;0,H607&gt;0),ROUND((1-H607/G607)*100,0),0)</f>
        <v>0</v>
      </c>
      <c r="J607" s="35" t="s">
        <v>28</v>
      </c>
      <c r="K607" s="30" t="s">
        <v>1888</v>
      </c>
      <c r="L607" s="29" t="s">
        <v>26</v>
      </c>
    </row>
    <row r="608" ht="20" customHeight="1" spans="1:12" x14ac:dyDescent="0.25">
      <c r="A608" s="7" t="s">
        <v>2804</v>
      </c>
      <c r="B608" s="7" t="s">
        <v>1072</v>
      </c>
      <c r="C608" s="24">
        <f>IF(B608&lt;&gt;"",IFERROR(VLOOKUP(B608,'📦 Productos'!A:C,3,FALSE),IFERROR(VLOOKUP(B608&amp;"",'📦 Productos'!A:C,3,FALSE),IFERROR(VLOOKUP(VALUE(B608),'📦 Productos'!A:C,3,FALSE),""))),"")</f>
      </c>
      <c r="D608" s="7" t="s">
        <v>1073</v>
      </c>
      <c r="E608" s="8" t="s">
        <v>26</v>
      </c>
      <c r="F608" s="12">
        <v>0</v>
      </c>
      <c r="G608" s="25">
        <v>53000</v>
      </c>
      <c r="H608" s="26"/>
      <c r="I608" s="14">
        <f>IF(AND(G608&gt;0,H608&gt;0),ROUND((1-H608/G608)*100,0),0)</f>
        <v>0</v>
      </c>
      <c r="J608" s="34" t="s">
        <v>28</v>
      </c>
      <c r="K608" s="12" t="s">
        <v>1888</v>
      </c>
      <c r="L608" s="8" t="s">
        <v>26</v>
      </c>
    </row>
    <row r="609" ht="20" customHeight="1" spans="1:12" x14ac:dyDescent="0.25">
      <c r="A609" s="28" t="s">
        <v>2805</v>
      </c>
      <c r="B609" s="28" t="s">
        <v>1075</v>
      </c>
      <c r="C609" s="24">
        <f>IF(B609&lt;&gt;"",IFERROR(VLOOKUP(B609,'📦 Productos'!A:C,3,FALSE),IFERROR(VLOOKUP(B609&amp;"",'📦 Productos'!A:C,3,FALSE),IFERROR(VLOOKUP(VALUE(B609),'📦 Productos'!A:C,3,FALSE),""))),"")</f>
      </c>
      <c r="D609" s="28" t="s">
        <v>1076</v>
      </c>
      <c r="E609" s="29" t="s">
        <v>26</v>
      </c>
      <c r="F609" s="30">
        <v>0</v>
      </c>
      <c r="G609" s="31">
        <v>4879968</v>
      </c>
      <c r="H609" s="32"/>
      <c r="I609" s="14">
        <f>IF(AND(G609&gt;0,H609&gt;0),ROUND((1-H609/G609)*100,0),0)</f>
        <v>0</v>
      </c>
      <c r="J609" s="35" t="s">
        <v>28</v>
      </c>
      <c r="K609" s="30" t="s">
        <v>1888</v>
      </c>
      <c r="L609" s="29" t="s">
        <v>26</v>
      </c>
    </row>
    <row r="610" ht="20" customHeight="1" spans="1:12" x14ac:dyDescent="0.25">
      <c r="A610" s="7" t="s">
        <v>2806</v>
      </c>
      <c r="B610" s="7" t="s">
        <v>1078</v>
      </c>
      <c r="C610" s="24">
        <f>IF(B610&lt;&gt;"",IFERROR(VLOOKUP(B610,'📦 Productos'!A:C,3,FALSE),IFERROR(VLOOKUP(B610&amp;"",'📦 Productos'!A:C,3,FALSE),IFERROR(VLOOKUP(VALUE(B610),'📦 Productos'!A:C,3,FALSE),""))),"")</f>
      </c>
      <c r="D610" s="7" t="s">
        <v>1079</v>
      </c>
      <c r="E610" s="8" t="s">
        <v>26</v>
      </c>
      <c r="F610" s="12">
        <v>0</v>
      </c>
      <c r="G610" s="25">
        <v>46600</v>
      </c>
      <c r="H610" s="26"/>
      <c r="I610" s="14">
        <f>IF(AND(G610&gt;0,H610&gt;0),ROUND((1-H610/G610)*100,0),0)</f>
        <v>0</v>
      </c>
      <c r="J610" s="34" t="s">
        <v>28</v>
      </c>
      <c r="K610" s="12" t="s">
        <v>1888</v>
      </c>
      <c r="L610" s="8" t="s">
        <v>26</v>
      </c>
    </row>
    <row r="611" ht="20" customHeight="1" spans="1:12" x14ac:dyDescent="0.25">
      <c r="A611" s="28" t="s">
        <v>2807</v>
      </c>
      <c r="B611" s="28" t="s">
        <v>1081</v>
      </c>
      <c r="C611" s="24">
        <f>IF(B611&lt;&gt;"",IFERROR(VLOOKUP(B611,'📦 Productos'!A:C,3,FALSE),IFERROR(VLOOKUP(B611&amp;"",'📦 Productos'!A:C,3,FALSE),IFERROR(VLOOKUP(VALUE(B611),'📦 Productos'!A:C,3,FALSE),""))),"")</f>
      </c>
      <c r="D611" s="28" t="s">
        <v>1082</v>
      </c>
      <c r="E611" s="29" t="s">
        <v>26</v>
      </c>
      <c r="F611" s="30">
        <v>0</v>
      </c>
      <c r="G611" s="31">
        <v>51200</v>
      </c>
      <c r="H611" s="32"/>
      <c r="I611" s="14">
        <f>IF(AND(G611&gt;0,H611&gt;0),ROUND((1-H611/G611)*100,0),0)</f>
        <v>0</v>
      </c>
      <c r="J611" s="35" t="s">
        <v>28</v>
      </c>
      <c r="K611" s="30" t="s">
        <v>1888</v>
      </c>
      <c r="L611" s="29" t="s">
        <v>26</v>
      </c>
    </row>
    <row r="612" ht="20" customHeight="1" spans="1:12" x14ac:dyDescent="0.25">
      <c r="A612" s="7" t="s">
        <v>2808</v>
      </c>
      <c r="B612" s="7" t="s">
        <v>1084</v>
      </c>
      <c r="C612" s="24">
        <f>IF(B612&lt;&gt;"",IFERROR(VLOOKUP(B612,'📦 Productos'!A:C,3,FALSE),IFERROR(VLOOKUP(B612&amp;"",'📦 Productos'!A:C,3,FALSE),IFERROR(VLOOKUP(VALUE(B612),'📦 Productos'!A:C,3,FALSE),""))),"")</f>
      </c>
      <c r="D612" s="7" t="s">
        <v>1085</v>
      </c>
      <c r="E612" s="8" t="s">
        <v>26</v>
      </c>
      <c r="F612" s="12">
        <v>0</v>
      </c>
      <c r="G612" s="25">
        <v>97000</v>
      </c>
      <c r="H612" s="26">
        <v>58200</v>
      </c>
      <c r="I612" s="14">
        <f>IF(AND(G612&gt;0,H612&gt;0),ROUND((1-H612/G612)*100,0),0)</f>
        <v>40</v>
      </c>
      <c r="J612" s="34" t="s">
        <v>28</v>
      </c>
      <c r="K612" s="12" t="s">
        <v>1888</v>
      </c>
      <c r="L612" s="8" t="s">
        <v>26</v>
      </c>
    </row>
    <row r="613" ht="20" customHeight="1" spans="1:12" x14ac:dyDescent="0.25">
      <c r="A613" s="28" t="s">
        <v>2809</v>
      </c>
      <c r="B613" s="28" t="s">
        <v>1087</v>
      </c>
      <c r="C613" s="24">
        <f>IF(B613&lt;&gt;"",IFERROR(VLOOKUP(B613,'📦 Productos'!A:C,3,FALSE),IFERROR(VLOOKUP(B613&amp;"",'📦 Productos'!A:C,3,FALSE),IFERROR(VLOOKUP(VALUE(B613),'📦 Productos'!A:C,3,FALSE),""))),"")</f>
      </c>
      <c r="D613" s="28" t="s">
        <v>1088</v>
      </c>
      <c r="E613" s="29" t="s">
        <v>26</v>
      </c>
      <c r="F613" s="30">
        <v>0</v>
      </c>
      <c r="G613" s="31">
        <v>33900</v>
      </c>
      <c r="H613" s="32"/>
      <c r="I613" s="14">
        <f>IF(AND(G613&gt;0,H613&gt;0),ROUND((1-H613/G613)*100,0),0)</f>
        <v>0</v>
      </c>
      <c r="J613" s="35" t="s">
        <v>28</v>
      </c>
      <c r="K613" s="30" t="s">
        <v>1888</v>
      </c>
      <c r="L613" s="29" t="s">
        <v>26</v>
      </c>
    </row>
    <row r="614" ht="20" customHeight="1" spans="1:12" x14ac:dyDescent="0.25">
      <c r="A614" s="7" t="s">
        <v>2810</v>
      </c>
      <c r="B614" s="7" t="s">
        <v>1090</v>
      </c>
      <c r="C614" s="24">
        <f>IF(B614&lt;&gt;"",IFERROR(VLOOKUP(B614,'📦 Productos'!A:C,3,FALSE),IFERROR(VLOOKUP(B614&amp;"",'📦 Productos'!A:C,3,FALSE),IFERROR(VLOOKUP(VALUE(B614),'📦 Productos'!A:C,3,FALSE),""))),"")</f>
      </c>
      <c r="D614" s="7" t="s">
        <v>1091</v>
      </c>
      <c r="E614" s="8" t="s">
        <v>26</v>
      </c>
      <c r="F614" s="12">
        <v>0</v>
      </c>
      <c r="G614" s="25">
        <v>66700</v>
      </c>
      <c r="H614" s="26"/>
      <c r="I614" s="14">
        <f>IF(AND(G614&gt;0,H614&gt;0),ROUND((1-H614/G614)*100,0),0)</f>
        <v>0</v>
      </c>
      <c r="J614" s="34" t="s">
        <v>28</v>
      </c>
      <c r="K614" s="12" t="s">
        <v>1888</v>
      </c>
      <c r="L614" s="8" t="s">
        <v>26</v>
      </c>
    </row>
    <row r="615" ht="20" customHeight="1" spans="1:12" x14ac:dyDescent="0.25">
      <c r="A615" s="28" t="s">
        <v>2811</v>
      </c>
      <c r="B615" s="28" t="s">
        <v>1093</v>
      </c>
      <c r="C615" s="24">
        <f>IF(B615&lt;&gt;"",IFERROR(VLOOKUP(B615,'📦 Productos'!A:C,3,FALSE),IFERROR(VLOOKUP(B615&amp;"",'📦 Productos'!A:C,3,FALSE),IFERROR(VLOOKUP(VALUE(B615),'📦 Productos'!A:C,3,FALSE),""))),"")</f>
      </c>
      <c r="D615" s="28" t="s">
        <v>1094</v>
      </c>
      <c r="E615" s="29" t="s">
        <v>26</v>
      </c>
      <c r="F615" s="30">
        <v>0</v>
      </c>
      <c r="G615" s="31">
        <v>62100</v>
      </c>
      <c r="H615" s="32"/>
      <c r="I615" s="14">
        <f>IF(AND(G615&gt;0,H615&gt;0),ROUND((1-H615/G615)*100,0),0)</f>
        <v>0</v>
      </c>
      <c r="J615" s="35" t="s">
        <v>28</v>
      </c>
      <c r="K615" s="30" t="s">
        <v>1888</v>
      </c>
      <c r="L615" s="29" t="s">
        <v>26</v>
      </c>
    </row>
    <row r="616" ht="20" customHeight="1" spans="1:12" x14ac:dyDescent="0.25">
      <c r="A616" s="7" t="s">
        <v>2812</v>
      </c>
      <c r="B616" s="7" t="s">
        <v>1096</v>
      </c>
      <c r="C616" s="24">
        <f>IF(B616&lt;&gt;"",IFERROR(VLOOKUP(B616,'📦 Productos'!A:C,3,FALSE),IFERROR(VLOOKUP(B616&amp;"",'📦 Productos'!A:C,3,FALSE),IFERROR(VLOOKUP(VALUE(B616),'📦 Productos'!A:C,3,FALSE),""))),"")</f>
      </c>
      <c r="D616" s="7" t="s">
        <v>1097</v>
      </c>
      <c r="E616" s="8" t="s">
        <v>26</v>
      </c>
      <c r="F616" s="12">
        <v>0</v>
      </c>
      <c r="G616" s="25">
        <v>41000</v>
      </c>
      <c r="H616" s="26"/>
      <c r="I616" s="14">
        <f>IF(AND(G616&gt;0,H616&gt;0),ROUND((1-H616/G616)*100,0),0)</f>
        <v>0</v>
      </c>
      <c r="J616" s="34" t="s">
        <v>28</v>
      </c>
      <c r="K616" s="12" t="s">
        <v>1888</v>
      </c>
      <c r="L616" s="8" t="s">
        <v>26</v>
      </c>
    </row>
    <row r="617" ht="20" customHeight="1" spans="1:12" x14ac:dyDescent="0.25">
      <c r="A617" s="28" t="s">
        <v>2813</v>
      </c>
      <c r="B617" s="28" t="s">
        <v>1098</v>
      </c>
      <c r="C617" s="24">
        <f>IF(B617&lt;&gt;"",IFERROR(VLOOKUP(B617,'📦 Productos'!A:C,3,FALSE),IFERROR(VLOOKUP(B617&amp;"",'📦 Productos'!A:C,3,FALSE),IFERROR(VLOOKUP(VALUE(B617),'📦 Productos'!A:C,3,FALSE),""))),"")</f>
      </c>
      <c r="D617" s="28" t="s">
        <v>1099</v>
      </c>
      <c r="E617" s="29" t="s">
        <v>26</v>
      </c>
      <c r="F617" s="30">
        <v>0</v>
      </c>
      <c r="G617" s="31">
        <v>61200</v>
      </c>
      <c r="H617" s="32"/>
      <c r="I617" s="14">
        <f>IF(AND(G617&gt;0,H617&gt;0),ROUND((1-H617/G617)*100,0),0)</f>
        <v>0</v>
      </c>
      <c r="J617" s="35" t="s">
        <v>28</v>
      </c>
      <c r="K617" s="30" t="s">
        <v>1888</v>
      </c>
      <c r="L617" s="29" t="s">
        <v>26</v>
      </c>
    </row>
    <row r="618" ht="20" customHeight="1" spans="1:12" x14ac:dyDescent="0.25">
      <c r="A618" s="7" t="s">
        <v>2814</v>
      </c>
      <c r="B618" s="7" t="s">
        <v>1101</v>
      </c>
      <c r="C618" s="24">
        <f>IF(B618&lt;&gt;"",IFERROR(VLOOKUP(B618,'📦 Productos'!A:C,3,FALSE),IFERROR(VLOOKUP(B618&amp;"",'📦 Productos'!A:C,3,FALSE),IFERROR(VLOOKUP(VALUE(B618),'📦 Productos'!A:C,3,FALSE),""))),"")</f>
      </c>
      <c r="D618" s="7" t="s">
        <v>1102</v>
      </c>
      <c r="E618" s="8" t="s">
        <v>26</v>
      </c>
      <c r="F618" s="12">
        <v>0</v>
      </c>
      <c r="G618" s="25">
        <v>67300</v>
      </c>
      <c r="H618" s="26"/>
      <c r="I618" s="14">
        <f>IF(AND(G618&gt;0,H618&gt;0),ROUND((1-H618/G618)*100,0),0)</f>
        <v>0</v>
      </c>
      <c r="J618" s="34" t="s">
        <v>28</v>
      </c>
      <c r="K618" s="12" t="s">
        <v>1888</v>
      </c>
      <c r="L618" s="8" t="s">
        <v>26</v>
      </c>
    </row>
    <row r="619" ht="20" customHeight="1" spans="1:12" x14ac:dyDescent="0.25">
      <c r="A619" s="28" t="s">
        <v>2815</v>
      </c>
      <c r="B619" s="28" t="s">
        <v>1104</v>
      </c>
      <c r="C619" s="24">
        <f>IF(B619&lt;&gt;"",IFERROR(VLOOKUP(B619,'📦 Productos'!A:C,3,FALSE),IFERROR(VLOOKUP(B619&amp;"",'📦 Productos'!A:C,3,FALSE),IFERROR(VLOOKUP(VALUE(B619),'📦 Productos'!A:C,3,FALSE),""))),"")</f>
      </c>
      <c r="D619" s="28" t="s">
        <v>1105</v>
      </c>
      <c r="E619" s="29" t="s">
        <v>26</v>
      </c>
      <c r="F619" s="30">
        <v>0</v>
      </c>
      <c r="G619" s="31">
        <v>44600</v>
      </c>
      <c r="H619" s="32"/>
      <c r="I619" s="14">
        <f>IF(AND(G619&gt;0,H619&gt;0),ROUND((1-H619/G619)*100,0),0)</f>
        <v>0</v>
      </c>
      <c r="J619" s="35" t="s">
        <v>28</v>
      </c>
      <c r="K619" s="30" t="s">
        <v>1888</v>
      </c>
      <c r="L619" s="29" t="s">
        <v>26</v>
      </c>
    </row>
    <row r="620" ht="20" customHeight="1" spans="1:12" x14ac:dyDescent="0.25">
      <c r="A620" s="7" t="s">
        <v>2816</v>
      </c>
      <c r="B620" s="7" t="s">
        <v>1107</v>
      </c>
      <c r="C620" s="24">
        <f>IF(B620&lt;&gt;"",IFERROR(VLOOKUP(B620,'📦 Productos'!A:C,3,FALSE),IFERROR(VLOOKUP(B620&amp;"",'📦 Productos'!A:C,3,FALSE),IFERROR(VLOOKUP(VALUE(B620),'📦 Productos'!A:C,3,FALSE),""))),"")</f>
      </c>
      <c r="D620" s="7" t="s">
        <v>1108</v>
      </c>
      <c r="E620" s="8" t="s">
        <v>26</v>
      </c>
      <c r="F620" s="12">
        <v>0</v>
      </c>
      <c r="G620" s="25">
        <v>56200</v>
      </c>
      <c r="H620" s="26"/>
      <c r="I620" s="14">
        <f>IF(AND(G620&gt;0,H620&gt;0),ROUND((1-H620/G620)*100,0),0)</f>
        <v>0</v>
      </c>
      <c r="J620" s="34" t="s">
        <v>28</v>
      </c>
      <c r="K620" s="12" t="s">
        <v>1888</v>
      </c>
      <c r="L620" s="8" t="s">
        <v>26</v>
      </c>
    </row>
    <row r="621" ht="20" customHeight="1" spans="1:12" x14ac:dyDescent="0.25">
      <c r="A621" s="28" t="s">
        <v>2817</v>
      </c>
      <c r="B621" s="28" t="s">
        <v>1110</v>
      </c>
      <c r="C621" s="24">
        <f>IF(B621&lt;&gt;"",IFERROR(VLOOKUP(B621,'📦 Productos'!A:C,3,FALSE),IFERROR(VLOOKUP(B621&amp;"",'📦 Productos'!A:C,3,FALSE),IFERROR(VLOOKUP(VALUE(B621),'📦 Productos'!A:C,3,FALSE),""))),"")</f>
      </c>
      <c r="D621" s="28" t="s">
        <v>1111</v>
      </c>
      <c r="E621" s="29" t="s">
        <v>26</v>
      </c>
      <c r="F621" s="30">
        <v>0</v>
      </c>
      <c r="G621" s="31">
        <v>40800</v>
      </c>
      <c r="H621" s="32"/>
      <c r="I621" s="14">
        <f>IF(AND(G621&gt;0,H621&gt;0),ROUND((1-H621/G621)*100,0),0)</f>
        <v>0</v>
      </c>
      <c r="J621" s="35" t="s">
        <v>28</v>
      </c>
      <c r="K621" s="30" t="s">
        <v>1888</v>
      </c>
      <c r="L621" s="29" t="s">
        <v>26</v>
      </c>
    </row>
    <row r="622" ht="20" customHeight="1" spans="1:12" x14ac:dyDescent="0.25">
      <c r="A622" s="7" t="s">
        <v>2818</v>
      </c>
      <c r="B622" s="7" t="s">
        <v>1113</v>
      </c>
      <c r="C622" s="24">
        <f>IF(B622&lt;&gt;"",IFERROR(VLOOKUP(B622,'📦 Productos'!A:C,3,FALSE),IFERROR(VLOOKUP(B622&amp;"",'📦 Productos'!A:C,3,FALSE),IFERROR(VLOOKUP(VALUE(B622),'📦 Productos'!A:C,3,FALSE),""))),"")</f>
      </c>
      <c r="D622" s="7" t="s">
        <v>1114</v>
      </c>
      <c r="E622" s="8" t="s">
        <v>26</v>
      </c>
      <c r="F622" s="12">
        <v>0</v>
      </c>
      <c r="G622" s="25">
        <v>56500</v>
      </c>
      <c r="H622" s="26"/>
      <c r="I622" s="14">
        <f>IF(AND(G622&gt;0,H622&gt;0),ROUND((1-H622/G622)*100,0),0)</f>
        <v>0</v>
      </c>
      <c r="J622" s="34" t="s">
        <v>28</v>
      </c>
      <c r="K622" s="12" t="s">
        <v>1888</v>
      </c>
      <c r="L622" s="8" t="s">
        <v>26</v>
      </c>
    </row>
    <row r="623" ht="20" customHeight="1" spans="1:12" x14ac:dyDescent="0.25">
      <c r="A623" s="28" t="s">
        <v>2819</v>
      </c>
      <c r="B623" s="28" t="s">
        <v>1116</v>
      </c>
      <c r="C623" s="24">
        <f>IF(B623&lt;&gt;"",IFERROR(VLOOKUP(B623,'📦 Productos'!A:C,3,FALSE),IFERROR(VLOOKUP(B623&amp;"",'📦 Productos'!A:C,3,FALSE),IFERROR(VLOOKUP(VALUE(B623),'📦 Productos'!A:C,3,FALSE),""))),"")</f>
      </c>
      <c r="D623" s="28" t="s">
        <v>1117</v>
      </c>
      <c r="E623" s="29" t="s">
        <v>26</v>
      </c>
      <c r="F623" s="30">
        <v>0</v>
      </c>
      <c r="G623" s="31">
        <v>117600</v>
      </c>
      <c r="H623" s="32"/>
      <c r="I623" s="14">
        <f>IF(AND(G623&gt;0,H623&gt;0),ROUND((1-H623/G623)*100,0),0)</f>
        <v>0</v>
      </c>
      <c r="J623" s="35" t="s">
        <v>28</v>
      </c>
      <c r="K623" s="30" t="s">
        <v>1888</v>
      </c>
      <c r="L623" s="29" t="s">
        <v>26</v>
      </c>
    </row>
    <row r="624" ht="20" customHeight="1" spans="1:12" x14ac:dyDescent="0.25">
      <c r="A624" s="7" t="s">
        <v>2820</v>
      </c>
      <c r="B624" s="7" t="s">
        <v>1119</v>
      </c>
      <c r="C624" s="24">
        <f>IF(B624&lt;&gt;"",IFERROR(VLOOKUP(B624,'📦 Productos'!A:C,3,FALSE),IFERROR(VLOOKUP(B624&amp;"",'📦 Productos'!A:C,3,FALSE),IFERROR(VLOOKUP(VALUE(B624),'📦 Productos'!A:C,3,FALSE),""))),"")</f>
      </c>
      <c r="D624" s="7" t="s">
        <v>1120</v>
      </c>
      <c r="E624" s="8" t="s">
        <v>26</v>
      </c>
      <c r="F624" s="12">
        <v>0</v>
      </c>
      <c r="G624" s="25">
        <v>56200</v>
      </c>
      <c r="H624" s="26"/>
      <c r="I624" s="14">
        <f>IF(AND(G624&gt;0,H624&gt;0),ROUND((1-H624/G624)*100,0),0)</f>
        <v>0</v>
      </c>
      <c r="J624" s="34" t="s">
        <v>28</v>
      </c>
      <c r="K624" s="12" t="s">
        <v>1888</v>
      </c>
      <c r="L624" s="8" t="s">
        <v>26</v>
      </c>
    </row>
    <row r="625" ht="20" customHeight="1" spans="1:12" x14ac:dyDescent="0.25">
      <c r="A625" s="28" t="s">
        <v>2821</v>
      </c>
      <c r="B625" s="28" t="s">
        <v>1122</v>
      </c>
      <c r="C625" s="24">
        <f>IF(B625&lt;&gt;"",IFERROR(VLOOKUP(B625,'📦 Productos'!A:C,3,FALSE),IFERROR(VLOOKUP(B625&amp;"",'📦 Productos'!A:C,3,FALSE),IFERROR(VLOOKUP(VALUE(B625),'📦 Productos'!A:C,3,FALSE),""))),"")</f>
      </c>
      <c r="D625" s="28" t="s">
        <v>1123</v>
      </c>
      <c r="E625" s="29" t="s">
        <v>26</v>
      </c>
      <c r="F625" s="30">
        <v>0</v>
      </c>
      <c r="G625" s="31">
        <v>60000</v>
      </c>
      <c r="H625" s="32"/>
      <c r="I625" s="14">
        <f>IF(AND(G625&gt;0,H625&gt;0),ROUND((1-H625/G625)*100,0),0)</f>
        <v>0</v>
      </c>
      <c r="J625" s="35" t="s">
        <v>28</v>
      </c>
      <c r="K625" s="30" t="s">
        <v>1888</v>
      </c>
      <c r="L625" s="29" t="s">
        <v>26</v>
      </c>
    </row>
    <row r="626" ht="20" customHeight="1" spans="1:12" x14ac:dyDescent="0.25">
      <c r="A626" s="7" t="s">
        <v>2822</v>
      </c>
      <c r="B626" s="7" t="s">
        <v>1125</v>
      </c>
      <c r="C626" s="24">
        <f>IF(B626&lt;&gt;"",IFERROR(VLOOKUP(B626,'📦 Productos'!A:C,3,FALSE),IFERROR(VLOOKUP(B626&amp;"",'📦 Productos'!A:C,3,FALSE),IFERROR(VLOOKUP(VALUE(B626),'📦 Productos'!A:C,3,FALSE),""))),"")</f>
      </c>
      <c r="D626" s="7" t="s">
        <v>1126</v>
      </c>
      <c r="E626" s="8" t="s">
        <v>26</v>
      </c>
      <c r="F626" s="12">
        <v>0</v>
      </c>
      <c r="G626" s="25">
        <v>40500</v>
      </c>
      <c r="H626" s="26"/>
      <c r="I626" s="14">
        <f>IF(AND(G626&gt;0,H626&gt;0),ROUND((1-H626/G626)*100,0),0)</f>
        <v>0</v>
      </c>
      <c r="J626" s="34" t="s">
        <v>28</v>
      </c>
      <c r="K626" s="12" t="s">
        <v>1888</v>
      </c>
      <c r="L626" s="8" t="s">
        <v>26</v>
      </c>
    </row>
    <row r="627" ht="20" customHeight="1" spans="1:12" x14ac:dyDescent="0.25">
      <c r="A627" s="28" t="s">
        <v>2823</v>
      </c>
      <c r="B627" s="28" t="s">
        <v>1128</v>
      </c>
      <c r="C627" s="24">
        <f>IF(B627&lt;&gt;"",IFERROR(VLOOKUP(B627,'📦 Productos'!A:C,3,FALSE),IFERROR(VLOOKUP(B627&amp;"",'📦 Productos'!A:C,3,FALSE),IFERROR(VLOOKUP(VALUE(B627),'📦 Productos'!A:C,3,FALSE),""))),"")</f>
      </c>
      <c r="D627" s="28" t="s">
        <v>1129</v>
      </c>
      <c r="E627" s="29" t="s">
        <v>26</v>
      </c>
      <c r="F627" s="30">
        <v>0</v>
      </c>
      <c r="G627" s="31">
        <v>62400</v>
      </c>
      <c r="H627" s="32"/>
      <c r="I627" s="14">
        <f>IF(AND(G627&gt;0,H627&gt;0),ROUND((1-H627/G627)*100,0),0)</f>
        <v>0</v>
      </c>
      <c r="J627" s="35" t="s">
        <v>28</v>
      </c>
      <c r="K627" s="30" t="s">
        <v>1888</v>
      </c>
      <c r="L627" s="29" t="s">
        <v>26</v>
      </c>
    </row>
    <row r="628" ht="20" customHeight="1" spans="1:12" x14ac:dyDescent="0.25">
      <c r="A628" s="7" t="s">
        <v>2824</v>
      </c>
      <c r="B628" s="7" t="s">
        <v>1131</v>
      </c>
      <c r="C628" s="24">
        <f>IF(B628&lt;&gt;"",IFERROR(VLOOKUP(B628,'📦 Productos'!A:C,3,FALSE),IFERROR(VLOOKUP(B628&amp;"",'📦 Productos'!A:C,3,FALSE),IFERROR(VLOOKUP(VALUE(B628),'📦 Productos'!A:C,3,FALSE),""))),"")</f>
      </c>
      <c r="D628" s="7" t="s">
        <v>1132</v>
      </c>
      <c r="E628" s="8" t="s">
        <v>26</v>
      </c>
      <c r="F628" s="12">
        <v>0</v>
      </c>
      <c r="G628" s="25">
        <v>45800</v>
      </c>
      <c r="H628" s="26"/>
      <c r="I628" s="14">
        <f>IF(AND(G628&gt;0,H628&gt;0),ROUND((1-H628/G628)*100,0),0)</f>
        <v>0</v>
      </c>
      <c r="J628" s="34" t="s">
        <v>28</v>
      </c>
      <c r="K628" s="12" t="s">
        <v>1888</v>
      </c>
      <c r="L628" s="8" t="s">
        <v>26</v>
      </c>
    </row>
    <row r="629" ht="20" customHeight="1" spans="1:12" x14ac:dyDescent="0.25">
      <c r="A629" s="28" t="s">
        <v>2825</v>
      </c>
      <c r="B629" s="28" t="s">
        <v>1134</v>
      </c>
      <c r="C629" s="24">
        <f>IF(B629&lt;&gt;"",IFERROR(VLOOKUP(B629,'📦 Productos'!A:C,3,FALSE),IFERROR(VLOOKUP(B629&amp;"",'📦 Productos'!A:C,3,FALSE),IFERROR(VLOOKUP(VALUE(B629),'📦 Productos'!A:C,3,FALSE),""))),"")</f>
      </c>
      <c r="D629" s="28" t="s">
        <v>1135</v>
      </c>
      <c r="E629" s="29" t="s">
        <v>26</v>
      </c>
      <c r="F629" s="30">
        <v>0</v>
      </c>
      <c r="G629" s="31">
        <v>58900</v>
      </c>
      <c r="H629" s="32"/>
      <c r="I629" s="14">
        <f>IF(AND(G629&gt;0,H629&gt;0),ROUND((1-H629/G629)*100,0),0)</f>
        <v>0</v>
      </c>
      <c r="J629" s="35" t="s">
        <v>28</v>
      </c>
      <c r="K629" s="30" t="s">
        <v>1888</v>
      </c>
      <c r="L629" s="29" t="s">
        <v>26</v>
      </c>
    </row>
    <row r="630" ht="20" customHeight="1" spans="1:12" x14ac:dyDescent="0.25">
      <c r="A630" s="7" t="s">
        <v>2826</v>
      </c>
      <c r="B630" s="7" t="s">
        <v>1137</v>
      </c>
      <c r="C630" s="24">
        <f>IF(B630&lt;&gt;"",IFERROR(VLOOKUP(B630,'📦 Productos'!A:C,3,FALSE),IFERROR(VLOOKUP(B630&amp;"",'📦 Productos'!A:C,3,FALSE),IFERROR(VLOOKUP(VALUE(B630),'📦 Productos'!A:C,3,FALSE),""))),"")</f>
      </c>
      <c r="D630" s="7" t="s">
        <v>1138</v>
      </c>
      <c r="E630" s="8" t="s">
        <v>26</v>
      </c>
      <c r="F630" s="12">
        <v>0</v>
      </c>
      <c r="G630" s="25">
        <v>44600</v>
      </c>
      <c r="H630" s="26"/>
      <c r="I630" s="14">
        <f>IF(AND(G630&gt;0,H630&gt;0),ROUND((1-H630/G630)*100,0),0)</f>
        <v>0</v>
      </c>
      <c r="J630" s="34" t="s">
        <v>28</v>
      </c>
      <c r="K630" s="12" t="s">
        <v>1888</v>
      </c>
      <c r="L630" s="8" t="s">
        <v>26</v>
      </c>
    </row>
    <row r="631" ht="20" customHeight="1" spans="1:12" x14ac:dyDescent="0.25">
      <c r="A631" s="28" t="s">
        <v>2827</v>
      </c>
      <c r="B631" s="28" t="s">
        <v>1140</v>
      </c>
      <c r="C631" s="24">
        <f>IF(B631&lt;&gt;"",IFERROR(VLOOKUP(B631,'📦 Productos'!A:C,3,FALSE),IFERROR(VLOOKUP(B631&amp;"",'📦 Productos'!A:C,3,FALSE),IFERROR(VLOOKUP(VALUE(B631),'📦 Productos'!A:C,3,FALSE),""))),"")</f>
      </c>
      <c r="D631" s="28" t="s">
        <v>1141</v>
      </c>
      <c r="E631" s="29" t="s">
        <v>26</v>
      </c>
      <c r="F631" s="30">
        <v>0</v>
      </c>
      <c r="G631" s="31">
        <v>60600</v>
      </c>
      <c r="H631" s="32"/>
      <c r="I631" s="14">
        <f>IF(AND(G631&gt;0,H631&gt;0),ROUND((1-H631/G631)*100,0),0)</f>
        <v>0</v>
      </c>
      <c r="J631" s="35" t="s">
        <v>28</v>
      </c>
      <c r="K631" s="30" t="s">
        <v>1888</v>
      </c>
      <c r="L631" s="29" t="s">
        <v>26</v>
      </c>
    </row>
    <row r="632" ht="20" customHeight="1" spans="1:12" x14ac:dyDescent="0.25">
      <c r="A632" s="7" t="s">
        <v>2828</v>
      </c>
      <c r="B632" s="7" t="s">
        <v>1143</v>
      </c>
      <c r="C632" s="24">
        <f>IF(B632&lt;&gt;"",IFERROR(VLOOKUP(B632,'📦 Productos'!A:C,3,FALSE),IFERROR(VLOOKUP(B632&amp;"",'📦 Productos'!A:C,3,FALSE),IFERROR(VLOOKUP(VALUE(B632),'📦 Productos'!A:C,3,FALSE),""))),"")</f>
      </c>
      <c r="D632" s="7" t="s">
        <v>1144</v>
      </c>
      <c r="E632" s="8" t="s">
        <v>26</v>
      </c>
      <c r="F632" s="12">
        <v>0</v>
      </c>
      <c r="G632" s="25">
        <v>45200</v>
      </c>
      <c r="H632" s="26"/>
      <c r="I632" s="14">
        <f>IF(AND(G632&gt;0,H632&gt;0),ROUND((1-H632/G632)*100,0),0)</f>
        <v>0</v>
      </c>
      <c r="J632" s="34" t="s">
        <v>28</v>
      </c>
      <c r="K632" s="12" t="s">
        <v>1888</v>
      </c>
      <c r="L632" s="8" t="s">
        <v>26</v>
      </c>
    </row>
    <row r="633" ht="20" customHeight="1" spans="1:12" x14ac:dyDescent="0.25">
      <c r="A633" s="28" t="s">
        <v>2829</v>
      </c>
      <c r="B633" s="28" t="s">
        <v>1146</v>
      </c>
      <c r="C633" s="24">
        <f>IF(B633&lt;&gt;"",IFERROR(VLOOKUP(B633,'📦 Productos'!A:C,3,FALSE),IFERROR(VLOOKUP(B633&amp;"",'📦 Productos'!A:C,3,FALSE),IFERROR(VLOOKUP(VALUE(B633),'📦 Productos'!A:C,3,FALSE),""))),"")</f>
      </c>
      <c r="D633" s="28" t="s">
        <v>1147</v>
      </c>
      <c r="E633" s="29" t="s">
        <v>26</v>
      </c>
      <c r="F633" s="30">
        <v>0</v>
      </c>
      <c r="G633" s="31">
        <v>126200</v>
      </c>
      <c r="H633" s="32">
        <v>75720</v>
      </c>
      <c r="I633" s="14">
        <f>IF(AND(G633&gt;0,H633&gt;0),ROUND((1-H633/G633)*100,0),0)</f>
        <v>40</v>
      </c>
      <c r="J633" s="35" t="s">
        <v>28</v>
      </c>
      <c r="K633" s="30" t="s">
        <v>1888</v>
      </c>
      <c r="L633" s="29" t="s">
        <v>26</v>
      </c>
    </row>
    <row r="634" ht="20" customHeight="1" spans="1:12" x14ac:dyDescent="0.25">
      <c r="A634" s="7" t="s">
        <v>2830</v>
      </c>
      <c r="B634" s="7" t="s">
        <v>1149</v>
      </c>
      <c r="C634" s="24">
        <f>IF(B634&lt;&gt;"",IFERROR(VLOOKUP(B634,'📦 Productos'!A:C,3,FALSE),IFERROR(VLOOKUP(B634&amp;"",'📦 Productos'!A:C,3,FALSE),IFERROR(VLOOKUP(VALUE(B634),'📦 Productos'!A:C,3,FALSE),""))),"")</f>
      </c>
      <c r="D634" s="7" t="s">
        <v>1150</v>
      </c>
      <c r="E634" s="8" t="s">
        <v>26</v>
      </c>
      <c r="F634" s="12">
        <v>0</v>
      </c>
      <c r="G634" s="25">
        <v>56500</v>
      </c>
      <c r="H634" s="26"/>
      <c r="I634" s="14">
        <f>IF(AND(G634&gt;0,H634&gt;0),ROUND((1-H634/G634)*100,0),0)</f>
        <v>0</v>
      </c>
      <c r="J634" s="34" t="s">
        <v>28</v>
      </c>
      <c r="K634" s="12" t="s">
        <v>1888</v>
      </c>
      <c r="L634" s="8" t="s">
        <v>26</v>
      </c>
    </row>
    <row r="635" ht="20" customHeight="1" spans="1:12" x14ac:dyDescent="0.25">
      <c r="A635" s="28" t="s">
        <v>2831</v>
      </c>
      <c r="B635" s="28" t="s">
        <v>1152</v>
      </c>
      <c r="C635" s="24">
        <f>IF(B635&lt;&gt;"",IFERROR(VLOOKUP(B635,'📦 Productos'!A:C,3,FALSE),IFERROR(VLOOKUP(B635&amp;"",'📦 Productos'!A:C,3,FALSE),IFERROR(VLOOKUP(VALUE(B635),'📦 Productos'!A:C,3,FALSE),""))),"")</f>
      </c>
      <c r="D635" s="28" t="s">
        <v>1153</v>
      </c>
      <c r="E635" s="29" t="s">
        <v>26</v>
      </c>
      <c r="F635" s="30">
        <v>0</v>
      </c>
      <c r="G635" s="31">
        <v>62100</v>
      </c>
      <c r="H635" s="32"/>
      <c r="I635" s="14">
        <f>IF(AND(G635&gt;0,H635&gt;0),ROUND((1-H635/G635)*100,0),0)</f>
        <v>0</v>
      </c>
      <c r="J635" s="35" t="s">
        <v>28</v>
      </c>
      <c r="K635" s="30" t="s">
        <v>1888</v>
      </c>
      <c r="L635" s="29" t="s">
        <v>26</v>
      </c>
    </row>
    <row r="636" ht="20" customHeight="1" spans="1:12" x14ac:dyDescent="0.25">
      <c r="A636" s="7" t="s">
        <v>2832</v>
      </c>
      <c r="B636" s="7" t="s">
        <v>1155</v>
      </c>
      <c r="C636" s="24">
        <f>IF(B636&lt;&gt;"",IFERROR(VLOOKUP(B636,'📦 Productos'!A:C,3,FALSE),IFERROR(VLOOKUP(B636&amp;"",'📦 Productos'!A:C,3,FALSE),IFERROR(VLOOKUP(VALUE(B636),'📦 Productos'!A:C,3,FALSE),""))),"")</f>
      </c>
      <c r="D636" s="7" t="s">
        <v>1156</v>
      </c>
      <c r="E636" s="8" t="s">
        <v>26</v>
      </c>
      <c r="F636" s="12">
        <v>0</v>
      </c>
      <c r="G636" s="25">
        <v>33300</v>
      </c>
      <c r="H636" s="26"/>
      <c r="I636" s="14">
        <f>IF(AND(G636&gt;0,H636&gt;0),ROUND((1-H636/G636)*100,0),0)</f>
        <v>0</v>
      </c>
      <c r="J636" s="34" t="s">
        <v>28</v>
      </c>
      <c r="K636" s="12" t="s">
        <v>1888</v>
      </c>
      <c r="L636" s="8" t="s">
        <v>26</v>
      </c>
    </row>
    <row r="637" ht="20" customHeight="1" spans="1:12" x14ac:dyDescent="0.25">
      <c r="A637" s="28" t="s">
        <v>2833</v>
      </c>
      <c r="B637" s="28" t="s">
        <v>1158</v>
      </c>
      <c r="C637" s="24">
        <f>IF(B637&lt;&gt;"",IFERROR(VLOOKUP(B637,'📦 Productos'!A:C,3,FALSE),IFERROR(VLOOKUP(B637&amp;"",'📦 Productos'!A:C,3,FALSE),IFERROR(VLOOKUP(VALUE(B637),'📦 Productos'!A:C,3,FALSE),""))),"")</f>
      </c>
      <c r="D637" s="28" t="s">
        <v>1159</v>
      </c>
      <c r="E637" s="29" t="s">
        <v>26</v>
      </c>
      <c r="F637" s="30">
        <v>0</v>
      </c>
      <c r="G637" s="31">
        <v>46600</v>
      </c>
      <c r="H637" s="32"/>
      <c r="I637" s="14">
        <f>IF(AND(G637&gt;0,H637&gt;0),ROUND((1-H637/G637)*100,0),0)</f>
        <v>0</v>
      </c>
      <c r="J637" s="35" t="s">
        <v>28</v>
      </c>
      <c r="K637" s="30" t="s">
        <v>1888</v>
      </c>
      <c r="L637" s="29" t="s">
        <v>26</v>
      </c>
    </row>
    <row r="638" ht="20" customHeight="1" spans="1:12" x14ac:dyDescent="0.25">
      <c r="A638" s="7" t="s">
        <v>2834</v>
      </c>
      <c r="B638" s="7" t="s">
        <v>1160</v>
      </c>
      <c r="C638" s="24">
        <f>IF(B638&lt;&gt;"",IFERROR(VLOOKUP(B638,'📦 Productos'!A:C,3,FALSE),IFERROR(VLOOKUP(B638&amp;"",'📦 Productos'!A:C,3,FALSE),IFERROR(VLOOKUP(VALUE(B638),'📦 Productos'!A:C,3,FALSE),""))),"")</f>
      </c>
      <c r="D638" s="7" t="s">
        <v>1161</v>
      </c>
      <c r="E638" s="8" t="s">
        <v>26</v>
      </c>
      <c r="F638" s="12">
        <v>0</v>
      </c>
      <c r="G638" s="25">
        <v>51200</v>
      </c>
      <c r="H638" s="26"/>
      <c r="I638" s="14">
        <f>IF(AND(G638&gt;0,H638&gt;0),ROUND((1-H638/G638)*100,0),0)</f>
        <v>0</v>
      </c>
      <c r="J638" s="34" t="s">
        <v>28</v>
      </c>
      <c r="K638" s="12" t="s">
        <v>1888</v>
      </c>
      <c r="L638" s="8" t="s">
        <v>26</v>
      </c>
    </row>
    <row r="639" ht="20" customHeight="1" spans="1:12" x14ac:dyDescent="0.25">
      <c r="A639" s="28" t="s">
        <v>2835</v>
      </c>
      <c r="B639" s="28" t="s">
        <v>1163</v>
      </c>
      <c r="C639" s="24">
        <f>IF(B639&lt;&gt;"",IFERROR(VLOOKUP(B639,'📦 Productos'!A:C,3,FALSE),IFERROR(VLOOKUP(B639&amp;"",'📦 Productos'!A:C,3,FALSE),IFERROR(VLOOKUP(VALUE(B639),'📦 Productos'!A:C,3,FALSE),""))),"")</f>
      </c>
      <c r="D639" s="28" t="s">
        <v>1164</v>
      </c>
      <c r="E639" s="29" t="s">
        <v>26</v>
      </c>
      <c r="F639" s="30">
        <v>0</v>
      </c>
      <c r="G639" s="31">
        <v>42700</v>
      </c>
      <c r="H639" s="32"/>
      <c r="I639" s="14">
        <f>IF(AND(G639&gt;0,H639&gt;0),ROUND((1-H639/G639)*100,0),0)</f>
        <v>0</v>
      </c>
      <c r="J639" s="35" t="s">
        <v>28</v>
      </c>
      <c r="K639" s="30" t="s">
        <v>1888</v>
      </c>
      <c r="L639" s="29" t="s">
        <v>26</v>
      </c>
    </row>
    <row r="640" ht="20" customHeight="1" spans="1:12" x14ac:dyDescent="0.25">
      <c r="A640" s="7" t="s">
        <v>2836</v>
      </c>
      <c r="B640" s="7" t="s">
        <v>1167</v>
      </c>
      <c r="C640" s="24">
        <f>IF(B640&lt;&gt;"",IFERROR(VLOOKUP(B640,'📦 Productos'!A:C,3,FALSE),IFERROR(VLOOKUP(B640&amp;"",'📦 Productos'!A:C,3,FALSE),IFERROR(VLOOKUP(VALUE(B640),'📦 Productos'!A:C,3,FALSE),""))),"")</f>
      </c>
      <c r="D640" s="7" t="s">
        <v>1168</v>
      </c>
      <c r="E640" s="8" t="s">
        <v>26</v>
      </c>
      <c r="F640" s="12">
        <v>0</v>
      </c>
      <c r="G640" s="25">
        <v>0</v>
      </c>
      <c r="H640" s="26"/>
      <c r="I640" s="14">
        <f>IF(AND(G640&gt;0,H640&gt;0),ROUND((1-H640/G640)*100,0),0)</f>
        <v>0</v>
      </c>
      <c r="J640" s="34" t="s">
        <v>28</v>
      </c>
      <c r="K640" s="12" t="s">
        <v>1888</v>
      </c>
      <c r="L640" s="8" t="s">
        <v>26</v>
      </c>
    </row>
    <row r="641" ht="20" customHeight="1" spans="1:12" x14ac:dyDescent="0.25">
      <c r="A641" s="28" t="s">
        <v>2837</v>
      </c>
      <c r="B641" s="28" t="s">
        <v>1172</v>
      </c>
      <c r="C641" s="24">
        <f>IF(B641&lt;&gt;"",IFERROR(VLOOKUP(B641,'📦 Productos'!A:C,3,FALSE),IFERROR(VLOOKUP(B641&amp;"",'📦 Productos'!A:C,3,FALSE),IFERROR(VLOOKUP(VALUE(B641),'📦 Productos'!A:C,3,FALSE),""))),"")</f>
      </c>
      <c r="D641" s="28" t="s">
        <v>1173</v>
      </c>
      <c r="E641" s="29" t="s">
        <v>26</v>
      </c>
      <c r="F641" s="30">
        <v>0</v>
      </c>
      <c r="G641" s="31">
        <v>0</v>
      </c>
      <c r="H641" s="32"/>
      <c r="I641" s="14">
        <f>IF(AND(G641&gt;0,H641&gt;0),ROUND((1-H641/G641)*100,0),0)</f>
        <v>0</v>
      </c>
      <c r="J641" s="35" t="s">
        <v>28</v>
      </c>
      <c r="K641" s="30" t="s">
        <v>1888</v>
      </c>
      <c r="L641" s="29" t="s">
        <v>26</v>
      </c>
    </row>
    <row r="642" ht="20" customHeight="1" spans="1:12" x14ac:dyDescent="0.25">
      <c r="A642" s="7" t="s">
        <v>2838</v>
      </c>
      <c r="B642" s="7" t="s">
        <v>1175</v>
      </c>
      <c r="C642" s="24">
        <f>IF(B642&lt;&gt;"",IFERROR(VLOOKUP(B642,'📦 Productos'!A:C,3,FALSE),IFERROR(VLOOKUP(B642&amp;"",'📦 Productos'!A:C,3,FALSE),IFERROR(VLOOKUP(VALUE(B642),'📦 Productos'!A:C,3,FALSE),""))),"")</f>
      </c>
      <c r="D642" s="7" t="s">
        <v>1176</v>
      </c>
      <c r="E642" s="8" t="s">
        <v>26</v>
      </c>
      <c r="F642" s="12">
        <v>0</v>
      </c>
      <c r="G642" s="25">
        <v>0</v>
      </c>
      <c r="H642" s="26"/>
      <c r="I642" s="14">
        <f>IF(AND(G642&gt;0,H642&gt;0),ROUND((1-H642/G642)*100,0),0)</f>
        <v>0</v>
      </c>
      <c r="J642" s="34" t="s">
        <v>28</v>
      </c>
      <c r="K642" s="12" t="s">
        <v>1888</v>
      </c>
      <c r="L642" s="8" t="s">
        <v>26</v>
      </c>
    </row>
    <row r="643" ht="20" customHeight="1" spans="1:12" x14ac:dyDescent="0.25">
      <c r="A643" s="28" t="s">
        <v>2839</v>
      </c>
      <c r="B643" s="28" t="s">
        <v>1178</v>
      </c>
      <c r="C643" s="24">
        <f>IF(B643&lt;&gt;"",IFERROR(VLOOKUP(B643,'📦 Productos'!A:C,3,FALSE),IFERROR(VLOOKUP(B643&amp;"",'📦 Productos'!A:C,3,FALSE),IFERROR(VLOOKUP(VALUE(B643),'📦 Productos'!A:C,3,FALSE),""))),"")</f>
      </c>
      <c r="D643" s="28" t="s">
        <v>1179</v>
      </c>
      <c r="E643" s="29" t="s">
        <v>26</v>
      </c>
      <c r="F643" s="30">
        <v>0</v>
      </c>
      <c r="G643" s="31">
        <v>0</v>
      </c>
      <c r="H643" s="32"/>
      <c r="I643" s="14">
        <f>IF(AND(G643&gt;0,H643&gt;0),ROUND((1-H643/G643)*100,0),0)</f>
        <v>0</v>
      </c>
      <c r="J643" s="35" t="s">
        <v>28</v>
      </c>
      <c r="K643" s="30" t="s">
        <v>1888</v>
      </c>
      <c r="L643" s="29" t="s">
        <v>26</v>
      </c>
    </row>
    <row r="644" ht="20" customHeight="1" spans="1:12" x14ac:dyDescent="0.25">
      <c r="A644" s="7" t="s">
        <v>2840</v>
      </c>
      <c r="B644" s="7" t="s">
        <v>1181</v>
      </c>
      <c r="C644" s="24">
        <f>IF(B644&lt;&gt;"",IFERROR(VLOOKUP(B644,'📦 Productos'!A:C,3,FALSE),IFERROR(VLOOKUP(B644&amp;"",'📦 Productos'!A:C,3,FALSE),IFERROR(VLOOKUP(VALUE(B644),'📦 Productos'!A:C,3,FALSE),""))),"")</f>
      </c>
      <c r="D644" s="7" t="s">
        <v>1182</v>
      </c>
      <c r="E644" s="8" t="s">
        <v>26</v>
      </c>
      <c r="F644" s="12">
        <v>0</v>
      </c>
      <c r="G644" s="25">
        <v>0</v>
      </c>
      <c r="H644" s="26"/>
      <c r="I644" s="14">
        <f>IF(AND(G644&gt;0,H644&gt;0),ROUND((1-H644/G644)*100,0),0)</f>
        <v>0</v>
      </c>
      <c r="J644" s="34" t="s">
        <v>28</v>
      </c>
      <c r="K644" s="12" t="s">
        <v>1888</v>
      </c>
      <c r="L644" s="8" t="s">
        <v>26</v>
      </c>
    </row>
    <row r="645" ht="20" customHeight="1" spans="1:12" x14ac:dyDescent="0.25">
      <c r="A645" s="28" t="s">
        <v>2841</v>
      </c>
      <c r="B645" s="28" t="s">
        <v>1184</v>
      </c>
      <c r="C645" s="24">
        <f>IF(B645&lt;&gt;"",IFERROR(VLOOKUP(B645,'📦 Productos'!A:C,3,FALSE),IFERROR(VLOOKUP(B645&amp;"",'📦 Productos'!A:C,3,FALSE),IFERROR(VLOOKUP(VALUE(B645),'📦 Productos'!A:C,3,FALSE),""))),"")</f>
      </c>
      <c r="D645" s="28" t="s">
        <v>1185</v>
      </c>
      <c r="E645" s="29" t="s">
        <v>26</v>
      </c>
      <c r="F645" s="30">
        <v>0</v>
      </c>
      <c r="G645" s="31">
        <v>0</v>
      </c>
      <c r="H645" s="32"/>
      <c r="I645" s="14">
        <f>IF(AND(G645&gt;0,H645&gt;0),ROUND((1-H645/G645)*100,0),0)</f>
        <v>0</v>
      </c>
      <c r="J645" s="35" t="s">
        <v>28</v>
      </c>
      <c r="K645" s="30" t="s">
        <v>1888</v>
      </c>
      <c r="L645" s="29" t="s">
        <v>26</v>
      </c>
    </row>
    <row r="646" ht="20" customHeight="1" spans="1:12" x14ac:dyDescent="0.25">
      <c r="A646" s="7" t="s">
        <v>2842</v>
      </c>
      <c r="B646" s="7" t="s">
        <v>1187</v>
      </c>
      <c r="C646" s="24">
        <f>IF(B646&lt;&gt;"",IFERROR(VLOOKUP(B646,'📦 Productos'!A:C,3,FALSE),IFERROR(VLOOKUP(B646&amp;"",'📦 Productos'!A:C,3,FALSE),IFERROR(VLOOKUP(VALUE(B646),'📦 Productos'!A:C,3,FALSE),""))),"")</f>
      </c>
      <c r="D646" s="7" t="s">
        <v>1188</v>
      </c>
      <c r="E646" s="8" t="s">
        <v>26</v>
      </c>
      <c r="F646" s="12">
        <v>0</v>
      </c>
      <c r="G646" s="25">
        <v>0</v>
      </c>
      <c r="H646" s="26"/>
      <c r="I646" s="14">
        <f>IF(AND(G646&gt;0,H646&gt;0),ROUND((1-H646/G646)*100,0),0)</f>
        <v>0</v>
      </c>
      <c r="J646" s="34" t="s">
        <v>28</v>
      </c>
      <c r="K646" s="12" t="s">
        <v>1888</v>
      </c>
      <c r="L646" s="8" t="s">
        <v>26</v>
      </c>
    </row>
    <row r="647" ht="20" customHeight="1" spans="1:12" x14ac:dyDescent="0.25">
      <c r="A647" s="28" t="s">
        <v>2843</v>
      </c>
      <c r="B647" s="28" t="s">
        <v>1190</v>
      </c>
      <c r="C647" s="24">
        <f>IF(B647&lt;&gt;"",IFERROR(VLOOKUP(B647,'📦 Productos'!A:C,3,FALSE),IFERROR(VLOOKUP(B647&amp;"",'📦 Productos'!A:C,3,FALSE),IFERROR(VLOOKUP(VALUE(B647),'📦 Productos'!A:C,3,FALSE),""))),"")</f>
      </c>
      <c r="D647" s="28" t="s">
        <v>1191</v>
      </c>
      <c r="E647" s="29" t="s">
        <v>26</v>
      </c>
      <c r="F647" s="30">
        <v>0</v>
      </c>
      <c r="G647" s="31">
        <v>0</v>
      </c>
      <c r="H647" s="32"/>
      <c r="I647" s="14">
        <f>IF(AND(G647&gt;0,H647&gt;0),ROUND((1-H647/G647)*100,0),0)</f>
        <v>0</v>
      </c>
      <c r="J647" s="35" t="s">
        <v>28</v>
      </c>
      <c r="K647" s="30" t="s">
        <v>1888</v>
      </c>
      <c r="L647" s="29" t="s">
        <v>26</v>
      </c>
    </row>
    <row r="648" ht="20" customHeight="1" spans="1:12" x14ac:dyDescent="0.25">
      <c r="A648" s="7" t="s">
        <v>2844</v>
      </c>
      <c r="B648" s="7" t="s">
        <v>1193</v>
      </c>
      <c r="C648" s="24">
        <f>IF(B648&lt;&gt;"",IFERROR(VLOOKUP(B648,'📦 Productos'!A:C,3,FALSE),IFERROR(VLOOKUP(B648&amp;"",'📦 Productos'!A:C,3,FALSE),IFERROR(VLOOKUP(VALUE(B648),'📦 Productos'!A:C,3,FALSE),""))),"")</f>
      </c>
      <c r="D648" s="7" t="s">
        <v>1194</v>
      </c>
      <c r="E648" s="8" t="s">
        <v>26</v>
      </c>
      <c r="F648" s="12">
        <v>0</v>
      </c>
      <c r="G648" s="25">
        <v>0</v>
      </c>
      <c r="H648" s="26"/>
      <c r="I648" s="14">
        <f>IF(AND(G648&gt;0,H648&gt;0),ROUND((1-H648/G648)*100,0),0)</f>
        <v>0</v>
      </c>
      <c r="J648" s="34" t="s">
        <v>28</v>
      </c>
      <c r="K648" s="12" t="s">
        <v>1888</v>
      </c>
      <c r="L648" s="8" t="s">
        <v>26</v>
      </c>
    </row>
    <row r="649" ht="20" customHeight="1" spans="1:12" x14ac:dyDescent="0.25">
      <c r="A649" s="28" t="s">
        <v>2845</v>
      </c>
      <c r="B649" s="28" t="s">
        <v>1196</v>
      </c>
      <c r="C649" s="24">
        <f>IF(B649&lt;&gt;"",IFERROR(VLOOKUP(B649,'📦 Productos'!A:C,3,FALSE),IFERROR(VLOOKUP(B649&amp;"",'📦 Productos'!A:C,3,FALSE),IFERROR(VLOOKUP(VALUE(B649),'📦 Productos'!A:C,3,FALSE),""))),"")</f>
      </c>
      <c r="D649" s="28" t="s">
        <v>1197</v>
      </c>
      <c r="E649" s="29" t="s">
        <v>26</v>
      </c>
      <c r="F649" s="30">
        <v>0</v>
      </c>
      <c r="G649" s="31">
        <v>0</v>
      </c>
      <c r="H649" s="32"/>
      <c r="I649" s="14">
        <f>IF(AND(G649&gt;0,H649&gt;0),ROUND((1-H649/G649)*100,0),0)</f>
        <v>0</v>
      </c>
      <c r="J649" s="35" t="s">
        <v>28</v>
      </c>
      <c r="K649" s="30" t="s">
        <v>1888</v>
      </c>
      <c r="L649" s="29" t="s">
        <v>26</v>
      </c>
    </row>
    <row r="650" ht="20" customHeight="1" spans="1:12" x14ac:dyDescent="0.25">
      <c r="A650" s="7" t="s">
        <v>2846</v>
      </c>
      <c r="B650" s="7" t="s">
        <v>1199</v>
      </c>
      <c r="C650" s="24">
        <f>IF(B650&lt;&gt;"",IFERROR(VLOOKUP(B650,'📦 Productos'!A:C,3,FALSE),IFERROR(VLOOKUP(B650&amp;"",'📦 Productos'!A:C,3,FALSE),IFERROR(VLOOKUP(VALUE(B650),'📦 Productos'!A:C,3,FALSE),""))),"")</f>
      </c>
      <c r="D650" s="7" t="s">
        <v>1200</v>
      </c>
      <c r="E650" s="8" t="s">
        <v>26</v>
      </c>
      <c r="F650" s="12">
        <v>0</v>
      </c>
      <c r="G650" s="25">
        <v>0</v>
      </c>
      <c r="H650" s="26"/>
      <c r="I650" s="14">
        <f>IF(AND(G650&gt;0,H650&gt;0),ROUND((1-H650/G650)*100,0),0)</f>
        <v>0</v>
      </c>
      <c r="J650" s="34" t="s">
        <v>28</v>
      </c>
      <c r="K650" s="12" t="s">
        <v>1888</v>
      </c>
      <c r="L650" s="8" t="s">
        <v>26</v>
      </c>
    </row>
    <row r="651" ht="20" customHeight="1" spans="1:12" x14ac:dyDescent="0.25">
      <c r="A651" s="28" t="s">
        <v>2847</v>
      </c>
      <c r="B651" s="28" t="s">
        <v>1202</v>
      </c>
      <c r="C651" s="24">
        <f>IF(B651&lt;&gt;"",IFERROR(VLOOKUP(B651,'📦 Productos'!A:C,3,FALSE),IFERROR(VLOOKUP(B651&amp;"",'📦 Productos'!A:C,3,FALSE),IFERROR(VLOOKUP(VALUE(B651),'📦 Productos'!A:C,3,FALSE),""))),"")</f>
      </c>
      <c r="D651" s="28" t="s">
        <v>1203</v>
      </c>
      <c r="E651" s="29" t="s">
        <v>26</v>
      </c>
      <c r="F651" s="30">
        <v>0</v>
      </c>
      <c r="G651" s="31">
        <v>0</v>
      </c>
      <c r="H651" s="32"/>
      <c r="I651" s="14">
        <f>IF(AND(G651&gt;0,H651&gt;0),ROUND((1-H651/G651)*100,0),0)</f>
        <v>0</v>
      </c>
      <c r="J651" s="35" t="s">
        <v>28</v>
      </c>
      <c r="K651" s="30" t="s">
        <v>1888</v>
      </c>
      <c r="L651" s="29" t="s">
        <v>26</v>
      </c>
    </row>
    <row r="652" ht="20" customHeight="1" spans="1:12" x14ac:dyDescent="0.25">
      <c r="A652" s="7" t="s">
        <v>2848</v>
      </c>
      <c r="B652" s="7" t="s">
        <v>1205</v>
      </c>
      <c r="C652" s="24">
        <f>IF(B652&lt;&gt;"",IFERROR(VLOOKUP(B652,'📦 Productos'!A:C,3,FALSE),IFERROR(VLOOKUP(B652&amp;"",'📦 Productos'!A:C,3,FALSE),IFERROR(VLOOKUP(VALUE(B652),'📦 Productos'!A:C,3,FALSE),""))),"")</f>
      </c>
      <c r="D652" s="7" t="s">
        <v>1206</v>
      </c>
      <c r="E652" s="8" t="s">
        <v>26</v>
      </c>
      <c r="F652" s="12">
        <v>0</v>
      </c>
      <c r="G652" s="25">
        <v>0</v>
      </c>
      <c r="H652" s="26"/>
      <c r="I652" s="14">
        <f>IF(AND(G652&gt;0,H652&gt;0),ROUND((1-H652/G652)*100,0),0)</f>
        <v>0</v>
      </c>
      <c r="J652" s="34" t="s">
        <v>28</v>
      </c>
      <c r="K652" s="12" t="s">
        <v>1888</v>
      </c>
      <c r="L652" s="8" t="s">
        <v>26</v>
      </c>
    </row>
    <row r="653" ht="20" customHeight="1" spans="1:12" x14ac:dyDescent="0.25">
      <c r="A653" s="28" t="s">
        <v>2849</v>
      </c>
      <c r="B653" s="28" t="s">
        <v>1208</v>
      </c>
      <c r="C653" s="24">
        <f>IF(B653&lt;&gt;"",IFERROR(VLOOKUP(B653,'📦 Productos'!A:C,3,FALSE),IFERROR(VLOOKUP(B653&amp;"",'📦 Productos'!A:C,3,FALSE),IFERROR(VLOOKUP(VALUE(B653),'📦 Productos'!A:C,3,FALSE),""))),"")</f>
      </c>
      <c r="D653" s="28" t="s">
        <v>1209</v>
      </c>
      <c r="E653" s="29" t="s">
        <v>26</v>
      </c>
      <c r="F653" s="30">
        <v>0</v>
      </c>
      <c r="G653" s="31">
        <v>0</v>
      </c>
      <c r="H653" s="32"/>
      <c r="I653" s="14">
        <f>IF(AND(G653&gt;0,H653&gt;0),ROUND((1-H653/G653)*100,0),0)</f>
        <v>0</v>
      </c>
      <c r="J653" s="35" t="s">
        <v>28</v>
      </c>
      <c r="K653" s="30" t="s">
        <v>1888</v>
      </c>
      <c r="L653" s="29" t="s">
        <v>26</v>
      </c>
    </row>
    <row r="654" ht="20" customHeight="1" spans="1:12" x14ac:dyDescent="0.25">
      <c r="A654" s="7" t="s">
        <v>2850</v>
      </c>
      <c r="B654" s="7" t="s">
        <v>1211</v>
      </c>
      <c r="C654" s="24">
        <f>IF(B654&lt;&gt;"",IFERROR(VLOOKUP(B654,'📦 Productos'!A:C,3,FALSE),IFERROR(VLOOKUP(B654&amp;"",'📦 Productos'!A:C,3,FALSE),IFERROR(VLOOKUP(VALUE(B654),'📦 Productos'!A:C,3,FALSE),""))),"")</f>
      </c>
      <c r="D654" s="7" t="s">
        <v>1212</v>
      </c>
      <c r="E654" s="8" t="s">
        <v>26</v>
      </c>
      <c r="F654" s="12">
        <v>0</v>
      </c>
      <c r="G654" s="25">
        <v>0</v>
      </c>
      <c r="H654" s="26"/>
      <c r="I654" s="14">
        <f>IF(AND(G654&gt;0,H654&gt;0),ROUND((1-H654/G654)*100,0),0)</f>
        <v>0</v>
      </c>
      <c r="J654" s="34" t="s">
        <v>28</v>
      </c>
      <c r="K654" s="12" t="s">
        <v>1888</v>
      </c>
      <c r="L654" s="8" t="s">
        <v>26</v>
      </c>
    </row>
    <row r="655" ht="20" customHeight="1" spans="1:12" x14ac:dyDescent="0.25">
      <c r="A655" s="28" t="s">
        <v>2851</v>
      </c>
      <c r="B655" s="28" t="s">
        <v>1214</v>
      </c>
      <c r="C655" s="24">
        <f>IF(B655&lt;&gt;"",IFERROR(VLOOKUP(B655,'📦 Productos'!A:C,3,FALSE),IFERROR(VLOOKUP(B655&amp;"",'📦 Productos'!A:C,3,FALSE),IFERROR(VLOOKUP(VALUE(B655),'📦 Productos'!A:C,3,FALSE),""))),"")</f>
      </c>
      <c r="D655" s="28" t="s">
        <v>1215</v>
      </c>
      <c r="E655" s="29" t="s">
        <v>26</v>
      </c>
      <c r="F655" s="30">
        <v>0</v>
      </c>
      <c r="G655" s="31">
        <v>0</v>
      </c>
      <c r="H655" s="32"/>
      <c r="I655" s="14">
        <f>IF(AND(G655&gt;0,H655&gt;0),ROUND((1-H655/G655)*100,0),0)</f>
        <v>0</v>
      </c>
      <c r="J655" s="35" t="s">
        <v>28</v>
      </c>
      <c r="K655" s="30" t="s">
        <v>1888</v>
      </c>
      <c r="L655" s="29" t="s">
        <v>26</v>
      </c>
    </row>
    <row r="656" ht="20" customHeight="1" spans="1:12" x14ac:dyDescent="0.25">
      <c r="A656" s="7" t="s">
        <v>2852</v>
      </c>
      <c r="B656" s="7" t="s">
        <v>1217</v>
      </c>
      <c r="C656" s="24">
        <f>IF(B656&lt;&gt;"",IFERROR(VLOOKUP(B656,'📦 Productos'!A:C,3,FALSE),IFERROR(VLOOKUP(B656&amp;"",'📦 Productos'!A:C,3,FALSE),IFERROR(VLOOKUP(VALUE(B656),'📦 Productos'!A:C,3,FALSE),""))),"")</f>
      </c>
      <c r="D656" s="7" t="s">
        <v>1218</v>
      </c>
      <c r="E656" s="8" t="s">
        <v>26</v>
      </c>
      <c r="F656" s="12">
        <v>0</v>
      </c>
      <c r="G656" s="25">
        <v>0</v>
      </c>
      <c r="H656" s="26"/>
      <c r="I656" s="14">
        <f>IF(AND(G656&gt;0,H656&gt;0),ROUND((1-H656/G656)*100,0),0)</f>
        <v>0</v>
      </c>
      <c r="J656" s="34" t="s">
        <v>28</v>
      </c>
      <c r="K656" s="12" t="s">
        <v>1888</v>
      </c>
      <c r="L656" s="8" t="s">
        <v>26</v>
      </c>
    </row>
    <row r="657" ht="20" customHeight="1" spans="1:12" x14ac:dyDescent="0.25">
      <c r="A657" s="28" t="s">
        <v>2853</v>
      </c>
      <c r="B657" s="28" t="s">
        <v>1220</v>
      </c>
      <c r="C657" s="24">
        <f>IF(B657&lt;&gt;"",IFERROR(VLOOKUP(B657,'📦 Productos'!A:C,3,FALSE),IFERROR(VLOOKUP(B657&amp;"",'📦 Productos'!A:C,3,FALSE),IFERROR(VLOOKUP(VALUE(B657),'📦 Productos'!A:C,3,FALSE),""))),"")</f>
      </c>
      <c r="D657" s="28" t="s">
        <v>1221</v>
      </c>
      <c r="E657" s="29" t="s">
        <v>26</v>
      </c>
      <c r="F657" s="30">
        <v>0</v>
      </c>
      <c r="G657" s="31">
        <v>0</v>
      </c>
      <c r="H657" s="32"/>
      <c r="I657" s="14">
        <f>IF(AND(G657&gt;0,H657&gt;0),ROUND((1-H657/G657)*100,0),0)</f>
        <v>0</v>
      </c>
      <c r="J657" s="35" t="s">
        <v>28</v>
      </c>
      <c r="K657" s="30" t="s">
        <v>1888</v>
      </c>
      <c r="L657" s="29" t="s">
        <v>26</v>
      </c>
    </row>
    <row r="658" ht="20" customHeight="1" spans="1:12" x14ac:dyDescent="0.25">
      <c r="A658" s="7" t="s">
        <v>2854</v>
      </c>
      <c r="B658" s="7" t="s">
        <v>1223</v>
      </c>
      <c r="C658" s="24">
        <f>IF(B658&lt;&gt;"",IFERROR(VLOOKUP(B658,'📦 Productos'!A:C,3,FALSE),IFERROR(VLOOKUP(B658&amp;"",'📦 Productos'!A:C,3,FALSE),IFERROR(VLOOKUP(VALUE(B658),'📦 Productos'!A:C,3,FALSE),""))),"")</f>
      </c>
      <c r="D658" s="7" t="s">
        <v>1224</v>
      </c>
      <c r="E658" s="8" t="s">
        <v>26</v>
      </c>
      <c r="F658" s="12">
        <v>0</v>
      </c>
      <c r="G658" s="25">
        <v>0</v>
      </c>
      <c r="H658" s="26"/>
      <c r="I658" s="14">
        <f>IF(AND(G658&gt;0,H658&gt;0),ROUND((1-H658/G658)*100,0),0)</f>
        <v>0</v>
      </c>
      <c r="J658" s="34" t="s">
        <v>28</v>
      </c>
      <c r="K658" s="12" t="s">
        <v>1888</v>
      </c>
      <c r="L658" s="8" t="s">
        <v>26</v>
      </c>
    </row>
    <row r="659" ht="20" customHeight="1" spans="1:12" x14ac:dyDescent="0.25">
      <c r="A659" s="28" t="s">
        <v>2855</v>
      </c>
      <c r="B659" s="28" t="s">
        <v>1226</v>
      </c>
      <c r="C659" s="24">
        <f>IF(B659&lt;&gt;"",IFERROR(VLOOKUP(B659,'📦 Productos'!A:C,3,FALSE),IFERROR(VLOOKUP(B659&amp;"",'📦 Productos'!A:C,3,FALSE),IFERROR(VLOOKUP(VALUE(B659),'📦 Productos'!A:C,3,FALSE),""))),"")</f>
      </c>
      <c r="D659" s="28" t="s">
        <v>1227</v>
      </c>
      <c r="E659" s="29" t="s">
        <v>26</v>
      </c>
      <c r="F659" s="30">
        <v>0</v>
      </c>
      <c r="G659" s="31">
        <v>0</v>
      </c>
      <c r="H659" s="32"/>
      <c r="I659" s="14">
        <f>IF(AND(G659&gt;0,H659&gt;0),ROUND((1-H659/G659)*100,0),0)</f>
        <v>0</v>
      </c>
      <c r="J659" s="35" t="s">
        <v>28</v>
      </c>
      <c r="K659" s="30" t="s">
        <v>1888</v>
      </c>
      <c r="L659" s="29" t="s">
        <v>26</v>
      </c>
    </row>
    <row r="660" ht="20" customHeight="1" spans="1:12" x14ac:dyDescent="0.25">
      <c r="A660" s="7" t="s">
        <v>2856</v>
      </c>
      <c r="B660" s="7" t="s">
        <v>1229</v>
      </c>
      <c r="C660" s="24">
        <f>IF(B660&lt;&gt;"",IFERROR(VLOOKUP(B660,'📦 Productos'!A:C,3,FALSE),IFERROR(VLOOKUP(B660&amp;"",'📦 Productos'!A:C,3,FALSE),IFERROR(VLOOKUP(VALUE(B660),'📦 Productos'!A:C,3,FALSE),""))),"")</f>
      </c>
      <c r="D660" s="7" t="s">
        <v>1230</v>
      </c>
      <c r="E660" s="8" t="s">
        <v>26</v>
      </c>
      <c r="F660" s="12">
        <v>0</v>
      </c>
      <c r="G660" s="25">
        <v>0</v>
      </c>
      <c r="H660" s="26"/>
      <c r="I660" s="14">
        <f>IF(AND(G660&gt;0,H660&gt;0),ROUND((1-H660/G660)*100,0),0)</f>
        <v>0</v>
      </c>
      <c r="J660" s="34" t="s">
        <v>28</v>
      </c>
      <c r="K660" s="12" t="s">
        <v>1888</v>
      </c>
      <c r="L660" s="8" t="s">
        <v>26</v>
      </c>
    </row>
    <row r="661" ht="20" customHeight="1" spans="1:12" x14ac:dyDescent="0.25">
      <c r="A661" s="28" t="s">
        <v>2857</v>
      </c>
      <c r="B661" s="28" t="s">
        <v>1232</v>
      </c>
      <c r="C661" s="24">
        <f>IF(B661&lt;&gt;"",IFERROR(VLOOKUP(B661,'📦 Productos'!A:C,3,FALSE),IFERROR(VLOOKUP(B661&amp;"",'📦 Productos'!A:C,3,FALSE),IFERROR(VLOOKUP(VALUE(B661),'📦 Productos'!A:C,3,FALSE),""))),"")</f>
      </c>
      <c r="D661" s="28" t="s">
        <v>1233</v>
      </c>
      <c r="E661" s="29" t="s">
        <v>26</v>
      </c>
      <c r="F661" s="30">
        <v>0</v>
      </c>
      <c r="G661" s="31">
        <v>0</v>
      </c>
      <c r="H661" s="32"/>
      <c r="I661" s="14">
        <f>IF(AND(G661&gt;0,H661&gt;0),ROUND((1-H661/G661)*100,0),0)</f>
        <v>0</v>
      </c>
      <c r="J661" s="35" t="s">
        <v>28</v>
      </c>
      <c r="K661" s="30" t="s">
        <v>1888</v>
      </c>
      <c r="L661" s="29" t="s">
        <v>26</v>
      </c>
    </row>
    <row r="662" ht="20" customHeight="1" spans="1:12" x14ac:dyDescent="0.25">
      <c r="A662" s="7" t="s">
        <v>2858</v>
      </c>
      <c r="B662" s="7" t="s">
        <v>1235</v>
      </c>
      <c r="C662" s="24">
        <f>IF(B662&lt;&gt;"",IFERROR(VLOOKUP(B662,'📦 Productos'!A:C,3,FALSE),IFERROR(VLOOKUP(B662&amp;"",'📦 Productos'!A:C,3,FALSE),IFERROR(VLOOKUP(VALUE(B662),'📦 Productos'!A:C,3,FALSE),""))),"")</f>
      </c>
      <c r="D662" s="7" t="s">
        <v>1236</v>
      </c>
      <c r="E662" s="8" t="s">
        <v>26</v>
      </c>
      <c r="F662" s="12">
        <v>0</v>
      </c>
      <c r="G662" s="25">
        <v>0</v>
      </c>
      <c r="H662" s="26"/>
      <c r="I662" s="14">
        <f>IF(AND(G662&gt;0,H662&gt;0),ROUND((1-H662/G662)*100,0),0)</f>
        <v>0</v>
      </c>
      <c r="J662" s="34" t="s">
        <v>28</v>
      </c>
      <c r="K662" s="12" t="s">
        <v>1888</v>
      </c>
      <c r="L662" s="8" t="s">
        <v>26</v>
      </c>
    </row>
    <row r="663" ht="20" customHeight="1" spans="1:12" x14ac:dyDescent="0.25">
      <c r="A663" s="28" t="s">
        <v>2859</v>
      </c>
      <c r="B663" s="28" t="s">
        <v>1237</v>
      </c>
      <c r="C663" s="24">
        <f>IF(B663&lt;&gt;"",IFERROR(VLOOKUP(B663,'📦 Productos'!A:C,3,FALSE),IFERROR(VLOOKUP(B663&amp;"",'📦 Productos'!A:C,3,FALSE),IFERROR(VLOOKUP(VALUE(B663),'📦 Productos'!A:C,3,FALSE),""))),"")</f>
      </c>
      <c r="D663" s="28" t="s">
        <v>1238</v>
      </c>
      <c r="E663" s="29" t="s">
        <v>26</v>
      </c>
      <c r="F663" s="30">
        <v>0</v>
      </c>
      <c r="G663" s="31">
        <v>0</v>
      </c>
      <c r="H663" s="32"/>
      <c r="I663" s="14">
        <f>IF(AND(G663&gt;0,H663&gt;0),ROUND((1-H663/G663)*100,0),0)</f>
        <v>0</v>
      </c>
      <c r="J663" s="35" t="s">
        <v>28</v>
      </c>
      <c r="K663" s="30" t="s">
        <v>1888</v>
      </c>
      <c r="L663" s="29" t="s">
        <v>26</v>
      </c>
    </row>
    <row r="664" ht="20" customHeight="1" spans="1:12" x14ac:dyDescent="0.25">
      <c r="A664" s="7" t="s">
        <v>2860</v>
      </c>
      <c r="B664" s="7" t="s">
        <v>1240</v>
      </c>
      <c r="C664" s="24">
        <f>IF(B664&lt;&gt;"",IFERROR(VLOOKUP(B664,'📦 Productos'!A:C,3,FALSE),IFERROR(VLOOKUP(B664&amp;"",'📦 Productos'!A:C,3,FALSE),IFERROR(VLOOKUP(VALUE(B664),'📦 Productos'!A:C,3,FALSE),""))),"")</f>
      </c>
      <c r="D664" s="7" t="s">
        <v>1241</v>
      </c>
      <c r="E664" s="8" t="s">
        <v>26</v>
      </c>
      <c r="F664" s="12">
        <v>0</v>
      </c>
      <c r="G664" s="25">
        <v>0</v>
      </c>
      <c r="H664" s="26"/>
      <c r="I664" s="14">
        <f>IF(AND(G664&gt;0,H664&gt;0),ROUND((1-H664/G664)*100,0),0)</f>
        <v>0</v>
      </c>
      <c r="J664" s="34" t="s">
        <v>28</v>
      </c>
      <c r="K664" s="12" t="s">
        <v>1888</v>
      </c>
      <c r="L664" s="8" t="s">
        <v>26</v>
      </c>
    </row>
    <row r="665" ht="20" customHeight="1" spans="1:12" x14ac:dyDescent="0.25">
      <c r="A665" s="28" t="s">
        <v>2861</v>
      </c>
      <c r="B665" s="28" t="s">
        <v>1243</v>
      </c>
      <c r="C665" s="24">
        <f>IF(B665&lt;&gt;"",IFERROR(VLOOKUP(B665,'📦 Productos'!A:C,3,FALSE),IFERROR(VLOOKUP(B665&amp;"",'📦 Productos'!A:C,3,FALSE),IFERROR(VLOOKUP(VALUE(B665),'📦 Productos'!A:C,3,FALSE),""))),"")</f>
      </c>
      <c r="D665" s="28" t="s">
        <v>1244</v>
      </c>
      <c r="E665" s="29" t="s">
        <v>26</v>
      </c>
      <c r="F665" s="30">
        <v>0</v>
      </c>
      <c r="G665" s="31">
        <v>0</v>
      </c>
      <c r="H665" s="32"/>
      <c r="I665" s="14">
        <f>IF(AND(G665&gt;0,H665&gt;0),ROUND((1-H665/G665)*100,0),0)</f>
        <v>0</v>
      </c>
      <c r="J665" s="35" t="s">
        <v>28</v>
      </c>
      <c r="K665" s="30" t="s">
        <v>1888</v>
      </c>
      <c r="L665" s="29" t="s">
        <v>26</v>
      </c>
    </row>
    <row r="666" ht="20" customHeight="1" spans="1:12" x14ac:dyDescent="0.25">
      <c r="A666" s="7" t="s">
        <v>2862</v>
      </c>
      <c r="B666" s="7" t="s">
        <v>1246</v>
      </c>
      <c r="C666" s="24">
        <f>IF(B666&lt;&gt;"",IFERROR(VLOOKUP(B666,'📦 Productos'!A:C,3,FALSE),IFERROR(VLOOKUP(B666&amp;"",'📦 Productos'!A:C,3,FALSE),IFERROR(VLOOKUP(VALUE(B666),'📦 Productos'!A:C,3,FALSE),""))),"")</f>
      </c>
      <c r="D666" s="7" t="s">
        <v>1247</v>
      </c>
      <c r="E666" s="8" t="s">
        <v>26</v>
      </c>
      <c r="F666" s="12">
        <v>0</v>
      </c>
      <c r="G666" s="25">
        <v>0</v>
      </c>
      <c r="H666" s="26"/>
      <c r="I666" s="14">
        <f>IF(AND(G666&gt;0,H666&gt;0),ROUND((1-H666/G666)*100,0),0)</f>
        <v>0</v>
      </c>
      <c r="J666" s="34" t="s">
        <v>28</v>
      </c>
      <c r="K666" s="12" t="s">
        <v>1888</v>
      </c>
      <c r="L666" s="8" t="s">
        <v>26</v>
      </c>
    </row>
    <row r="667" ht="20" customHeight="1" spans="1:12" x14ac:dyDescent="0.25">
      <c r="A667" s="28" t="s">
        <v>2863</v>
      </c>
      <c r="B667" s="28" t="s">
        <v>1249</v>
      </c>
      <c r="C667" s="24">
        <f>IF(B667&lt;&gt;"",IFERROR(VLOOKUP(B667,'📦 Productos'!A:C,3,FALSE),IFERROR(VLOOKUP(B667&amp;"",'📦 Productos'!A:C,3,FALSE),IFERROR(VLOOKUP(VALUE(B667),'📦 Productos'!A:C,3,FALSE),""))),"")</f>
      </c>
      <c r="D667" s="28" t="s">
        <v>1250</v>
      </c>
      <c r="E667" s="29" t="s">
        <v>26</v>
      </c>
      <c r="F667" s="30">
        <v>0</v>
      </c>
      <c r="G667" s="31">
        <v>0</v>
      </c>
      <c r="H667" s="32"/>
      <c r="I667" s="14">
        <f>IF(AND(G667&gt;0,H667&gt;0),ROUND((1-H667/G667)*100,0),0)</f>
        <v>0</v>
      </c>
      <c r="J667" s="35" t="s">
        <v>28</v>
      </c>
      <c r="K667" s="30" t="s">
        <v>1888</v>
      </c>
      <c r="L667" s="29" t="s">
        <v>26</v>
      </c>
    </row>
    <row r="668" ht="20" customHeight="1" spans="1:12" x14ac:dyDescent="0.25">
      <c r="A668" s="7" t="s">
        <v>2864</v>
      </c>
      <c r="B668" s="7" t="s">
        <v>1252</v>
      </c>
      <c r="C668" s="24">
        <f>IF(B668&lt;&gt;"",IFERROR(VLOOKUP(B668,'📦 Productos'!A:C,3,FALSE),IFERROR(VLOOKUP(B668&amp;"",'📦 Productos'!A:C,3,FALSE),IFERROR(VLOOKUP(VALUE(B668),'📦 Productos'!A:C,3,FALSE),""))),"")</f>
      </c>
      <c r="D668" s="7" t="s">
        <v>1253</v>
      </c>
      <c r="E668" s="8" t="s">
        <v>26</v>
      </c>
      <c r="F668" s="12">
        <v>0</v>
      </c>
      <c r="G668" s="25">
        <v>0</v>
      </c>
      <c r="H668" s="26"/>
      <c r="I668" s="14">
        <f>IF(AND(G668&gt;0,H668&gt;0),ROUND((1-H668/G668)*100,0),0)</f>
        <v>0</v>
      </c>
      <c r="J668" s="34" t="s">
        <v>28</v>
      </c>
      <c r="K668" s="12" t="s">
        <v>1888</v>
      </c>
      <c r="L668" s="8" t="s">
        <v>26</v>
      </c>
    </row>
    <row r="669" ht="20" customHeight="1" spans="1:12" x14ac:dyDescent="0.25">
      <c r="A669" s="28" t="s">
        <v>2865</v>
      </c>
      <c r="B669" s="28" t="s">
        <v>1255</v>
      </c>
      <c r="C669" s="24">
        <f>IF(B669&lt;&gt;"",IFERROR(VLOOKUP(B669,'📦 Productos'!A:C,3,FALSE),IFERROR(VLOOKUP(B669&amp;"",'📦 Productos'!A:C,3,FALSE),IFERROR(VLOOKUP(VALUE(B669),'📦 Productos'!A:C,3,FALSE),""))),"")</f>
      </c>
      <c r="D669" s="28" t="s">
        <v>1256</v>
      </c>
      <c r="E669" s="29" t="s">
        <v>26</v>
      </c>
      <c r="F669" s="30">
        <v>0</v>
      </c>
      <c r="G669" s="31">
        <v>0</v>
      </c>
      <c r="H669" s="32"/>
      <c r="I669" s="14">
        <f>IF(AND(G669&gt;0,H669&gt;0),ROUND((1-H669/G669)*100,0),0)</f>
        <v>0</v>
      </c>
      <c r="J669" s="35" t="s">
        <v>28</v>
      </c>
      <c r="K669" s="30" t="s">
        <v>1888</v>
      </c>
      <c r="L669" s="29" t="s">
        <v>26</v>
      </c>
    </row>
    <row r="670" ht="20" customHeight="1" spans="1:12" x14ac:dyDescent="0.25">
      <c r="A670" s="7" t="s">
        <v>2866</v>
      </c>
      <c r="B670" s="7" t="s">
        <v>1258</v>
      </c>
      <c r="C670" s="24">
        <f>IF(B670&lt;&gt;"",IFERROR(VLOOKUP(B670,'📦 Productos'!A:C,3,FALSE),IFERROR(VLOOKUP(B670&amp;"",'📦 Productos'!A:C,3,FALSE),IFERROR(VLOOKUP(VALUE(B670),'📦 Productos'!A:C,3,FALSE),""))),"")</f>
      </c>
      <c r="D670" s="7" t="s">
        <v>1259</v>
      </c>
      <c r="E670" s="8" t="s">
        <v>26</v>
      </c>
      <c r="F670" s="12">
        <v>0</v>
      </c>
      <c r="G670" s="25">
        <v>0</v>
      </c>
      <c r="H670" s="26"/>
      <c r="I670" s="14">
        <f>IF(AND(G670&gt;0,H670&gt;0),ROUND((1-H670/G670)*100,0),0)</f>
        <v>0</v>
      </c>
      <c r="J670" s="34" t="s">
        <v>28</v>
      </c>
      <c r="K670" s="12" t="s">
        <v>1888</v>
      </c>
      <c r="L670" s="8" t="s">
        <v>26</v>
      </c>
    </row>
    <row r="671" ht="20" customHeight="1" spans="1:12" x14ac:dyDescent="0.25">
      <c r="A671" s="28" t="s">
        <v>2867</v>
      </c>
      <c r="B671" s="28" t="s">
        <v>1261</v>
      </c>
      <c r="C671" s="24">
        <f>IF(B671&lt;&gt;"",IFERROR(VLOOKUP(B671,'📦 Productos'!A:C,3,FALSE),IFERROR(VLOOKUP(B671&amp;"",'📦 Productos'!A:C,3,FALSE),IFERROR(VLOOKUP(VALUE(B671),'📦 Productos'!A:C,3,FALSE),""))),"")</f>
      </c>
      <c r="D671" s="28" t="s">
        <v>1262</v>
      </c>
      <c r="E671" s="29" t="s">
        <v>26</v>
      </c>
      <c r="F671" s="30">
        <v>0</v>
      </c>
      <c r="G671" s="31">
        <v>0</v>
      </c>
      <c r="H671" s="32"/>
      <c r="I671" s="14">
        <f>IF(AND(G671&gt;0,H671&gt;0),ROUND((1-H671/G671)*100,0),0)</f>
        <v>0</v>
      </c>
      <c r="J671" s="35" t="s">
        <v>28</v>
      </c>
      <c r="K671" s="30" t="s">
        <v>1888</v>
      </c>
      <c r="L671" s="29" t="s">
        <v>26</v>
      </c>
    </row>
    <row r="672" ht="20" customHeight="1" spans="1:12" x14ac:dyDescent="0.25">
      <c r="A672" s="7" t="s">
        <v>2868</v>
      </c>
      <c r="B672" s="7" t="s">
        <v>1264</v>
      </c>
      <c r="C672" s="24">
        <f>IF(B672&lt;&gt;"",IFERROR(VLOOKUP(B672,'📦 Productos'!A:C,3,FALSE),IFERROR(VLOOKUP(B672&amp;"",'📦 Productos'!A:C,3,FALSE),IFERROR(VLOOKUP(VALUE(B672),'📦 Productos'!A:C,3,FALSE),""))),"")</f>
      </c>
      <c r="D672" s="7" t="s">
        <v>1265</v>
      </c>
      <c r="E672" s="8" t="s">
        <v>26</v>
      </c>
      <c r="F672" s="12">
        <v>0</v>
      </c>
      <c r="G672" s="25">
        <v>0</v>
      </c>
      <c r="H672" s="26"/>
      <c r="I672" s="14">
        <f>IF(AND(G672&gt;0,H672&gt;0),ROUND((1-H672/G672)*100,0),0)</f>
        <v>0</v>
      </c>
      <c r="J672" s="34" t="s">
        <v>28</v>
      </c>
      <c r="K672" s="12" t="s">
        <v>1888</v>
      </c>
      <c r="L672" s="8" t="s">
        <v>26</v>
      </c>
    </row>
    <row r="673" ht="20" customHeight="1" spans="1:12" x14ac:dyDescent="0.25">
      <c r="A673" s="28" t="s">
        <v>2869</v>
      </c>
      <c r="B673" s="28" t="s">
        <v>1267</v>
      </c>
      <c r="C673" s="24">
        <f>IF(B673&lt;&gt;"",IFERROR(VLOOKUP(B673,'📦 Productos'!A:C,3,FALSE),IFERROR(VLOOKUP(B673&amp;"",'📦 Productos'!A:C,3,FALSE),IFERROR(VLOOKUP(VALUE(B673),'📦 Productos'!A:C,3,FALSE),""))),"")</f>
      </c>
      <c r="D673" s="28" t="s">
        <v>1268</v>
      </c>
      <c r="E673" s="29" t="s">
        <v>26</v>
      </c>
      <c r="F673" s="30">
        <v>0</v>
      </c>
      <c r="G673" s="31">
        <v>0</v>
      </c>
      <c r="H673" s="32"/>
      <c r="I673" s="14">
        <f>IF(AND(G673&gt;0,H673&gt;0),ROUND((1-H673/G673)*100,0),0)</f>
        <v>0</v>
      </c>
      <c r="J673" s="35" t="s">
        <v>28</v>
      </c>
      <c r="K673" s="30" t="s">
        <v>1888</v>
      </c>
      <c r="L673" s="29" t="s">
        <v>26</v>
      </c>
    </row>
    <row r="674" ht="20" customHeight="1" spans="1:12" x14ac:dyDescent="0.25">
      <c r="A674" s="7" t="s">
        <v>2870</v>
      </c>
      <c r="B674" s="7" t="s">
        <v>1270</v>
      </c>
      <c r="C674" s="24">
        <f>IF(B674&lt;&gt;"",IFERROR(VLOOKUP(B674,'📦 Productos'!A:C,3,FALSE),IFERROR(VLOOKUP(B674&amp;"",'📦 Productos'!A:C,3,FALSE),IFERROR(VLOOKUP(VALUE(B674),'📦 Productos'!A:C,3,FALSE),""))),"")</f>
      </c>
      <c r="D674" s="7" t="s">
        <v>1271</v>
      </c>
      <c r="E674" s="8" t="s">
        <v>26</v>
      </c>
      <c r="F674" s="12">
        <v>0</v>
      </c>
      <c r="G674" s="25">
        <v>0</v>
      </c>
      <c r="H674" s="26"/>
      <c r="I674" s="14">
        <f>IF(AND(G674&gt;0,H674&gt;0),ROUND((1-H674/G674)*100,0),0)</f>
        <v>0</v>
      </c>
      <c r="J674" s="34" t="s">
        <v>28</v>
      </c>
      <c r="K674" s="12" t="s">
        <v>1888</v>
      </c>
      <c r="L674" s="8" t="s">
        <v>26</v>
      </c>
    </row>
    <row r="675" ht="20" customHeight="1" spans="1:12" x14ac:dyDescent="0.25">
      <c r="A675" s="28" t="s">
        <v>2871</v>
      </c>
      <c r="B675" s="28" t="s">
        <v>1273</v>
      </c>
      <c r="C675" s="24">
        <f>IF(B675&lt;&gt;"",IFERROR(VLOOKUP(B675,'📦 Productos'!A:C,3,FALSE),IFERROR(VLOOKUP(B675&amp;"",'📦 Productos'!A:C,3,FALSE),IFERROR(VLOOKUP(VALUE(B675),'📦 Productos'!A:C,3,FALSE),""))),"")</f>
      </c>
      <c r="D675" s="28" t="s">
        <v>1274</v>
      </c>
      <c r="E675" s="29" t="s">
        <v>26</v>
      </c>
      <c r="F675" s="30">
        <v>0</v>
      </c>
      <c r="G675" s="31">
        <v>0</v>
      </c>
      <c r="H675" s="32"/>
      <c r="I675" s="14">
        <f>IF(AND(G675&gt;0,H675&gt;0),ROUND((1-H675/G675)*100,0),0)</f>
        <v>0</v>
      </c>
      <c r="J675" s="35" t="s">
        <v>28</v>
      </c>
      <c r="K675" s="30" t="s">
        <v>1888</v>
      </c>
      <c r="L675" s="29" t="s">
        <v>26</v>
      </c>
    </row>
    <row r="676" ht="20" customHeight="1" spans="1:12" x14ac:dyDescent="0.25">
      <c r="A676" s="7" t="s">
        <v>2872</v>
      </c>
      <c r="B676" s="7" t="s">
        <v>1276</v>
      </c>
      <c r="C676" s="24">
        <f>IF(B676&lt;&gt;"",IFERROR(VLOOKUP(B676,'📦 Productos'!A:C,3,FALSE),IFERROR(VLOOKUP(B676&amp;"",'📦 Productos'!A:C,3,FALSE),IFERROR(VLOOKUP(VALUE(B676),'📦 Productos'!A:C,3,FALSE),""))),"")</f>
      </c>
      <c r="D676" s="7" t="s">
        <v>1277</v>
      </c>
      <c r="E676" s="8" t="s">
        <v>26</v>
      </c>
      <c r="F676" s="12">
        <v>0</v>
      </c>
      <c r="G676" s="25">
        <v>0</v>
      </c>
      <c r="H676" s="26"/>
      <c r="I676" s="14">
        <f>IF(AND(G676&gt;0,H676&gt;0),ROUND((1-H676/G676)*100,0),0)</f>
        <v>0</v>
      </c>
      <c r="J676" s="34" t="s">
        <v>28</v>
      </c>
      <c r="K676" s="12" t="s">
        <v>1888</v>
      </c>
      <c r="L676" s="8" t="s">
        <v>26</v>
      </c>
    </row>
    <row r="677" ht="20" customHeight="1" spans="1:12" x14ac:dyDescent="0.25">
      <c r="A677" s="28" t="s">
        <v>2873</v>
      </c>
      <c r="B677" s="28" t="s">
        <v>1279</v>
      </c>
      <c r="C677" s="24">
        <f>IF(B677&lt;&gt;"",IFERROR(VLOOKUP(B677,'📦 Productos'!A:C,3,FALSE),IFERROR(VLOOKUP(B677&amp;"",'📦 Productos'!A:C,3,FALSE),IFERROR(VLOOKUP(VALUE(B677),'📦 Productos'!A:C,3,FALSE),""))),"")</f>
      </c>
      <c r="D677" s="28" t="s">
        <v>1280</v>
      </c>
      <c r="E677" s="29" t="s">
        <v>26</v>
      </c>
      <c r="F677" s="30">
        <v>0</v>
      </c>
      <c r="G677" s="31">
        <v>0</v>
      </c>
      <c r="H677" s="32"/>
      <c r="I677" s="14">
        <f>IF(AND(G677&gt;0,H677&gt;0),ROUND((1-H677/G677)*100,0),0)</f>
        <v>0</v>
      </c>
      <c r="J677" s="35" t="s">
        <v>28</v>
      </c>
      <c r="K677" s="30" t="s">
        <v>1888</v>
      </c>
      <c r="L677" s="29" t="s">
        <v>26</v>
      </c>
    </row>
    <row r="678" ht="20" customHeight="1" spans="1:12" x14ac:dyDescent="0.25">
      <c r="A678" s="7" t="s">
        <v>2874</v>
      </c>
      <c r="B678" s="7" t="s">
        <v>1282</v>
      </c>
      <c r="C678" s="24">
        <f>IF(B678&lt;&gt;"",IFERROR(VLOOKUP(B678,'📦 Productos'!A:C,3,FALSE),IFERROR(VLOOKUP(B678&amp;"",'📦 Productos'!A:C,3,FALSE),IFERROR(VLOOKUP(VALUE(B678),'📦 Productos'!A:C,3,FALSE),""))),"")</f>
      </c>
      <c r="D678" s="7" t="s">
        <v>1283</v>
      </c>
      <c r="E678" s="8" t="s">
        <v>26</v>
      </c>
      <c r="F678" s="12">
        <v>0</v>
      </c>
      <c r="G678" s="25">
        <v>0</v>
      </c>
      <c r="H678" s="26"/>
      <c r="I678" s="14">
        <f>IF(AND(G678&gt;0,H678&gt;0),ROUND((1-H678/G678)*100,0),0)</f>
        <v>0</v>
      </c>
      <c r="J678" s="34" t="s">
        <v>28</v>
      </c>
      <c r="K678" s="12" t="s">
        <v>1888</v>
      </c>
      <c r="L678" s="8" t="s">
        <v>26</v>
      </c>
    </row>
    <row r="679" ht="20" customHeight="1" spans="1:12" x14ac:dyDescent="0.25">
      <c r="A679" s="28" t="s">
        <v>2875</v>
      </c>
      <c r="B679" s="28" t="s">
        <v>1285</v>
      </c>
      <c r="C679" s="24">
        <f>IF(B679&lt;&gt;"",IFERROR(VLOOKUP(B679,'📦 Productos'!A:C,3,FALSE),IFERROR(VLOOKUP(B679&amp;"",'📦 Productos'!A:C,3,FALSE),IFERROR(VLOOKUP(VALUE(B679),'📦 Productos'!A:C,3,FALSE),""))),"")</f>
      </c>
      <c r="D679" s="28" t="s">
        <v>1286</v>
      </c>
      <c r="E679" s="29" t="s">
        <v>26</v>
      </c>
      <c r="F679" s="30">
        <v>0</v>
      </c>
      <c r="G679" s="31">
        <v>0</v>
      </c>
      <c r="H679" s="32"/>
      <c r="I679" s="14">
        <f>IF(AND(G679&gt;0,H679&gt;0),ROUND((1-H679/G679)*100,0),0)</f>
        <v>0</v>
      </c>
      <c r="J679" s="35" t="s">
        <v>28</v>
      </c>
      <c r="K679" s="30" t="s">
        <v>1888</v>
      </c>
      <c r="L679" s="29" t="s">
        <v>26</v>
      </c>
    </row>
    <row r="680" ht="20" customHeight="1" spans="1:12" x14ac:dyDescent="0.25">
      <c r="A680" s="7" t="s">
        <v>2876</v>
      </c>
      <c r="B680" s="7" t="s">
        <v>1288</v>
      </c>
      <c r="C680" s="24">
        <f>IF(B680&lt;&gt;"",IFERROR(VLOOKUP(B680,'📦 Productos'!A:C,3,FALSE),IFERROR(VLOOKUP(B680&amp;"",'📦 Productos'!A:C,3,FALSE),IFERROR(VLOOKUP(VALUE(B680),'📦 Productos'!A:C,3,FALSE),""))),"")</f>
      </c>
      <c r="D680" s="7" t="s">
        <v>1289</v>
      </c>
      <c r="E680" s="8" t="s">
        <v>26</v>
      </c>
      <c r="F680" s="12">
        <v>0</v>
      </c>
      <c r="G680" s="25">
        <v>0</v>
      </c>
      <c r="H680" s="26"/>
      <c r="I680" s="14">
        <f>IF(AND(G680&gt;0,H680&gt;0),ROUND((1-H680/G680)*100,0),0)</f>
        <v>0</v>
      </c>
      <c r="J680" s="34" t="s">
        <v>28</v>
      </c>
      <c r="K680" s="12" t="s">
        <v>1888</v>
      </c>
      <c r="L680" s="8" t="s">
        <v>26</v>
      </c>
    </row>
    <row r="681" ht="20" customHeight="1" spans="1:12" x14ac:dyDescent="0.25">
      <c r="A681" s="28" t="s">
        <v>2877</v>
      </c>
      <c r="B681" s="28" t="s">
        <v>1291</v>
      </c>
      <c r="C681" s="24">
        <f>IF(B681&lt;&gt;"",IFERROR(VLOOKUP(B681,'📦 Productos'!A:C,3,FALSE),IFERROR(VLOOKUP(B681&amp;"",'📦 Productos'!A:C,3,FALSE),IFERROR(VLOOKUP(VALUE(B681),'📦 Productos'!A:C,3,FALSE),""))),"")</f>
      </c>
      <c r="D681" s="28" t="s">
        <v>1292</v>
      </c>
      <c r="E681" s="29" t="s">
        <v>26</v>
      </c>
      <c r="F681" s="30">
        <v>0</v>
      </c>
      <c r="G681" s="31">
        <v>0</v>
      </c>
      <c r="H681" s="32"/>
      <c r="I681" s="14">
        <f>IF(AND(G681&gt;0,H681&gt;0),ROUND((1-H681/G681)*100,0),0)</f>
        <v>0</v>
      </c>
      <c r="J681" s="35" t="s">
        <v>28</v>
      </c>
      <c r="K681" s="30" t="s">
        <v>1888</v>
      </c>
      <c r="L681" s="29" t="s">
        <v>26</v>
      </c>
    </row>
    <row r="682" ht="20" customHeight="1" spans="1:12" x14ac:dyDescent="0.25">
      <c r="A682" s="7" t="s">
        <v>2878</v>
      </c>
      <c r="B682" s="7" t="s">
        <v>1294</v>
      </c>
      <c r="C682" s="24">
        <f>IF(B682&lt;&gt;"",IFERROR(VLOOKUP(B682,'📦 Productos'!A:C,3,FALSE),IFERROR(VLOOKUP(B682&amp;"",'📦 Productos'!A:C,3,FALSE),IFERROR(VLOOKUP(VALUE(B682),'📦 Productos'!A:C,3,FALSE),""))),"")</f>
      </c>
      <c r="D682" s="7" t="s">
        <v>1295</v>
      </c>
      <c r="E682" s="8" t="s">
        <v>26</v>
      </c>
      <c r="F682" s="12">
        <v>0</v>
      </c>
      <c r="G682" s="25">
        <v>0</v>
      </c>
      <c r="H682" s="26"/>
      <c r="I682" s="14">
        <f>IF(AND(G682&gt;0,H682&gt;0),ROUND((1-H682/G682)*100,0),0)</f>
        <v>0</v>
      </c>
      <c r="J682" s="34" t="s">
        <v>28</v>
      </c>
      <c r="K682" s="12" t="s">
        <v>1888</v>
      </c>
      <c r="L682" s="8" t="s">
        <v>26</v>
      </c>
    </row>
    <row r="683" ht="20" customHeight="1" spans="1:12" x14ac:dyDescent="0.25">
      <c r="A683" s="28" t="s">
        <v>2879</v>
      </c>
      <c r="B683" s="28" t="s">
        <v>1297</v>
      </c>
      <c r="C683" s="24">
        <f>IF(B683&lt;&gt;"",IFERROR(VLOOKUP(B683,'📦 Productos'!A:C,3,FALSE),IFERROR(VLOOKUP(B683&amp;"",'📦 Productos'!A:C,3,FALSE),IFERROR(VLOOKUP(VALUE(B683),'📦 Productos'!A:C,3,FALSE),""))),"")</f>
      </c>
      <c r="D683" s="28" t="s">
        <v>1298</v>
      </c>
      <c r="E683" s="29" t="s">
        <v>26</v>
      </c>
      <c r="F683" s="30">
        <v>0</v>
      </c>
      <c r="G683" s="31">
        <v>0</v>
      </c>
      <c r="H683" s="32"/>
      <c r="I683" s="14">
        <f>IF(AND(G683&gt;0,H683&gt;0),ROUND((1-H683/G683)*100,0),0)</f>
        <v>0</v>
      </c>
      <c r="J683" s="35" t="s">
        <v>28</v>
      </c>
      <c r="K683" s="30" t="s">
        <v>1888</v>
      </c>
      <c r="L683" s="29" t="s">
        <v>26</v>
      </c>
    </row>
    <row r="684" ht="20" customHeight="1" spans="1:12" x14ac:dyDescent="0.25">
      <c r="A684" s="7" t="s">
        <v>2880</v>
      </c>
      <c r="B684" s="7" t="s">
        <v>1300</v>
      </c>
      <c r="C684" s="24">
        <f>IF(B684&lt;&gt;"",IFERROR(VLOOKUP(B684,'📦 Productos'!A:C,3,FALSE),IFERROR(VLOOKUP(B684&amp;"",'📦 Productos'!A:C,3,FALSE),IFERROR(VLOOKUP(VALUE(B684),'📦 Productos'!A:C,3,FALSE),""))),"")</f>
      </c>
      <c r="D684" s="7" t="s">
        <v>1301</v>
      </c>
      <c r="E684" s="8" t="s">
        <v>26</v>
      </c>
      <c r="F684" s="12">
        <v>0</v>
      </c>
      <c r="G684" s="25">
        <v>0</v>
      </c>
      <c r="H684" s="26"/>
      <c r="I684" s="14">
        <f>IF(AND(G684&gt;0,H684&gt;0),ROUND((1-H684/G684)*100,0),0)</f>
        <v>0</v>
      </c>
      <c r="J684" s="34" t="s">
        <v>28</v>
      </c>
      <c r="K684" s="12" t="s">
        <v>1888</v>
      </c>
      <c r="L684" s="8" t="s">
        <v>26</v>
      </c>
    </row>
    <row r="685" ht="20" customHeight="1" spans="1:12" x14ac:dyDescent="0.25">
      <c r="A685" s="28" t="s">
        <v>2881</v>
      </c>
      <c r="B685" s="28" t="s">
        <v>1303</v>
      </c>
      <c r="C685" s="24">
        <f>IF(B685&lt;&gt;"",IFERROR(VLOOKUP(B685,'📦 Productos'!A:C,3,FALSE),IFERROR(VLOOKUP(B685&amp;"",'📦 Productos'!A:C,3,FALSE),IFERROR(VLOOKUP(VALUE(B685),'📦 Productos'!A:C,3,FALSE),""))),"")</f>
      </c>
      <c r="D685" s="28" t="s">
        <v>1304</v>
      </c>
      <c r="E685" s="29" t="s">
        <v>26</v>
      </c>
      <c r="F685" s="30">
        <v>0</v>
      </c>
      <c r="G685" s="31">
        <v>0</v>
      </c>
      <c r="H685" s="32"/>
      <c r="I685" s="14">
        <f>IF(AND(G685&gt;0,H685&gt;0),ROUND((1-H685/G685)*100,0),0)</f>
        <v>0</v>
      </c>
      <c r="J685" s="35" t="s">
        <v>28</v>
      </c>
      <c r="K685" s="30" t="s">
        <v>1888</v>
      </c>
      <c r="L685" s="29" t="s">
        <v>26</v>
      </c>
    </row>
    <row r="686" ht="20" customHeight="1" spans="1:12" x14ac:dyDescent="0.25">
      <c r="A686" s="7" t="s">
        <v>2882</v>
      </c>
      <c r="B686" s="7" t="s">
        <v>1306</v>
      </c>
      <c r="C686" s="24">
        <f>IF(B686&lt;&gt;"",IFERROR(VLOOKUP(B686,'📦 Productos'!A:C,3,FALSE),IFERROR(VLOOKUP(B686&amp;"",'📦 Productos'!A:C,3,FALSE),IFERROR(VLOOKUP(VALUE(B686),'📦 Productos'!A:C,3,FALSE),""))),"")</f>
      </c>
      <c r="D686" s="7" t="s">
        <v>1307</v>
      </c>
      <c r="E686" s="8" t="s">
        <v>26</v>
      </c>
      <c r="F686" s="12">
        <v>0</v>
      </c>
      <c r="G686" s="25">
        <v>0</v>
      </c>
      <c r="H686" s="26"/>
      <c r="I686" s="14">
        <f>IF(AND(G686&gt;0,H686&gt;0),ROUND((1-H686/G686)*100,0),0)</f>
        <v>0</v>
      </c>
      <c r="J686" s="34" t="s">
        <v>28</v>
      </c>
      <c r="K686" s="12" t="s">
        <v>1888</v>
      </c>
      <c r="L686" s="8" t="s">
        <v>26</v>
      </c>
    </row>
    <row r="687" ht="20" customHeight="1" spans="1:12" x14ac:dyDescent="0.25">
      <c r="A687" s="28" t="s">
        <v>2883</v>
      </c>
      <c r="B687" s="28" t="s">
        <v>1309</v>
      </c>
      <c r="C687" s="24">
        <f>IF(B687&lt;&gt;"",IFERROR(VLOOKUP(B687,'📦 Productos'!A:C,3,FALSE),IFERROR(VLOOKUP(B687&amp;"",'📦 Productos'!A:C,3,FALSE),IFERROR(VLOOKUP(VALUE(B687),'📦 Productos'!A:C,3,FALSE),""))),"")</f>
      </c>
      <c r="D687" s="28" t="s">
        <v>1310</v>
      </c>
      <c r="E687" s="29" t="s">
        <v>26</v>
      </c>
      <c r="F687" s="30">
        <v>0</v>
      </c>
      <c r="G687" s="31">
        <v>0</v>
      </c>
      <c r="H687" s="32"/>
      <c r="I687" s="14">
        <f>IF(AND(G687&gt;0,H687&gt;0),ROUND((1-H687/G687)*100,0),0)</f>
        <v>0</v>
      </c>
      <c r="J687" s="35" t="s">
        <v>28</v>
      </c>
      <c r="K687" s="30" t="s">
        <v>1888</v>
      </c>
      <c r="L687" s="29" t="s">
        <v>26</v>
      </c>
    </row>
    <row r="688" ht="20" customHeight="1" spans="1:12" x14ac:dyDescent="0.25">
      <c r="A688" s="7" t="s">
        <v>2884</v>
      </c>
      <c r="B688" s="7" t="s">
        <v>1312</v>
      </c>
      <c r="C688" s="24">
        <f>IF(B688&lt;&gt;"",IFERROR(VLOOKUP(B688,'📦 Productos'!A:C,3,FALSE),IFERROR(VLOOKUP(B688&amp;"",'📦 Productos'!A:C,3,FALSE),IFERROR(VLOOKUP(VALUE(B688),'📦 Productos'!A:C,3,FALSE),""))),"")</f>
      </c>
      <c r="D688" s="7" t="s">
        <v>1313</v>
      </c>
      <c r="E688" s="8" t="s">
        <v>26</v>
      </c>
      <c r="F688" s="12">
        <v>0</v>
      </c>
      <c r="G688" s="25">
        <v>0</v>
      </c>
      <c r="H688" s="26"/>
      <c r="I688" s="14">
        <f>IF(AND(G688&gt;0,H688&gt;0),ROUND((1-H688/G688)*100,0),0)</f>
        <v>0</v>
      </c>
      <c r="J688" s="34" t="s">
        <v>28</v>
      </c>
      <c r="K688" s="12" t="s">
        <v>1888</v>
      </c>
      <c r="L688" s="8" t="s">
        <v>26</v>
      </c>
    </row>
    <row r="689" ht="20" customHeight="1" spans="1:12" x14ac:dyDescent="0.25">
      <c r="A689" s="28" t="s">
        <v>2885</v>
      </c>
      <c r="B689" s="28" t="s">
        <v>1315</v>
      </c>
      <c r="C689" s="24">
        <f>IF(B689&lt;&gt;"",IFERROR(VLOOKUP(B689,'📦 Productos'!A:C,3,FALSE),IFERROR(VLOOKUP(B689&amp;"",'📦 Productos'!A:C,3,FALSE),IFERROR(VLOOKUP(VALUE(B689),'📦 Productos'!A:C,3,FALSE),""))),"")</f>
      </c>
      <c r="D689" s="28" t="s">
        <v>1316</v>
      </c>
      <c r="E689" s="29" t="s">
        <v>26</v>
      </c>
      <c r="F689" s="30">
        <v>0</v>
      </c>
      <c r="G689" s="31">
        <v>0</v>
      </c>
      <c r="H689" s="32"/>
      <c r="I689" s="14">
        <f>IF(AND(G689&gt;0,H689&gt;0),ROUND((1-H689/G689)*100,0),0)</f>
        <v>0</v>
      </c>
      <c r="J689" s="35" t="s">
        <v>28</v>
      </c>
      <c r="K689" s="30" t="s">
        <v>1888</v>
      </c>
      <c r="L689" s="29" t="s">
        <v>26</v>
      </c>
    </row>
    <row r="690" ht="20" customHeight="1" spans="1:12" x14ac:dyDescent="0.25">
      <c r="A690" s="7" t="s">
        <v>2886</v>
      </c>
      <c r="B690" s="7" t="s">
        <v>1318</v>
      </c>
      <c r="C690" s="24">
        <f>IF(B690&lt;&gt;"",IFERROR(VLOOKUP(B690,'📦 Productos'!A:C,3,FALSE),IFERROR(VLOOKUP(B690&amp;"",'📦 Productos'!A:C,3,FALSE),IFERROR(VLOOKUP(VALUE(B690),'📦 Productos'!A:C,3,FALSE),""))),"")</f>
      </c>
      <c r="D690" s="7" t="s">
        <v>1319</v>
      </c>
      <c r="E690" s="8" t="s">
        <v>26</v>
      </c>
      <c r="F690" s="12">
        <v>0</v>
      </c>
      <c r="G690" s="25">
        <v>0</v>
      </c>
      <c r="H690" s="26"/>
      <c r="I690" s="14">
        <f>IF(AND(G690&gt;0,H690&gt;0),ROUND((1-H690/G690)*100,0),0)</f>
        <v>0</v>
      </c>
      <c r="J690" s="34" t="s">
        <v>28</v>
      </c>
      <c r="K690" s="12" t="s">
        <v>1888</v>
      </c>
      <c r="L690" s="8" t="s">
        <v>26</v>
      </c>
    </row>
    <row r="691" ht="20" customHeight="1" spans="1:12" x14ac:dyDescent="0.25">
      <c r="A691" s="28" t="s">
        <v>2887</v>
      </c>
      <c r="B691" s="28" t="s">
        <v>1321</v>
      </c>
      <c r="C691" s="24">
        <f>IF(B691&lt;&gt;"",IFERROR(VLOOKUP(B691,'📦 Productos'!A:C,3,FALSE),IFERROR(VLOOKUP(B691&amp;"",'📦 Productos'!A:C,3,FALSE),IFERROR(VLOOKUP(VALUE(B691),'📦 Productos'!A:C,3,FALSE),""))),"")</f>
      </c>
      <c r="D691" s="28" t="s">
        <v>1322</v>
      </c>
      <c r="E691" s="29" t="s">
        <v>26</v>
      </c>
      <c r="F691" s="30">
        <v>0</v>
      </c>
      <c r="G691" s="31">
        <v>0</v>
      </c>
      <c r="H691" s="32"/>
      <c r="I691" s="14">
        <f>IF(AND(G691&gt;0,H691&gt;0),ROUND((1-H691/G691)*100,0),0)</f>
        <v>0</v>
      </c>
      <c r="J691" s="35" t="s">
        <v>28</v>
      </c>
      <c r="K691" s="30" t="s">
        <v>1888</v>
      </c>
      <c r="L691" s="29" t="s">
        <v>26</v>
      </c>
    </row>
    <row r="692" ht="20" customHeight="1" spans="1:12" x14ac:dyDescent="0.25">
      <c r="A692" s="7" t="s">
        <v>2888</v>
      </c>
      <c r="B692" s="7" t="s">
        <v>1324</v>
      </c>
      <c r="C692" s="24">
        <f>IF(B692&lt;&gt;"",IFERROR(VLOOKUP(B692,'📦 Productos'!A:C,3,FALSE),IFERROR(VLOOKUP(B692&amp;"",'📦 Productos'!A:C,3,FALSE),IFERROR(VLOOKUP(VALUE(B692),'📦 Productos'!A:C,3,FALSE),""))),"")</f>
      </c>
      <c r="D692" s="7" t="s">
        <v>1325</v>
      </c>
      <c r="E692" s="8" t="s">
        <v>26</v>
      </c>
      <c r="F692" s="12">
        <v>0</v>
      </c>
      <c r="G692" s="25">
        <v>0</v>
      </c>
      <c r="H692" s="26"/>
      <c r="I692" s="14">
        <f>IF(AND(G692&gt;0,H692&gt;0),ROUND((1-H692/G692)*100,0),0)</f>
        <v>0</v>
      </c>
      <c r="J692" s="34" t="s">
        <v>28</v>
      </c>
      <c r="K692" s="12" t="s">
        <v>1888</v>
      </c>
      <c r="L692" s="8" t="s">
        <v>26</v>
      </c>
    </row>
    <row r="693" ht="20" customHeight="1" spans="1:12" x14ac:dyDescent="0.25">
      <c r="A693" s="28" t="s">
        <v>2889</v>
      </c>
      <c r="B693" s="28" t="s">
        <v>1327</v>
      </c>
      <c r="C693" s="24">
        <f>IF(B693&lt;&gt;"",IFERROR(VLOOKUP(B693,'📦 Productos'!A:C,3,FALSE),IFERROR(VLOOKUP(B693&amp;"",'📦 Productos'!A:C,3,FALSE),IFERROR(VLOOKUP(VALUE(B693),'📦 Productos'!A:C,3,FALSE),""))),"")</f>
      </c>
      <c r="D693" s="28" t="s">
        <v>1328</v>
      </c>
      <c r="E693" s="29" t="s">
        <v>26</v>
      </c>
      <c r="F693" s="30">
        <v>0</v>
      </c>
      <c r="G693" s="31">
        <v>0</v>
      </c>
      <c r="H693" s="32"/>
      <c r="I693" s="14">
        <f>IF(AND(G693&gt;0,H693&gt;0),ROUND((1-H693/G693)*100,0),0)</f>
        <v>0</v>
      </c>
      <c r="J693" s="35" t="s">
        <v>28</v>
      </c>
      <c r="K693" s="30" t="s">
        <v>1888</v>
      </c>
      <c r="L693" s="29" t="s">
        <v>26</v>
      </c>
    </row>
    <row r="694" ht="20" customHeight="1" spans="1:12" x14ac:dyDescent="0.25">
      <c r="A694" s="7" t="s">
        <v>2890</v>
      </c>
      <c r="B694" s="7" t="s">
        <v>1330</v>
      </c>
      <c r="C694" s="24">
        <f>IF(B694&lt;&gt;"",IFERROR(VLOOKUP(B694,'📦 Productos'!A:C,3,FALSE),IFERROR(VLOOKUP(B694&amp;"",'📦 Productos'!A:C,3,FALSE),IFERROR(VLOOKUP(VALUE(B694),'📦 Productos'!A:C,3,FALSE),""))),"")</f>
      </c>
      <c r="D694" s="7" t="s">
        <v>1331</v>
      </c>
      <c r="E694" s="8" t="s">
        <v>26</v>
      </c>
      <c r="F694" s="12">
        <v>0</v>
      </c>
      <c r="G694" s="25">
        <v>0</v>
      </c>
      <c r="H694" s="26"/>
      <c r="I694" s="14">
        <f>IF(AND(G694&gt;0,H694&gt;0),ROUND((1-H694/G694)*100,0),0)</f>
        <v>0</v>
      </c>
      <c r="J694" s="34" t="s">
        <v>28</v>
      </c>
      <c r="K694" s="12" t="s">
        <v>1888</v>
      </c>
      <c r="L694" s="8" t="s">
        <v>26</v>
      </c>
    </row>
    <row r="695" ht="20" customHeight="1" spans="1:12" x14ac:dyDescent="0.25">
      <c r="A695" s="28" t="s">
        <v>2891</v>
      </c>
      <c r="B695" s="28" t="s">
        <v>1333</v>
      </c>
      <c r="C695" s="24">
        <f>IF(B695&lt;&gt;"",IFERROR(VLOOKUP(B695,'📦 Productos'!A:C,3,FALSE),IFERROR(VLOOKUP(B695&amp;"",'📦 Productos'!A:C,3,FALSE),IFERROR(VLOOKUP(VALUE(B695),'📦 Productos'!A:C,3,FALSE),""))),"")</f>
      </c>
      <c r="D695" s="28" t="s">
        <v>1334</v>
      </c>
      <c r="E695" s="29" t="s">
        <v>26</v>
      </c>
      <c r="F695" s="30">
        <v>0</v>
      </c>
      <c r="G695" s="31">
        <v>0</v>
      </c>
      <c r="H695" s="32"/>
      <c r="I695" s="14">
        <f>IF(AND(G695&gt;0,H695&gt;0),ROUND((1-H695/G695)*100,0),0)</f>
        <v>0</v>
      </c>
      <c r="J695" s="35" t="s">
        <v>28</v>
      </c>
      <c r="K695" s="30" t="s">
        <v>1888</v>
      </c>
      <c r="L695" s="29" t="s">
        <v>26</v>
      </c>
    </row>
    <row r="696" ht="20" customHeight="1" spans="1:12" x14ac:dyDescent="0.25">
      <c r="A696" s="7" t="s">
        <v>2892</v>
      </c>
      <c r="B696" s="7" t="s">
        <v>1336</v>
      </c>
      <c r="C696" s="24">
        <f>IF(B696&lt;&gt;"",IFERROR(VLOOKUP(B696,'📦 Productos'!A:C,3,FALSE),IFERROR(VLOOKUP(B696&amp;"",'📦 Productos'!A:C,3,FALSE),IFERROR(VLOOKUP(VALUE(B696),'📦 Productos'!A:C,3,FALSE),""))),"")</f>
      </c>
      <c r="D696" s="7" t="s">
        <v>1337</v>
      </c>
      <c r="E696" s="8" t="s">
        <v>26</v>
      </c>
      <c r="F696" s="12">
        <v>0</v>
      </c>
      <c r="G696" s="25">
        <v>0</v>
      </c>
      <c r="H696" s="26"/>
      <c r="I696" s="14">
        <f>IF(AND(G696&gt;0,H696&gt;0),ROUND((1-H696/G696)*100,0),0)</f>
        <v>0</v>
      </c>
      <c r="J696" s="34" t="s">
        <v>28</v>
      </c>
      <c r="K696" s="12" t="s">
        <v>1888</v>
      </c>
      <c r="L696" s="8" t="s">
        <v>26</v>
      </c>
    </row>
    <row r="697" ht="20" customHeight="1" spans="1:12" x14ac:dyDescent="0.25">
      <c r="A697" s="28" t="s">
        <v>2893</v>
      </c>
      <c r="B697" s="28" t="s">
        <v>1339</v>
      </c>
      <c r="C697" s="24">
        <f>IF(B697&lt;&gt;"",IFERROR(VLOOKUP(B697,'📦 Productos'!A:C,3,FALSE),IFERROR(VLOOKUP(B697&amp;"",'📦 Productos'!A:C,3,FALSE),IFERROR(VLOOKUP(VALUE(B697),'📦 Productos'!A:C,3,FALSE),""))),"")</f>
      </c>
      <c r="D697" s="28" t="s">
        <v>1340</v>
      </c>
      <c r="E697" s="29" t="s">
        <v>26</v>
      </c>
      <c r="F697" s="30">
        <v>0</v>
      </c>
      <c r="G697" s="31">
        <v>0</v>
      </c>
      <c r="H697" s="32"/>
      <c r="I697" s="14">
        <f>IF(AND(G697&gt;0,H697&gt;0),ROUND((1-H697/G697)*100,0),0)</f>
        <v>0</v>
      </c>
      <c r="J697" s="35" t="s">
        <v>28</v>
      </c>
      <c r="K697" s="30" t="s">
        <v>1888</v>
      </c>
      <c r="L697" s="29" t="s">
        <v>26</v>
      </c>
    </row>
    <row r="698" ht="20" customHeight="1" spans="1:12" x14ac:dyDescent="0.25">
      <c r="A698" s="7" t="s">
        <v>2894</v>
      </c>
      <c r="B698" s="7" t="s">
        <v>1342</v>
      </c>
      <c r="C698" s="24">
        <f>IF(B698&lt;&gt;"",IFERROR(VLOOKUP(B698,'📦 Productos'!A:C,3,FALSE),IFERROR(VLOOKUP(B698&amp;"",'📦 Productos'!A:C,3,FALSE),IFERROR(VLOOKUP(VALUE(B698),'📦 Productos'!A:C,3,FALSE),""))),"")</f>
      </c>
      <c r="D698" s="7" t="s">
        <v>1343</v>
      </c>
      <c r="E698" s="8" t="s">
        <v>26</v>
      </c>
      <c r="F698" s="12">
        <v>0</v>
      </c>
      <c r="G698" s="25">
        <v>0</v>
      </c>
      <c r="H698" s="26"/>
      <c r="I698" s="14">
        <f>IF(AND(G698&gt;0,H698&gt;0),ROUND((1-H698/G698)*100,0),0)</f>
        <v>0</v>
      </c>
      <c r="J698" s="34" t="s">
        <v>28</v>
      </c>
      <c r="K698" s="12" t="s">
        <v>1888</v>
      </c>
      <c r="L698" s="8" t="s">
        <v>26</v>
      </c>
    </row>
    <row r="699" ht="20" customHeight="1" spans="1:12" x14ac:dyDescent="0.25">
      <c r="A699" s="28" t="s">
        <v>2895</v>
      </c>
      <c r="B699" s="28" t="s">
        <v>1345</v>
      </c>
      <c r="C699" s="24">
        <f>IF(B699&lt;&gt;"",IFERROR(VLOOKUP(B699,'📦 Productos'!A:C,3,FALSE),IFERROR(VLOOKUP(B699&amp;"",'📦 Productos'!A:C,3,FALSE),IFERROR(VLOOKUP(VALUE(B699),'📦 Productos'!A:C,3,FALSE),""))),"")</f>
      </c>
      <c r="D699" s="28" t="s">
        <v>1346</v>
      </c>
      <c r="E699" s="29" t="s">
        <v>26</v>
      </c>
      <c r="F699" s="30">
        <v>0</v>
      </c>
      <c r="G699" s="31">
        <v>0</v>
      </c>
      <c r="H699" s="32"/>
      <c r="I699" s="14">
        <f>IF(AND(G699&gt;0,H699&gt;0),ROUND((1-H699/G699)*100,0),0)</f>
        <v>0</v>
      </c>
      <c r="J699" s="35" t="s">
        <v>28</v>
      </c>
      <c r="K699" s="30" t="s">
        <v>1888</v>
      </c>
      <c r="L699" s="29" t="s">
        <v>26</v>
      </c>
    </row>
    <row r="700" ht="20" customHeight="1" spans="1:12" x14ac:dyDescent="0.25">
      <c r="A700" s="7" t="s">
        <v>2896</v>
      </c>
      <c r="B700" s="7" t="s">
        <v>1348</v>
      </c>
      <c r="C700" s="24">
        <f>IF(B700&lt;&gt;"",IFERROR(VLOOKUP(B700,'📦 Productos'!A:C,3,FALSE),IFERROR(VLOOKUP(B700&amp;"",'📦 Productos'!A:C,3,FALSE),IFERROR(VLOOKUP(VALUE(B700),'📦 Productos'!A:C,3,FALSE),""))),"")</f>
      </c>
      <c r="D700" s="7" t="s">
        <v>1349</v>
      </c>
      <c r="E700" s="8" t="s">
        <v>26</v>
      </c>
      <c r="F700" s="12">
        <v>0</v>
      </c>
      <c r="G700" s="25">
        <v>0</v>
      </c>
      <c r="H700" s="26"/>
      <c r="I700" s="14">
        <f>IF(AND(G700&gt;0,H700&gt;0),ROUND((1-H700/G700)*100,0),0)</f>
        <v>0</v>
      </c>
      <c r="J700" s="34" t="s">
        <v>28</v>
      </c>
      <c r="K700" s="12" t="s">
        <v>1888</v>
      </c>
      <c r="L700" s="8" t="s">
        <v>26</v>
      </c>
    </row>
    <row r="701" ht="20" customHeight="1" spans="1:12" x14ac:dyDescent="0.25">
      <c r="A701" s="28" t="s">
        <v>2897</v>
      </c>
      <c r="B701" s="28" t="s">
        <v>1351</v>
      </c>
      <c r="C701" s="24">
        <f>IF(B701&lt;&gt;"",IFERROR(VLOOKUP(B701,'📦 Productos'!A:C,3,FALSE),IFERROR(VLOOKUP(B701&amp;"",'📦 Productos'!A:C,3,FALSE),IFERROR(VLOOKUP(VALUE(B701),'📦 Productos'!A:C,3,FALSE),""))),"")</f>
      </c>
      <c r="D701" s="28" t="s">
        <v>1352</v>
      </c>
      <c r="E701" s="29" t="s">
        <v>26</v>
      </c>
      <c r="F701" s="30">
        <v>0</v>
      </c>
      <c r="G701" s="31">
        <v>0</v>
      </c>
      <c r="H701" s="32"/>
      <c r="I701" s="14">
        <f>IF(AND(G701&gt;0,H701&gt;0),ROUND((1-H701/G701)*100,0),0)</f>
        <v>0</v>
      </c>
      <c r="J701" s="35" t="s">
        <v>28</v>
      </c>
      <c r="K701" s="30" t="s">
        <v>1888</v>
      </c>
      <c r="L701" s="29" t="s">
        <v>26</v>
      </c>
    </row>
    <row r="702" ht="20" customHeight="1" spans="1:12" x14ac:dyDescent="0.25">
      <c r="A702" s="7" t="s">
        <v>2898</v>
      </c>
      <c r="B702" s="7" t="s">
        <v>1354</v>
      </c>
      <c r="C702" s="24">
        <f>IF(B702&lt;&gt;"",IFERROR(VLOOKUP(B702,'📦 Productos'!A:C,3,FALSE),IFERROR(VLOOKUP(B702&amp;"",'📦 Productos'!A:C,3,FALSE),IFERROR(VLOOKUP(VALUE(B702),'📦 Productos'!A:C,3,FALSE),""))),"")</f>
      </c>
      <c r="D702" s="7" t="s">
        <v>1355</v>
      </c>
      <c r="E702" s="8" t="s">
        <v>26</v>
      </c>
      <c r="F702" s="12">
        <v>0</v>
      </c>
      <c r="G702" s="25">
        <v>0</v>
      </c>
      <c r="H702" s="26"/>
      <c r="I702" s="14">
        <f>IF(AND(G702&gt;0,H702&gt;0),ROUND((1-H702/G702)*100,0),0)</f>
        <v>0</v>
      </c>
      <c r="J702" s="34" t="s">
        <v>28</v>
      </c>
      <c r="K702" s="12" t="s">
        <v>1888</v>
      </c>
      <c r="L702" s="8" t="s">
        <v>26</v>
      </c>
    </row>
    <row r="703" ht="20" customHeight="1" spans="1:12" x14ac:dyDescent="0.25">
      <c r="A703" s="28" t="s">
        <v>2899</v>
      </c>
      <c r="B703" s="28" t="s">
        <v>1357</v>
      </c>
      <c r="C703" s="24">
        <f>IF(B703&lt;&gt;"",IFERROR(VLOOKUP(B703,'📦 Productos'!A:C,3,FALSE),IFERROR(VLOOKUP(B703&amp;"",'📦 Productos'!A:C,3,FALSE),IFERROR(VLOOKUP(VALUE(B703),'📦 Productos'!A:C,3,FALSE),""))),"")</f>
      </c>
      <c r="D703" s="28" t="s">
        <v>1358</v>
      </c>
      <c r="E703" s="29" t="s">
        <v>26</v>
      </c>
      <c r="F703" s="30">
        <v>0</v>
      </c>
      <c r="G703" s="31">
        <v>0</v>
      </c>
      <c r="H703" s="32"/>
      <c r="I703" s="14">
        <f>IF(AND(G703&gt;0,H703&gt;0),ROUND((1-H703/G703)*100,0),0)</f>
        <v>0</v>
      </c>
      <c r="J703" s="35" t="s">
        <v>28</v>
      </c>
      <c r="K703" s="30" t="s">
        <v>1888</v>
      </c>
      <c r="L703" s="29" t="s">
        <v>26</v>
      </c>
    </row>
    <row r="704" ht="20" customHeight="1" spans="1:12" x14ac:dyDescent="0.25">
      <c r="A704" s="7" t="s">
        <v>2900</v>
      </c>
      <c r="B704" s="7" t="s">
        <v>1360</v>
      </c>
      <c r="C704" s="24">
        <f>IF(B704&lt;&gt;"",IFERROR(VLOOKUP(B704,'📦 Productos'!A:C,3,FALSE),IFERROR(VLOOKUP(B704&amp;"",'📦 Productos'!A:C,3,FALSE),IFERROR(VLOOKUP(VALUE(B704),'📦 Productos'!A:C,3,FALSE),""))),"")</f>
      </c>
      <c r="D704" s="7" t="s">
        <v>1361</v>
      </c>
      <c r="E704" s="8" t="s">
        <v>26</v>
      </c>
      <c r="F704" s="12">
        <v>0</v>
      </c>
      <c r="G704" s="25">
        <v>0</v>
      </c>
      <c r="H704" s="26"/>
      <c r="I704" s="14">
        <f>IF(AND(G704&gt;0,H704&gt;0),ROUND((1-H704/G704)*100,0),0)</f>
        <v>0</v>
      </c>
      <c r="J704" s="34" t="s">
        <v>28</v>
      </c>
      <c r="K704" s="12" t="s">
        <v>1888</v>
      </c>
      <c r="L704" s="8" t="s">
        <v>26</v>
      </c>
    </row>
    <row r="705" ht="20" customHeight="1" spans="1:12" x14ac:dyDescent="0.25">
      <c r="A705" s="28" t="s">
        <v>2901</v>
      </c>
      <c r="B705" s="28" t="s">
        <v>1363</v>
      </c>
      <c r="C705" s="24">
        <f>IF(B705&lt;&gt;"",IFERROR(VLOOKUP(B705,'📦 Productos'!A:C,3,FALSE),IFERROR(VLOOKUP(B705&amp;"",'📦 Productos'!A:C,3,FALSE),IFERROR(VLOOKUP(VALUE(B705),'📦 Productos'!A:C,3,FALSE),""))),"")</f>
      </c>
      <c r="D705" s="28" t="s">
        <v>1364</v>
      </c>
      <c r="E705" s="29" t="s">
        <v>26</v>
      </c>
      <c r="F705" s="30">
        <v>0</v>
      </c>
      <c r="G705" s="31">
        <v>0</v>
      </c>
      <c r="H705" s="32"/>
      <c r="I705" s="14">
        <f>IF(AND(G705&gt;0,H705&gt;0),ROUND((1-H705/G705)*100,0),0)</f>
        <v>0</v>
      </c>
      <c r="J705" s="35" t="s">
        <v>28</v>
      </c>
      <c r="K705" s="30" t="s">
        <v>1888</v>
      </c>
      <c r="L705" s="29" t="s">
        <v>26</v>
      </c>
    </row>
    <row r="706" ht="20" customHeight="1" spans="1:12" x14ac:dyDescent="0.25">
      <c r="A706" s="7" t="s">
        <v>2902</v>
      </c>
      <c r="B706" s="7" t="s">
        <v>1366</v>
      </c>
      <c r="C706" s="24">
        <f>IF(B706&lt;&gt;"",IFERROR(VLOOKUP(B706,'📦 Productos'!A:C,3,FALSE),IFERROR(VLOOKUP(B706&amp;"",'📦 Productos'!A:C,3,FALSE),IFERROR(VLOOKUP(VALUE(B706),'📦 Productos'!A:C,3,FALSE),""))),"")</f>
      </c>
      <c r="D706" s="7" t="s">
        <v>1367</v>
      </c>
      <c r="E706" s="8" t="s">
        <v>26</v>
      </c>
      <c r="F706" s="12">
        <v>0</v>
      </c>
      <c r="G706" s="25">
        <v>0</v>
      </c>
      <c r="H706" s="26"/>
      <c r="I706" s="14">
        <f>IF(AND(G706&gt;0,H706&gt;0),ROUND((1-H706/G706)*100,0),0)</f>
        <v>0</v>
      </c>
      <c r="J706" s="34" t="s">
        <v>28</v>
      </c>
      <c r="K706" s="12" t="s">
        <v>1888</v>
      </c>
      <c r="L706" s="8" t="s">
        <v>26</v>
      </c>
    </row>
    <row r="707" ht="20" customHeight="1" spans="1:12" x14ac:dyDescent="0.25">
      <c r="A707" s="28" t="s">
        <v>2903</v>
      </c>
      <c r="B707" s="28" t="s">
        <v>1369</v>
      </c>
      <c r="C707" s="24">
        <f>IF(B707&lt;&gt;"",IFERROR(VLOOKUP(B707,'📦 Productos'!A:C,3,FALSE),IFERROR(VLOOKUP(B707&amp;"",'📦 Productos'!A:C,3,FALSE),IFERROR(VLOOKUP(VALUE(B707),'📦 Productos'!A:C,3,FALSE),""))),"")</f>
      </c>
      <c r="D707" s="28" t="s">
        <v>1370</v>
      </c>
      <c r="E707" s="29" t="s">
        <v>26</v>
      </c>
      <c r="F707" s="30">
        <v>0</v>
      </c>
      <c r="G707" s="31">
        <v>0</v>
      </c>
      <c r="H707" s="32"/>
      <c r="I707" s="14">
        <f>IF(AND(G707&gt;0,H707&gt;0),ROUND((1-H707/G707)*100,0),0)</f>
        <v>0</v>
      </c>
      <c r="J707" s="35" t="s">
        <v>28</v>
      </c>
      <c r="K707" s="30" t="s">
        <v>1888</v>
      </c>
      <c r="L707" s="29" t="s">
        <v>26</v>
      </c>
    </row>
    <row r="708" ht="20" customHeight="1" spans="1:12" x14ac:dyDescent="0.25">
      <c r="A708" s="7" t="s">
        <v>2904</v>
      </c>
      <c r="B708" s="7" t="s">
        <v>1372</v>
      </c>
      <c r="C708" s="24">
        <f>IF(B708&lt;&gt;"",IFERROR(VLOOKUP(B708,'📦 Productos'!A:C,3,FALSE),IFERROR(VLOOKUP(B708&amp;"",'📦 Productos'!A:C,3,FALSE),IFERROR(VLOOKUP(VALUE(B708),'📦 Productos'!A:C,3,FALSE),""))),"")</f>
      </c>
      <c r="D708" s="7" t="s">
        <v>1373</v>
      </c>
      <c r="E708" s="8" t="s">
        <v>26</v>
      </c>
      <c r="F708" s="12">
        <v>0</v>
      </c>
      <c r="G708" s="25">
        <v>0</v>
      </c>
      <c r="H708" s="26"/>
      <c r="I708" s="14">
        <f>IF(AND(G708&gt;0,H708&gt;0),ROUND((1-H708/G708)*100,0),0)</f>
        <v>0</v>
      </c>
      <c r="J708" s="34" t="s">
        <v>28</v>
      </c>
      <c r="K708" s="12" t="s">
        <v>1888</v>
      </c>
      <c r="L708" s="8" t="s">
        <v>26</v>
      </c>
    </row>
    <row r="709" ht="20" customHeight="1" spans="1:12" x14ac:dyDescent="0.25">
      <c r="A709" s="28" t="s">
        <v>2905</v>
      </c>
      <c r="B709" s="28" t="s">
        <v>1375</v>
      </c>
      <c r="C709" s="24">
        <f>IF(B709&lt;&gt;"",IFERROR(VLOOKUP(B709,'📦 Productos'!A:C,3,FALSE),IFERROR(VLOOKUP(B709&amp;"",'📦 Productos'!A:C,3,FALSE),IFERROR(VLOOKUP(VALUE(B709),'📦 Productos'!A:C,3,FALSE),""))),"")</f>
      </c>
      <c r="D709" s="28" t="s">
        <v>1376</v>
      </c>
      <c r="E709" s="29" t="s">
        <v>26</v>
      </c>
      <c r="F709" s="30">
        <v>0</v>
      </c>
      <c r="G709" s="31">
        <v>0</v>
      </c>
      <c r="H709" s="32"/>
      <c r="I709" s="14">
        <f>IF(AND(G709&gt;0,H709&gt;0),ROUND((1-H709/G709)*100,0),0)</f>
        <v>0</v>
      </c>
      <c r="J709" s="35" t="s">
        <v>28</v>
      </c>
      <c r="K709" s="30" t="s">
        <v>1888</v>
      </c>
      <c r="L709" s="29" t="s">
        <v>26</v>
      </c>
    </row>
    <row r="710" ht="20" customHeight="1" spans="1:12" x14ac:dyDescent="0.25">
      <c r="A710" s="7" t="s">
        <v>2906</v>
      </c>
      <c r="B710" s="7" t="s">
        <v>1378</v>
      </c>
      <c r="C710" s="24">
        <f>IF(B710&lt;&gt;"",IFERROR(VLOOKUP(B710,'📦 Productos'!A:C,3,FALSE),IFERROR(VLOOKUP(B710&amp;"",'📦 Productos'!A:C,3,FALSE),IFERROR(VLOOKUP(VALUE(B710),'📦 Productos'!A:C,3,FALSE),""))),"")</f>
      </c>
      <c r="D710" s="7" t="s">
        <v>1379</v>
      </c>
      <c r="E710" s="8" t="s">
        <v>26</v>
      </c>
      <c r="F710" s="12">
        <v>0</v>
      </c>
      <c r="G710" s="25">
        <v>0</v>
      </c>
      <c r="H710" s="26"/>
      <c r="I710" s="14">
        <f>IF(AND(G710&gt;0,H710&gt;0),ROUND((1-H710/G710)*100,0),0)</f>
        <v>0</v>
      </c>
      <c r="J710" s="34" t="s">
        <v>28</v>
      </c>
      <c r="K710" s="12" t="s">
        <v>1888</v>
      </c>
      <c r="L710" s="8" t="s">
        <v>26</v>
      </c>
    </row>
    <row r="711" ht="20" customHeight="1" spans="1:12" x14ac:dyDescent="0.25">
      <c r="A711" s="28" t="s">
        <v>2907</v>
      </c>
      <c r="B711" s="28" t="s">
        <v>1381</v>
      </c>
      <c r="C711" s="24">
        <f>IF(B711&lt;&gt;"",IFERROR(VLOOKUP(B711,'📦 Productos'!A:C,3,FALSE),IFERROR(VLOOKUP(B711&amp;"",'📦 Productos'!A:C,3,FALSE),IFERROR(VLOOKUP(VALUE(B711),'📦 Productos'!A:C,3,FALSE),""))),"")</f>
      </c>
      <c r="D711" s="28" t="s">
        <v>1382</v>
      </c>
      <c r="E711" s="29" t="s">
        <v>26</v>
      </c>
      <c r="F711" s="30">
        <v>0</v>
      </c>
      <c r="G711" s="31">
        <v>0</v>
      </c>
      <c r="H711" s="32"/>
      <c r="I711" s="14">
        <f>IF(AND(G711&gt;0,H711&gt;0),ROUND((1-H711/G711)*100,0),0)</f>
        <v>0</v>
      </c>
      <c r="J711" s="35" t="s">
        <v>28</v>
      </c>
      <c r="K711" s="30" t="s">
        <v>1888</v>
      </c>
      <c r="L711" s="29" t="s">
        <v>26</v>
      </c>
    </row>
    <row r="712" ht="20" customHeight="1" spans="1:12" x14ac:dyDescent="0.25">
      <c r="A712" s="7" t="s">
        <v>2908</v>
      </c>
      <c r="B712" s="7" t="s">
        <v>1384</v>
      </c>
      <c r="C712" s="24">
        <f>IF(B712&lt;&gt;"",IFERROR(VLOOKUP(B712,'📦 Productos'!A:C,3,FALSE),IFERROR(VLOOKUP(B712&amp;"",'📦 Productos'!A:C,3,FALSE),IFERROR(VLOOKUP(VALUE(B712),'📦 Productos'!A:C,3,FALSE),""))),"")</f>
      </c>
      <c r="D712" s="7" t="s">
        <v>1385</v>
      </c>
      <c r="E712" s="8" t="s">
        <v>26</v>
      </c>
      <c r="F712" s="12">
        <v>0</v>
      </c>
      <c r="G712" s="25">
        <v>0</v>
      </c>
      <c r="H712" s="26"/>
      <c r="I712" s="14">
        <f>IF(AND(G712&gt;0,H712&gt;0),ROUND((1-H712/G712)*100,0),0)</f>
        <v>0</v>
      </c>
      <c r="J712" s="34" t="s">
        <v>28</v>
      </c>
      <c r="K712" s="12" t="s">
        <v>1888</v>
      </c>
      <c r="L712" s="8" t="s">
        <v>26</v>
      </c>
    </row>
    <row r="713" ht="20" customHeight="1" spans="1:12" x14ac:dyDescent="0.25">
      <c r="A713" s="28" t="s">
        <v>2909</v>
      </c>
      <c r="B713" s="28" t="s">
        <v>1387</v>
      </c>
      <c r="C713" s="24">
        <f>IF(B713&lt;&gt;"",IFERROR(VLOOKUP(B713,'📦 Productos'!A:C,3,FALSE),IFERROR(VLOOKUP(B713&amp;"",'📦 Productos'!A:C,3,FALSE),IFERROR(VLOOKUP(VALUE(B713),'📦 Productos'!A:C,3,FALSE),""))),"")</f>
      </c>
      <c r="D713" s="28" t="s">
        <v>1388</v>
      </c>
      <c r="E713" s="29" t="s">
        <v>26</v>
      </c>
      <c r="F713" s="30">
        <v>0</v>
      </c>
      <c r="G713" s="31">
        <v>0</v>
      </c>
      <c r="H713" s="32"/>
      <c r="I713" s="14">
        <f>IF(AND(G713&gt;0,H713&gt;0),ROUND((1-H713/G713)*100,0),0)</f>
        <v>0</v>
      </c>
      <c r="J713" s="35" t="s">
        <v>28</v>
      </c>
      <c r="K713" s="30" t="s">
        <v>1888</v>
      </c>
      <c r="L713" s="29" t="s">
        <v>26</v>
      </c>
    </row>
    <row r="714" ht="20" customHeight="1" spans="1:12" x14ac:dyDescent="0.25">
      <c r="A714" s="7" t="s">
        <v>2910</v>
      </c>
      <c r="B714" s="7" t="s">
        <v>1390</v>
      </c>
      <c r="C714" s="24">
        <f>IF(B714&lt;&gt;"",IFERROR(VLOOKUP(B714,'📦 Productos'!A:C,3,FALSE),IFERROR(VLOOKUP(B714&amp;"",'📦 Productos'!A:C,3,FALSE),IFERROR(VLOOKUP(VALUE(B714),'📦 Productos'!A:C,3,FALSE),""))),"")</f>
      </c>
      <c r="D714" s="7" t="s">
        <v>1391</v>
      </c>
      <c r="E714" s="8" t="s">
        <v>26</v>
      </c>
      <c r="F714" s="12">
        <v>0</v>
      </c>
      <c r="G714" s="25">
        <v>0</v>
      </c>
      <c r="H714" s="26"/>
      <c r="I714" s="14">
        <f>IF(AND(G714&gt;0,H714&gt;0),ROUND((1-H714/G714)*100,0),0)</f>
        <v>0</v>
      </c>
      <c r="J714" s="34" t="s">
        <v>28</v>
      </c>
      <c r="K714" s="12" t="s">
        <v>1888</v>
      </c>
      <c r="L714" s="8" t="s">
        <v>26</v>
      </c>
    </row>
    <row r="715" ht="20" customHeight="1" spans="1:12" x14ac:dyDescent="0.25">
      <c r="A715" s="28" t="s">
        <v>2911</v>
      </c>
      <c r="B715" s="28" t="s">
        <v>1393</v>
      </c>
      <c r="C715" s="24">
        <f>IF(B715&lt;&gt;"",IFERROR(VLOOKUP(B715,'📦 Productos'!A:C,3,FALSE),IFERROR(VLOOKUP(B715&amp;"",'📦 Productos'!A:C,3,FALSE),IFERROR(VLOOKUP(VALUE(B715),'📦 Productos'!A:C,3,FALSE),""))),"")</f>
      </c>
      <c r="D715" s="28" t="s">
        <v>1394</v>
      </c>
      <c r="E715" s="29" t="s">
        <v>26</v>
      </c>
      <c r="F715" s="30">
        <v>0</v>
      </c>
      <c r="G715" s="31">
        <v>0</v>
      </c>
      <c r="H715" s="32"/>
      <c r="I715" s="14">
        <f>IF(AND(G715&gt;0,H715&gt;0),ROUND((1-H715/G715)*100,0),0)</f>
        <v>0</v>
      </c>
      <c r="J715" s="35" t="s">
        <v>28</v>
      </c>
      <c r="K715" s="30" t="s">
        <v>1888</v>
      </c>
      <c r="L715" s="29" t="s">
        <v>26</v>
      </c>
    </row>
    <row r="716" ht="20" customHeight="1" spans="1:12" x14ac:dyDescent="0.25">
      <c r="A716" s="7" t="s">
        <v>2912</v>
      </c>
      <c r="B716" s="7" t="s">
        <v>1396</v>
      </c>
      <c r="C716" s="24">
        <f>IF(B716&lt;&gt;"",IFERROR(VLOOKUP(B716,'📦 Productos'!A:C,3,FALSE),IFERROR(VLOOKUP(B716&amp;"",'📦 Productos'!A:C,3,FALSE),IFERROR(VLOOKUP(VALUE(B716),'📦 Productos'!A:C,3,FALSE),""))),"")</f>
      </c>
      <c r="D716" s="7" t="s">
        <v>1397</v>
      </c>
      <c r="E716" s="8" t="s">
        <v>26</v>
      </c>
      <c r="F716" s="12">
        <v>0</v>
      </c>
      <c r="G716" s="25">
        <v>0</v>
      </c>
      <c r="H716" s="26"/>
      <c r="I716" s="14">
        <f>IF(AND(G716&gt;0,H716&gt;0),ROUND((1-H716/G716)*100,0),0)</f>
        <v>0</v>
      </c>
      <c r="J716" s="34" t="s">
        <v>28</v>
      </c>
      <c r="K716" s="12" t="s">
        <v>1888</v>
      </c>
      <c r="L716" s="8" t="s">
        <v>26</v>
      </c>
    </row>
    <row r="717" ht="20" customHeight="1" spans="1:12" x14ac:dyDescent="0.25">
      <c r="A717" s="28" t="s">
        <v>2913</v>
      </c>
      <c r="B717" s="28" t="s">
        <v>1399</v>
      </c>
      <c r="C717" s="24">
        <f>IF(B717&lt;&gt;"",IFERROR(VLOOKUP(B717,'📦 Productos'!A:C,3,FALSE),IFERROR(VLOOKUP(B717&amp;"",'📦 Productos'!A:C,3,FALSE),IFERROR(VLOOKUP(VALUE(B717),'📦 Productos'!A:C,3,FALSE),""))),"")</f>
      </c>
      <c r="D717" s="28" t="s">
        <v>1400</v>
      </c>
      <c r="E717" s="29" t="s">
        <v>26</v>
      </c>
      <c r="F717" s="30">
        <v>0</v>
      </c>
      <c r="G717" s="31">
        <v>0</v>
      </c>
      <c r="H717" s="32"/>
      <c r="I717" s="14">
        <f>IF(AND(G717&gt;0,H717&gt;0),ROUND((1-H717/G717)*100,0),0)</f>
        <v>0</v>
      </c>
      <c r="J717" s="35" t="s">
        <v>28</v>
      </c>
      <c r="K717" s="30" t="s">
        <v>1888</v>
      </c>
      <c r="L717" s="29" t="s">
        <v>26</v>
      </c>
    </row>
    <row r="718" ht="20" customHeight="1" spans="1:12" x14ac:dyDescent="0.25">
      <c r="A718" s="7" t="s">
        <v>2914</v>
      </c>
      <c r="B718" s="7" t="s">
        <v>1402</v>
      </c>
      <c r="C718" s="24">
        <f>IF(B718&lt;&gt;"",IFERROR(VLOOKUP(B718,'📦 Productos'!A:C,3,FALSE),IFERROR(VLOOKUP(B718&amp;"",'📦 Productos'!A:C,3,FALSE),IFERROR(VLOOKUP(VALUE(B718),'📦 Productos'!A:C,3,FALSE),""))),"")</f>
      </c>
      <c r="D718" s="7" t="s">
        <v>1403</v>
      </c>
      <c r="E718" s="8" t="s">
        <v>26</v>
      </c>
      <c r="F718" s="12">
        <v>0</v>
      </c>
      <c r="G718" s="25">
        <v>0</v>
      </c>
      <c r="H718" s="26"/>
      <c r="I718" s="14">
        <f>IF(AND(G718&gt;0,H718&gt;0),ROUND((1-H718/G718)*100,0),0)</f>
        <v>0</v>
      </c>
      <c r="J718" s="34" t="s">
        <v>28</v>
      </c>
      <c r="K718" s="12" t="s">
        <v>1888</v>
      </c>
      <c r="L718" s="8" t="s">
        <v>26</v>
      </c>
    </row>
    <row r="719" ht="20" customHeight="1" spans="1:12" x14ac:dyDescent="0.25">
      <c r="A719" s="28" t="s">
        <v>2915</v>
      </c>
      <c r="B719" s="28" t="s">
        <v>1405</v>
      </c>
      <c r="C719" s="24">
        <f>IF(B719&lt;&gt;"",IFERROR(VLOOKUP(B719,'📦 Productos'!A:C,3,FALSE),IFERROR(VLOOKUP(B719&amp;"",'📦 Productos'!A:C,3,FALSE),IFERROR(VLOOKUP(VALUE(B719),'📦 Productos'!A:C,3,FALSE),""))),"")</f>
      </c>
      <c r="D719" s="28" t="s">
        <v>1406</v>
      </c>
      <c r="E719" s="29" t="s">
        <v>26</v>
      </c>
      <c r="F719" s="30">
        <v>0</v>
      </c>
      <c r="G719" s="31">
        <v>0</v>
      </c>
      <c r="H719" s="32"/>
      <c r="I719" s="14">
        <f>IF(AND(G719&gt;0,H719&gt;0),ROUND((1-H719/G719)*100,0),0)</f>
        <v>0</v>
      </c>
      <c r="J719" s="35" t="s">
        <v>28</v>
      </c>
      <c r="K719" s="30" t="s">
        <v>1888</v>
      </c>
      <c r="L719" s="29" t="s">
        <v>26</v>
      </c>
    </row>
    <row r="720" ht="20" customHeight="1" spans="1:12" x14ac:dyDescent="0.25">
      <c r="A720" s="7" t="s">
        <v>2916</v>
      </c>
      <c r="B720" s="7" t="s">
        <v>1408</v>
      </c>
      <c r="C720" s="24">
        <f>IF(B720&lt;&gt;"",IFERROR(VLOOKUP(B720,'📦 Productos'!A:C,3,FALSE),IFERROR(VLOOKUP(B720&amp;"",'📦 Productos'!A:C,3,FALSE),IFERROR(VLOOKUP(VALUE(B720),'📦 Productos'!A:C,3,FALSE),""))),"")</f>
      </c>
      <c r="D720" s="7" t="s">
        <v>1409</v>
      </c>
      <c r="E720" s="8" t="s">
        <v>26</v>
      </c>
      <c r="F720" s="12">
        <v>0</v>
      </c>
      <c r="G720" s="25">
        <v>0</v>
      </c>
      <c r="H720" s="26"/>
      <c r="I720" s="14">
        <f>IF(AND(G720&gt;0,H720&gt;0),ROUND((1-H720/G720)*100,0),0)</f>
        <v>0</v>
      </c>
      <c r="J720" s="34" t="s">
        <v>28</v>
      </c>
      <c r="K720" s="12" t="s">
        <v>1888</v>
      </c>
      <c r="L720" s="8" t="s">
        <v>26</v>
      </c>
    </row>
    <row r="721" ht="20" customHeight="1" spans="1:12" x14ac:dyDescent="0.25">
      <c r="A721" s="28" t="s">
        <v>2917</v>
      </c>
      <c r="B721" s="28" t="s">
        <v>1411</v>
      </c>
      <c r="C721" s="24">
        <f>IF(B721&lt;&gt;"",IFERROR(VLOOKUP(B721,'📦 Productos'!A:C,3,FALSE),IFERROR(VLOOKUP(B721&amp;"",'📦 Productos'!A:C,3,FALSE),IFERROR(VLOOKUP(VALUE(B721),'📦 Productos'!A:C,3,FALSE),""))),"")</f>
      </c>
      <c r="D721" s="28" t="s">
        <v>1412</v>
      </c>
      <c r="E721" s="29" t="s">
        <v>26</v>
      </c>
      <c r="F721" s="30">
        <v>0</v>
      </c>
      <c r="G721" s="31">
        <v>0</v>
      </c>
      <c r="H721" s="32"/>
      <c r="I721" s="14">
        <f>IF(AND(G721&gt;0,H721&gt;0),ROUND((1-H721/G721)*100,0),0)</f>
        <v>0</v>
      </c>
      <c r="J721" s="35" t="s">
        <v>28</v>
      </c>
      <c r="K721" s="30" t="s">
        <v>1888</v>
      </c>
      <c r="L721" s="29" t="s">
        <v>26</v>
      </c>
    </row>
    <row r="722" ht="20" customHeight="1" spans="1:12" x14ac:dyDescent="0.25">
      <c r="A722" s="7" t="s">
        <v>2918</v>
      </c>
      <c r="B722" s="7" t="s">
        <v>1414</v>
      </c>
      <c r="C722" s="24">
        <f>IF(B722&lt;&gt;"",IFERROR(VLOOKUP(B722,'📦 Productos'!A:C,3,FALSE),IFERROR(VLOOKUP(B722&amp;"",'📦 Productos'!A:C,3,FALSE),IFERROR(VLOOKUP(VALUE(B722),'📦 Productos'!A:C,3,FALSE),""))),"")</f>
      </c>
      <c r="D722" s="7" t="s">
        <v>1415</v>
      </c>
      <c r="E722" s="8" t="s">
        <v>26</v>
      </c>
      <c r="F722" s="12">
        <v>0</v>
      </c>
      <c r="G722" s="25">
        <v>0</v>
      </c>
      <c r="H722" s="26"/>
      <c r="I722" s="14">
        <f>IF(AND(G722&gt;0,H722&gt;0),ROUND((1-H722/G722)*100,0),0)</f>
        <v>0</v>
      </c>
      <c r="J722" s="34" t="s">
        <v>28</v>
      </c>
      <c r="K722" s="12" t="s">
        <v>1888</v>
      </c>
      <c r="L722" s="8" t="s">
        <v>26</v>
      </c>
    </row>
    <row r="723" ht="20" customHeight="1" spans="1:12" x14ac:dyDescent="0.25">
      <c r="A723" s="28" t="s">
        <v>2919</v>
      </c>
      <c r="B723" s="28" t="s">
        <v>1417</v>
      </c>
      <c r="C723" s="24">
        <f>IF(B723&lt;&gt;"",IFERROR(VLOOKUP(B723,'📦 Productos'!A:C,3,FALSE),IFERROR(VLOOKUP(B723&amp;"",'📦 Productos'!A:C,3,FALSE),IFERROR(VLOOKUP(VALUE(B723),'📦 Productos'!A:C,3,FALSE),""))),"")</f>
      </c>
      <c r="D723" s="28" t="s">
        <v>1418</v>
      </c>
      <c r="E723" s="29" t="s">
        <v>26</v>
      </c>
      <c r="F723" s="30">
        <v>0</v>
      </c>
      <c r="G723" s="31">
        <v>0</v>
      </c>
      <c r="H723" s="32"/>
      <c r="I723" s="14">
        <f>IF(AND(G723&gt;0,H723&gt;0),ROUND((1-H723/G723)*100,0),0)</f>
        <v>0</v>
      </c>
      <c r="J723" s="35" t="s">
        <v>28</v>
      </c>
      <c r="K723" s="30" t="s">
        <v>1888</v>
      </c>
      <c r="L723" s="29" t="s">
        <v>26</v>
      </c>
    </row>
    <row r="724" ht="20" customHeight="1" spans="1:12" x14ac:dyDescent="0.25">
      <c r="A724" s="7" t="s">
        <v>2920</v>
      </c>
      <c r="B724" s="7" t="s">
        <v>1420</v>
      </c>
      <c r="C724" s="24">
        <f>IF(B724&lt;&gt;"",IFERROR(VLOOKUP(B724,'📦 Productos'!A:C,3,FALSE),IFERROR(VLOOKUP(B724&amp;"",'📦 Productos'!A:C,3,FALSE),IFERROR(VLOOKUP(VALUE(B724),'📦 Productos'!A:C,3,FALSE),""))),"")</f>
      </c>
      <c r="D724" s="7" t="s">
        <v>1421</v>
      </c>
      <c r="E724" s="8" t="s">
        <v>26</v>
      </c>
      <c r="F724" s="12">
        <v>0</v>
      </c>
      <c r="G724" s="25">
        <v>0</v>
      </c>
      <c r="H724" s="26"/>
      <c r="I724" s="14">
        <f>IF(AND(G724&gt;0,H724&gt;0),ROUND((1-H724/G724)*100,0),0)</f>
        <v>0</v>
      </c>
      <c r="J724" s="34" t="s">
        <v>28</v>
      </c>
      <c r="K724" s="12" t="s">
        <v>1888</v>
      </c>
      <c r="L724" s="8" t="s">
        <v>26</v>
      </c>
    </row>
    <row r="725" ht="20" customHeight="1" spans="1:12" x14ac:dyDescent="0.25">
      <c r="A725" s="28" t="s">
        <v>2921</v>
      </c>
      <c r="B725" s="28" t="s">
        <v>1423</v>
      </c>
      <c r="C725" s="24">
        <f>IF(B725&lt;&gt;"",IFERROR(VLOOKUP(B725,'📦 Productos'!A:C,3,FALSE),IFERROR(VLOOKUP(B725&amp;"",'📦 Productos'!A:C,3,FALSE),IFERROR(VLOOKUP(VALUE(B725),'📦 Productos'!A:C,3,FALSE),""))),"")</f>
      </c>
      <c r="D725" s="28" t="s">
        <v>1424</v>
      </c>
      <c r="E725" s="29" t="s">
        <v>26</v>
      </c>
      <c r="F725" s="30">
        <v>0</v>
      </c>
      <c r="G725" s="31">
        <v>0</v>
      </c>
      <c r="H725" s="32"/>
      <c r="I725" s="14">
        <f>IF(AND(G725&gt;0,H725&gt;0),ROUND((1-H725/G725)*100,0),0)</f>
        <v>0</v>
      </c>
      <c r="J725" s="35" t="s">
        <v>28</v>
      </c>
      <c r="K725" s="30" t="s">
        <v>1888</v>
      </c>
      <c r="L725" s="29" t="s">
        <v>26</v>
      </c>
    </row>
    <row r="726" ht="20" customHeight="1" spans="1:12" x14ac:dyDescent="0.25">
      <c r="A726" s="7" t="s">
        <v>2922</v>
      </c>
      <c r="B726" s="7" t="s">
        <v>1426</v>
      </c>
      <c r="C726" s="24">
        <f>IF(B726&lt;&gt;"",IFERROR(VLOOKUP(B726,'📦 Productos'!A:C,3,FALSE),IFERROR(VLOOKUP(B726&amp;"",'📦 Productos'!A:C,3,FALSE),IFERROR(VLOOKUP(VALUE(B726),'📦 Productos'!A:C,3,FALSE),""))),"")</f>
      </c>
      <c r="D726" s="7" t="s">
        <v>1427</v>
      </c>
      <c r="E726" s="8" t="s">
        <v>26</v>
      </c>
      <c r="F726" s="12">
        <v>0</v>
      </c>
      <c r="G726" s="25">
        <v>0</v>
      </c>
      <c r="H726" s="26"/>
      <c r="I726" s="14">
        <f>IF(AND(G726&gt;0,H726&gt;0),ROUND((1-H726/G726)*100,0),0)</f>
        <v>0</v>
      </c>
      <c r="J726" s="34" t="s">
        <v>28</v>
      </c>
      <c r="K726" s="12" t="s">
        <v>1888</v>
      </c>
      <c r="L726" s="8" t="s">
        <v>26</v>
      </c>
    </row>
    <row r="727" ht="20" customHeight="1" spans="1:12" x14ac:dyDescent="0.25">
      <c r="A727" s="28" t="s">
        <v>2923</v>
      </c>
      <c r="B727" s="28" t="s">
        <v>1429</v>
      </c>
      <c r="C727" s="24">
        <f>IF(B727&lt;&gt;"",IFERROR(VLOOKUP(B727,'📦 Productos'!A:C,3,FALSE),IFERROR(VLOOKUP(B727&amp;"",'📦 Productos'!A:C,3,FALSE),IFERROR(VLOOKUP(VALUE(B727),'📦 Productos'!A:C,3,FALSE),""))),"")</f>
      </c>
      <c r="D727" s="28" t="s">
        <v>1430</v>
      </c>
      <c r="E727" s="29" t="s">
        <v>26</v>
      </c>
      <c r="F727" s="30">
        <v>0</v>
      </c>
      <c r="G727" s="31">
        <v>0</v>
      </c>
      <c r="H727" s="32"/>
      <c r="I727" s="14">
        <f>IF(AND(G727&gt;0,H727&gt;0),ROUND((1-H727/G727)*100,0),0)</f>
        <v>0</v>
      </c>
      <c r="J727" s="35" t="s">
        <v>28</v>
      </c>
      <c r="K727" s="30" t="s">
        <v>1888</v>
      </c>
      <c r="L727" s="29" t="s">
        <v>26</v>
      </c>
    </row>
    <row r="728" ht="20" customHeight="1" spans="1:12" x14ac:dyDescent="0.25">
      <c r="A728" s="7" t="s">
        <v>2924</v>
      </c>
      <c r="B728" s="7" t="s">
        <v>1432</v>
      </c>
      <c r="C728" s="24">
        <f>IF(B728&lt;&gt;"",IFERROR(VLOOKUP(B728,'📦 Productos'!A:C,3,FALSE),IFERROR(VLOOKUP(B728&amp;"",'📦 Productos'!A:C,3,FALSE),IFERROR(VLOOKUP(VALUE(B728),'📦 Productos'!A:C,3,FALSE),""))),"")</f>
      </c>
      <c r="D728" s="7" t="s">
        <v>1433</v>
      </c>
      <c r="E728" s="8" t="s">
        <v>26</v>
      </c>
      <c r="F728" s="12">
        <v>0</v>
      </c>
      <c r="G728" s="25">
        <v>0</v>
      </c>
      <c r="H728" s="26"/>
      <c r="I728" s="14">
        <f>IF(AND(G728&gt;0,H728&gt;0),ROUND((1-H728/G728)*100,0),0)</f>
        <v>0</v>
      </c>
      <c r="J728" s="34" t="s">
        <v>28</v>
      </c>
      <c r="K728" s="12" t="s">
        <v>1888</v>
      </c>
      <c r="L728" s="8" t="s">
        <v>26</v>
      </c>
    </row>
    <row r="729" ht="20" customHeight="1" spans="1:12" x14ac:dyDescent="0.25">
      <c r="A729" s="28" t="s">
        <v>2925</v>
      </c>
      <c r="B729" s="28" t="s">
        <v>1435</v>
      </c>
      <c r="C729" s="24">
        <f>IF(B729&lt;&gt;"",IFERROR(VLOOKUP(B729,'📦 Productos'!A:C,3,FALSE),IFERROR(VLOOKUP(B729&amp;"",'📦 Productos'!A:C,3,FALSE),IFERROR(VLOOKUP(VALUE(B729),'📦 Productos'!A:C,3,FALSE),""))),"")</f>
      </c>
      <c r="D729" s="28" t="s">
        <v>1436</v>
      </c>
      <c r="E729" s="29" t="s">
        <v>26</v>
      </c>
      <c r="F729" s="30">
        <v>0</v>
      </c>
      <c r="G729" s="31">
        <v>0</v>
      </c>
      <c r="H729" s="32"/>
      <c r="I729" s="14">
        <f>IF(AND(G729&gt;0,H729&gt;0),ROUND((1-H729/G729)*100,0),0)</f>
        <v>0</v>
      </c>
      <c r="J729" s="35" t="s">
        <v>28</v>
      </c>
      <c r="K729" s="30" t="s">
        <v>1888</v>
      </c>
      <c r="L729" s="29" t="s">
        <v>26</v>
      </c>
    </row>
    <row r="730" ht="20" customHeight="1" spans="1:12" x14ac:dyDescent="0.25">
      <c r="A730" s="7" t="s">
        <v>2926</v>
      </c>
      <c r="B730" s="7" t="s">
        <v>1438</v>
      </c>
      <c r="C730" s="24">
        <f>IF(B730&lt;&gt;"",IFERROR(VLOOKUP(B730,'📦 Productos'!A:C,3,FALSE),IFERROR(VLOOKUP(B730&amp;"",'📦 Productos'!A:C,3,FALSE),IFERROR(VLOOKUP(VALUE(B730),'📦 Productos'!A:C,3,FALSE),""))),"")</f>
      </c>
      <c r="D730" s="7" t="s">
        <v>1439</v>
      </c>
      <c r="E730" s="8" t="s">
        <v>26</v>
      </c>
      <c r="F730" s="12">
        <v>0</v>
      </c>
      <c r="G730" s="25">
        <v>0</v>
      </c>
      <c r="H730" s="26"/>
      <c r="I730" s="14">
        <f>IF(AND(G730&gt;0,H730&gt;0),ROUND((1-H730/G730)*100,0),0)</f>
        <v>0</v>
      </c>
      <c r="J730" s="34" t="s">
        <v>28</v>
      </c>
      <c r="K730" s="12" t="s">
        <v>1888</v>
      </c>
      <c r="L730" s="8" t="s">
        <v>26</v>
      </c>
    </row>
    <row r="731" ht="20" customHeight="1" spans="1:12" x14ac:dyDescent="0.25">
      <c r="A731" s="28" t="s">
        <v>2927</v>
      </c>
      <c r="B731" s="28" t="s">
        <v>1441</v>
      </c>
      <c r="C731" s="24">
        <f>IF(B731&lt;&gt;"",IFERROR(VLOOKUP(B731,'📦 Productos'!A:C,3,FALSE),IFERROR(VLOOKUP(B731&amp;"",'📦 Productos'!A:C,3,FALSE),IFERROR(VLOOKUP(VALUE(B731),'📦 Productos'!A:C,3,FALSE),""))),"")</f>
      </c>
      <c r="D731" s="28" t="s">
        <v>1442</v>
      </c>
      <c r="E731" s="29" t="s">
        <v>26</v>
      </c>
      <c r="F731" s="30">
        <v>0</v>
      </c>
      <c r="G731" s="31">
        <v>0</v>
      </c>
      <c r="H731" s="32"/>
      <c r="I731" s="14">
        <f>IF(AND(G731&gt;0,H731&gt;0),ROUND((1-H731/G731)*100,0),0)</f>
        <v>0</v>
      </c>
      <c r="J731" s="35" t="s">
        <v>28</v>
      </c>
      <c r="K731" s="30" t="s">
        <v>1888</v>
      </c>
      <c r="L731" s="29" t="s">
        <v>26</v>
      </c>
    </row>
    <row r="732" ht="20" customHeight="1" spans="1:12" x14ac:dyDescent="0.25">
      <c r="A732" s="7" t="s">
        <v>2928</v>
      </c>
      <c r="B732" s="7" t="s">
        <v>1444</v>
      </c>
      <c r="C732" s="24">
        <f>IF(B732&lt;&gt;"",IFERROR(VLOOKUP(B732,'📦 Productos'!A:C,3,FALSE),IFERROR(VLOOKUP(B732&amp;"",'📦 Productos'!A:C,3,FALSE),IFERROR(VLOOKUP(VALUE(B732),'📦 Productos'!A:C,3,FALSE),""))),"")</f>
      </c>
      <c r="D732" s="7" t="s">
        <v>1445</v>
      </c>
      <c r="E732" s="8" t="s">
        <v>26</v>
      </c>
      <c r="F732" s="12">
        <v>0</v>
      </c>
      <c r="G732" s="25">
        <v>0</v>
      </c>
      <c r="H732" s="26"/>
      <c r="I732" s="14">
        <f>IF(AND(G732&gt;0,H732&gt;0),ROUND((1-H732/G732)*100,0),0)</f>
        <v>0</v>
      </c>
      <c r="J732" s="34" t="s">
        <v>28</v>
      </c>
      <c r="K732" s="12" t="s">
        <v>1888</v>
      </c>
      <c r="L732" s="8" t="s">
        <v>26</v>
      </c>
    </row>
    <row r="733" ht="20" customHeight="1" spans="1:12" x14ac:dyDescent="0.25">
      <c r="A733" s="28" t="s">
        <v>2929</v>
      </c>
      <c r="B733" s="28" t="s">
        <v>1447</v>
      </c>
      <c r="C733" s="24">
        <f>IF(B733&lt;&gt;"",IFERROR(VLOOKUP(B733,'📦 Productos'!A:C,3,FALSE),IFERROR(VLOOKUP(B733&amp;"",'📦 Productos'!A:C,3,FALSE),IFERROR(VLOOKUP(VALUE(B733),'📦 Productos'!A:C,3,FALSE),""))),"")</f>
      </c>
      <c r="D733" s="28" t="s">
        <v>1448</v>
      </c>
      <c r="E733" s="29" t="s">
        <v>26</v>
      </c>
      <c r="F733" s="30">
        <v>0</v>
      </c>
      <c r="G733" s="31">
        <v>0</v>
      </c>
      <c r="H733" s="32"/>
      <c r="I733" s="14">
        <f>IF(AND(G733&gt;0,H733&gt;0),ROUND((1-H733/G733)*100,0),0)</f>
        <v>0</v>
      </c>
      <c r="J733" s="35" t="s">
        <v>28</v>
      </c>
      <c r="K733" s="30" t="s">
        <v>1888</v>
      </c>
      <c r="L733" s="29" t="s">
        <v>26</v>
      </c>
    </row>
    <row r="734" ht="20" customHeight="1" spans="1:12" x14ac:dyDescent="0.25">
      <c r="A734" s="7" t="s">
        <v>2930</v>
      </c>
      <c r="B734" s="7" t="s">
        <v>1450</v>
      </c>
      <c r="C734" s="24">
        <f>IF(B734&lt;&gt;"",IFERROR(VLOOKUP(B734,'📦 Productos'!A:C,3,FALSE),IFERROR(VLOOKUP(B734&amp;"",'📦 Productos'!A:C,3,FALSE),IFERROR(VLOOKUP(VALUE(B734),'📦 Productos'!A:C,3,FALSE),""))),"")</f>
      </c>
      <c r="D734" s="7" t="s">
        <v>1451</v>
      </c>
      <c r="E734" s="8" t="s">
        <v>26</v>
      </c>
      <c r="F734" s="12">
        <v>0</v>
      </c>
      <c r="G734" s="25">
        <v>0</v>
      </c>
      <c r="H734" s="26"/>
      <c r="I734" s="14">
        <f>IF(AND(G734&gt;0,H734&gt;0),ROUND((1-H734/G734)*100,0),0)</f>
        <v>0</v>
      </c>
      <c r="J734" s="34" t="s">
        <v>28</v>
      </c>
      <c r="K734" s="12" t="s">
        <v>1888</v>
      </c>
      <c r="L734" s="8" t="s">
        <v>26</v>
      </c>
    </row>
    <row r="735" ht="20" customHeight="1" spans="1:12" x14ac:dyDescent="0.25">
      <c r="A735" s="28" t="s">
        <v>2931</v>
      </c>
      <c r="B735" s="28" t="s">
        <v>1453</v>
      </c>
      <c r="C735" s="24">
        <f>IF(B735&lt;&gt;"",IFERROR(VLOOKUP(B735,'📦 Productos'!A:C,3,FALSE),IFERROR(VLOOKUP(B735&amp;"",'📦 Productos'!A:C,3,FALSE),IFERROR(VLOOKUP(VALUE(B735),'📦 Productos'!A:C,3,FALSE),""))),"")</f>
      </c>
      <c r="D735" s="28" t="s">
        <v>1454</v>
      </c>
      <c r="E735" s="29" t="s">
        <v>26</v>
      </c>
      <c r="F735" s="30">
        <v>0</v>
      </c>
      <c r="G735" s="31">
        <v>0</v>
      </c>
      <c r="H735" s="32"/>
      <c r="I735" s="14">
        <f>IF(AND(G735&gt;0,H735&gt;0),ROUND((1-H735/G735)*100,0),0)</f>
        <v>0</v>
      </c>
      <c r="J735" s="35" t="s">
        <v>28</v>
      </c>
      <c r="K735" s="30" t="s">
        <v>1888</v>
      </c>
      <c r="L735" s="29" t="s">
        <v>26</v>
      </c>
    </row>
    <row r="736" ht="20" customHeight="1" spans="1:12" x14ac:dyDescent="0.25">
      <c r="A736" s="7" t="s">
        <v>2932</v>
      </c>
      <c r="B736" s="7" t="s">
        <v>1456</v>
      </c>
      <c r="C736" s="24">
        <f>IF(B736&lt;&gt;"",IFERROR(VLOOKUP(B736,'📦 Productos'!A:C,3,FALSE),IFERROR(VLOOKUP(B736&amp;"",'📦 Productos'!A:C,3,FALSE),IFERROR(VLOOKUP(VALUE(B736),'📦 Productos'!A:C,3,FALSE),""))),"")</f>
      </c>
      <c r="D736" s="7" t="s">
        <v>1457</v>
      </c>
      <c r="E736" s="8" t="s">
        <v>26</v>
      </c>
      <c r="F736" s="12">
        <v>0</v>
      </c>
      <c r="G736" s="25">
        <v>0</v>
      </c>
      <c r="H736" s="26"/>
      <c r="I736" s="14">
        <f>IF(AND(G736&gt;0,H736&gt;0),ROUND((1-H736/G736)*100,0),0)</f>
        <v>0</v>
      </c>
      <c r="J736" s="34" t="s">
        <v>28</v>
      </c>
      <c r="K736" s="12" t="s">
        <v>1888</v>
      </c>
      <c r="L736" s="8" t="s">
        <v>26</v>
      </c>
    </row>
    <row r="737" ht="20" customHeight="1" spans="1:12" x14ac:dyDescent="0.25">
      <c r="A737" s="28" t="s">
        <v>2933</v>
      </c>
      <c r="B737" s="28" t="s">
        <v>1459</v>
      </c>
      <c r="C737" s="24">
        <f>IF(B737&lt;&gt;"",IFERROR(VLOOKUP(B737,'📦 Productos'!A:C,3,FALSE),IFERROR(VLOOKUP(B737&amp;"",'📦 Productos'!A:C,3,FALSE),IFERROR(VLOOKUP(VALUE(B737),'📦 Productos'!A:C,3,FALSE),""))),"")</f>
      </c>
      <c r="D737" s="28" t="s">
        <v>1460</v>
      </c>
      <c r="E737" s="29" t="s">
        <v>26</v>
      </c>
      <c r="F737" s="30">
        <v>0</v>
      </c>
      <c r="G737" s="31">
        <v>0</v>
      </c>
      <c r="H737" s="32"/>
      <c r="I737" s="14">
        <f>IF(AND(G737&gt;0,H737&gt;0),ROUND((1-H737/G737)*100,0),0)</f>
        <v>0</v>
      </c>
      <c r="J737" s="35" t="s">
        <v>28</v>
      </c>
      <c r="K737" s="30" t="s">
        <v>1888</v>
      </c>
      <c r="L737" s="29" t="s">
        <v>26</v>
      </c>
    </row>
    <row r="738" ht="20" customHeight="1" spans="1:12" x14ac:dyDescent="0.25">
      <c r="A738" s="7" t="s">
        <v>2934</v>
      </c>
      <c r="B738" s="7" t="s">
        <v>1462</v>
      </c>
      <c r="C738" s="24">
        <f>IF(B738&lt;&gt;"",IFERROR(VLOOKUP(B738,'📦 Productos'!A:C,3,FALSE),IFERROR(VLOOKUP(B738&amp;"",'📦 Productos'!A:C,3,FALSE),IFERROR(VLOOKUP(VALUE(B738),'📦 Productos'!A:C,3,FALSE),""))),"")</f>
      </c>
      <c r="D738" s="7" t="s">
        <v>1463</v>
      </c>
      <c r="E738" s="8" t="s">
        <v>26</v>
      </c>
      <c r="F738" s="12">
        <v>0</v>
      </c>
      <c r="G738" s="25">
        <v>0</v>
      </c>
      <c r="H738" s="26"/>
      <c r="I738" s="14">
        <f>IF(AND(G738&gt;0,H738&gt;0),ROUND((1-H738/G738)*100,0),0)</f>
        <v>0</v>
      </c>
      <c r="J738" s="34" t="s">
        <v>28</v>
      </c>
      <c r="K738" s="12" t="s">
        <v>1888</v>
      </c>
      <c r="L738" s="8" t="s">
        <v>26</v>
      </c>
    </row>
    <row r="739" ht="20" customHeight="1" spans="1:12" x14ac:dyDescent="0.25">
      <c r="A739" s="28" t="s">
        <v>2935</v>
      </c>
      <c r="B739" s="28" t="s">
        <v>1465</v>
      </c>
      <c r="C739" s="24">
        <f>IF(B739&lt;&gt;"",IFERROR(VLOOKUP(B739,'📦 Productos'!A:C,3,FALSE),IFERROR(VLOOKUP(B739&amp;"",'📦 Productos'!A:C,3,FALSE),IFERROR(VLOOKUP(VALUE(B739),'📦 Productos'!A:C,3,FALSE),""))),"")</f>
      </c>
      <c r="D739" s="28" t="s">
        <v>1466</v>
      </c>
      <c r="E739" s="29" t="s">
        <v>26</v>
      </c>
      <c r="F739" s="30">
        <v>0</v>
      </c>
      <c r="G739" s="31">
        <v>0</v>
      </c>
      <c r="H739" s="32"/>
      <c r="I739" s="14">
        <f>IF(AND(G739&gt;0,H739&gt;0),ROUND((1-H739/G739)*100,0),0)</f>
        <v>0</v>
      </c>
      <c r="J739" s="35" t="s">
        <v>28</v>
      </c>
      <c r="K739" s="30" t="s">
        <v>1888</v>
      </c>
      <c r="L739" s="29" t="s">
        <v>26</v>
      </c>
    </row>
    <row r="740" ht="20" customHeight="1" spans="1:12" x14ac:dyDescent="0.25">
      <c r="A740" s="7" t="s">
        <v>2936</v>
      </c>
      <c r="B740" s="7" t="s">
        <v>1468</v>
      </c>
      <c r="C740" s="24">
        <f>IF(B740&lt;&gt;"",IFERROR(VLOOKUP(B740,'📦 Productos'!A:C,3,FALSE),IFERROR(VLOOKUP(B740&amp;"",'📦 Productos'!A:C,3,FALSE),IFERROR(VLOOKUP(VALUE(B740),'📦 Productos'!A:C,3,FALSE),""))),"")</f>
      </c>
      <c r="D740" s="7" t="s">
        <v>1469</v>
      </c>
      <c r="E740" s="8" t="s">
        <v>26</v>
      </c>
      <c r="F740" s="12">
        <v>0</v>
      </c>
      <c r="G740" s="25">
        <v>0</v>
      </c>
      <c r="H740" s="26"/>
      <c r="I740" s="14">
        <f>IF(AND(G740&gt;0,H740&gt;0),ROUND((1-H740/G740)*100,0),0)</f>
        <v>0</v>
      </c>
      <c r="J740" s="34" t="s">
        <v>28</v>
      </c>
      <c r="K740" s="12" t="s">
        <v>1888</v>
      </c>
      <c r="L740" s="8" t="s">
        <v>26</v>
      </c>
    </row>
    <row r="741" ht="20" customHeight="1" spans="1:12" x14ac:dyDescent="0.25">
      <c r="A741" s="28" t="s">
        <v>2937</v>
      </c>
      <c r="B741" s="28" t="s">
        <v>1471</v>
      </c>
      <c r="C741" s="24">
        <f>IF(B741&lt;&gt;"",IFERROR(VLOOKUP(B741,'📦 Productos'!A:C,3,FALSE),IFERROR(VLOOKUP(B741&amp;"",'📦 Productos'!A:C,3,FALSE),IFERROR(VLOOKUP(VALUE(B741),'📦 Productos'!A:C,3,FALSE),""))),"")</f>
      </c>
      <c r="D741" s="28" t="s">
        <v>1472</v>
      </c>
      <c r="E741" s="29" t="s">
        <v>26</v>
      </c>
      <c r="F741" s="30">
        <v>0</v>
      </c>
      <c r="G741" s="31">
        <v>0</v>
      </c>
      <c r="H741" s="32"/>
      <c r="I741" s="14">
        <f>IF(AND(G741&gt;0,H741&gt;0),ROUND((1-H741/G741)*100,0),0)</f>
        <v>0</v>
      </c>
      <c r="J741" s="35" t="s">
        <v>28</v>
      </c>
      <c r="K741" s="30" t="s">
        <v>1888</v>
      </c>
      <c r="L741" s="29" t="s">
        <v>26</v>
      </c>
    </row>
    <row r="742" ht="20" customHeight="1" spans="1:12" x14ac:dyDescent="0.25">
      <c r="A742" s="7" t="s">
        <v>2938</v>
      </c>
      <c r="B742" s="7" t="s">
        <v>1474</v>
      </c>
      <c r="C742" s="24">
        <f>IF(B742&lt;&gt;"",IFERROR(VLOOKUP(B742,'📦 Productos'!A:C,3,FALSE),IFERROR(VLOOKUP(B742&amp;"",'📦 Productos'!A:C,3,FALSE),IFERROR(VLOOKUP(VALUE(B742),'📦 Productos'!A:C,3,FALSE),""))),"")</f>
      </c>
      <c r="D742" s="7" t="s">
        <v>1475</v>
      </c>
      <c r="E742" s="8" t="s">
        <v>26</v>
      </c>
      <c r="F742" s="12">
        <v>0</v>
      </c>
      <c r="G742" s="25">
        <v>0</v>
      </c>
      <c r="H742" s="26"/>
      <c r="I742" s="14">
        <f>IF(AND(G742&gt;0,H742&gt;0),ROUND((1-H742/G742)*100,0),0)</f>
        <v>0</v>
      </c>
      <c r="J742" s="34" t="s">
        <v>28</v>
      </c>
      <c r="K742" s="12" t="s">
        <v>1888</v>
      </c>
      <c r="L742" s="8" t="s">
        <v>26</v>
      </c>
    </row>
    <row r="743" ht="20" customHeight="1" spans="1:12" x14ac:dyDescent="0.25">
      <c r="A743" s="28" t="s">
        <v>2939</v>
      </c>
      <c r="B743" s="28" t="s">
        <v>1477</v>
      </c>
      <c r="C743" s="24">
        <f>IF(B743&lt;&gt;"",IFERROR(VLOOKUP(B743,'📦 Productos'!A:C,3,FALSE),IFERROR(VLOOKUP(B743&amp;"",'📦 Productos'!A:C,3,FALSE),IFERROR(VLOOKUP(VALUE(B743),'📦 Productos'!A:C,3,FALSE),""))),"")</f>
      </c>
      <c r="D743" s="28" t="s">
        <v>1478</v>
      </c>
      <c r="E743" s="29" t="s">
        <v>26</v>
      </c>
      <c r="F743" s="30">
        <v>0</v>
      </c>
      <c r="G743" s="31">
        <v>0</v>
      </c>
      <c r="H743" s="32"/>
      <c r="I743" s="14">
        <f>IF(AND(G743&gt;0,H743&gt;0),ROUND((1-H743/G743)*100,0),0)</f>
        <v>0</v>
      </c>
      <c r="J743" s="35" t="s">
        <v>28</v>
      </c>
      <c r="K743" s="30" t="s">
        <v>1888</v>
      </c>
      <c r="L743" s="29" t="s">
        <v>26</v>
      </c>
    </row>
    <row r="744" ht="20" customHeight="1" spans="1:12" x14ac:dyDescent="0.25">
      <c r="A744" s="7" t="s">
        <v>2940</v>
      </c>
      <c r="B744" s="7" t="s">
        <v>1480</v>
      </c>
      <c r="C744" s="24">
        <f>IF(B744&lt;&gt;"",IFERROR(VLOOKUP(B744,'📦 Productos'!A:C,3,FALSE),IFERROR(VLOOKUP(B744&amp;"",'📦 Productos'!A:C,3,FALSE),IFERROR(VLOOKUP(VALUE(B744),'📦 Productos'!A:C,3,FALSE),""))),"")</f>
      </c>
      <c r="D744" s="7" t="s">
        <v>1481</v>
      </c>
      <c r="E744" s="8" t="s">
        <v>26</v>
      </c>
      <c r="F744" s="12">
        <v>0</v>
      </c>
      <c r="G744" s="25">
        <v>0</v>
      </c>
      <c r="H744" s="26"/>
      <c r="I744" s="14">
        <f>IF(AND(G744&gt;0,H744&gt;0),ROUND((1-H744/G744)*100,0),0)</f>
        <v>0</v>
      </c>
      <c r="J744" s="34" t="s">
        <v>28</v>
      </c>
      <c r="K744" s="12" t="s">
        <v>1888</v>
      </c>
      <c r="L744" s="8" t="s">
        <v>26</v>
      </c>
    </row>
    <row r="745" ht="20" customHeight="1" spans="1:12" x14ac:dyDescent="0.25">
      <c r="A745" s="28" t="s">
        <v>2941</v>
      </c>
      <c r="B745" s="28" t="s">
        <v>1483</v>
      </c>
      <c r="C745" s="24">
        <f>IF(B745&lt;&gt;"",IFERROR(VLOOKUP(B745,'📦 Productos'!A:C,3,FALSE),IFERROR(VLOOKUP(B745&amp;"",'📦 Productos'!A:C,3,FALSE),IFERROR(VLOOKUP(VALUE(B745),'📦 Productos'!A:C,3,FALSE),""))),"")</f>
      </c>
      <c r="D745" s="28" t="s">
        <v>1484</v>
      </c>
      <c r="E745" s="29" t="s">
        <v>26</v>
      </c>
      <c r="F745" s="30">
        <v>0</v>
      </c>
      <c r="G745" s="31">
        <v>0</v>
      </c>
      <c r="H745" s="32"/>
      <c r="I745" s="14">
        <f>IF(AND(G745&gt;0,H745&gt;0),ROUND((1-H745/G745)*100,0),0)</f>
        <v>0</v>
      </c>
      <c r="J745" s="35" t="s">
        <v>28</v>
      </c>
      <c r="K745" s="30" t="s">
        <v>1888</v>
      </c>
      <c r="L745" s="29" t="s">
        <v>26</v>
      </c>
    </row>
    <row r="746" ht="20" customHeight="1" spans="1:12" x14ac:dyDescent="0.25">
      <c r="A746" s="7" t="s">
        <v>2942</v>
      </c>
      <c r="B746" s="7" t="s">
        <v>1486</v>
      </c>
      <c r="C746" s="24">
        <f>IF(B746&lt;&gt;"",IFERROR(VLOOKUP(B746,'📦 Productos'!A:C,3,FALSE),IFERROR(VLOOKUP(B746&amp;"",'📦 Productos'!A:C,3,FALSE),IFERROR(VLOOKUP(VALUE(B746),'📦 Productos'!A:C,3,FALSE),""))),"")</f>
      </c>
      <c r="D746" s="7" t="s">
        <v>1487</v>
      </c>
      <c r="E746" s="8" t="s">
        <v>26</v>
      </c>
      <c r="F746" s="12">
        <v>0</v>
      </c>
      <c r="G746" s="25">
        <v>0</v>
      </c>
      <c r="H746" s="26"/>
      <c r="I746" s="14">
        <f>IF(AND(G746&gt;0,H746&gt;0),ROUND((1-H746/G746)*100,0),0)</f>
        <v>0</v>
      </c>
      <c r="J746" s="34" t="s">
        <v>28</v>
      </c>
      <c r="K746" s="12" t="s">
        <v>1888</v>
      </c>
      <c r="L746" s="8" t="s">
        <v>26</v>
      </c>
    </row>
    <row r="747" ht="20" customHeight="1" spans="1:12" x14ac:dyDescent="0.25">
      <c r="A747" s="28" t="s">
        <v>2943</v>
      </c>
      <c r="B747" s="28" t="s">
        <v>1489</v>
      </c>
      <c r="C747" s="24">
        <f>IF(B747&lt;&gt;"",IFERROR(VLOOKUP(B747,'📦 Productos'!A:C,3,FALSE),IFERROR(VLOOKUP(B747&amp;"",'📦 Productos'!A:C,3,FALSE),IFERROR(VLOOKUP(VALUE(B747),'📦 Productos'!A:C,3,FALSE),""))),"")</f>
      </c>
      <c r="D747" s="28" t="s">
        <v>1490</v>
      </c>
      <c r="E747" s="29" t="s">
        <v>26</v>
      </c>
      <c r="F747" s="30">
        <v>0</v>
      </c>
      <c r="G747" s="31">
        <v>0</v>
      </c>
      <c r="H747" s="32"/>
      <c r="I747" s="14">
        <f>IF(AND(G747&gt;0,H747&gt;0),ROUND((1-H747/G747)*100,0),0)</f>
        <v>0</v>
      </c>
      <c r="J747" s="35" t="s">
        <v>28</v>
      </c>
      <c r="K747" s="30" t="s">
        <v>1888</v>
      </c>
      <c r="L747" s="29" t="s">
        <v>26</v>
      </c>
    </row>
    <row r="748" ht="20" customHeight="1" spans="1:12" x14ac:dyDescent="0.25">
      <c r="A748" s="7" t="s">
        <v>2944</v>
      </c>
      <c r="B748" s="7" t="s">
        <v>1492</v>
      </c>
      <c r="C748" s="24">
        <f>IF(B748&lt;&gt;"",IFERROR(VLOOKUP(B748,'📦 Productos'!A:C,3,FALSE),IFERROR(VLOOKUP(B748&amp;"",'📦 Productos'!A:C,3,FALSE),IFERROR(VLOOKUP(VALUE(B748),'📦 Productos'!A:C,3,FALSE),""))),"")</f>
      </c>
      <c r="D748" s="7" t="s">
        <v>1493</v>
      </c>
      <c r="E748" s="8" t="s">
        <v>26</v>
      </c>
      <c r="F748" s="12">
        <v>0</v>
      </c>
      <c r="G748" s="25">
        <v>0</v>
      </c>
      <c r="H748" s="26"/>
      <c r="I748" s="14">
        <f>IF(AND(G748&gt;0,H748&gt;0),ROUND((1-H748/G748)*100,0),0)</f>
        <v>0</v>
      </c>
      <c r="J748" s="34" t="s">
        <v>28</v>
      </c>
      <c r="K748" s="12" t="s">
        <v>1888</v>
      </c>
      <c r="L748" s="8" t="s">
        <v>26</v>
      </c>
    </row>
    <row r="749" ht="20" customHeight="1" spans="1:12" x14ac:dyDescent="0.25">
      <c r="A749" s="28" t="s">
        <v>2945</v>
      </c>
      <c r="B749" s="28" t="s">
        <v>1495</v>
      </c>
      <c r="C749" s="24">
        <f>IF(B749&lt;&gt;"",IFERROR(VLOOKUP(B749,'📦 Productos'!A:C,3,FALSE),IFERROR(VLOOKUP(B749&amp;"",'📦 Productos'!A:C,3,FALSE),IFERROR(VLOOKUP(VALUE(B749),'📦 Productos'!A:C,3,FALSE),""))),"")</f>
      </c>
      <c r="D749" s="28" t="s">
        <v>1496</v>
      </c>
      <c r="E749" s="29" t="s">
        <v>26</v>
      </c>
      <c r="F749" s="30">
        <v>0</v>
      </c>
      <c r="G749" s="31">
        <v>0</v>
      </c>
      <c r="H749" s="32"/>
      <c r="I749" s="14">
        <f>IF(AND(G749&gt;0,H749&gt;0),ROUND((1-H749/G749)*100,0),0)</f>
        <v>0</v>
      </c>
      <c r="J749" s="35" t="s">
        <v>28</v>
      </c>
      <c r="K749" s="30" t="s">
        <v>1888</v>
      </c>
      <c r="L749" s="29" t="s">
        <v>26</v>
      </c>
    </row>
    <row r="750" ht="20" customHeight="1" spans="1:12" x14ac:dyDescent="0.25">
      <c r="A750" s="7" t="s">
        <v>2946</v>
      </c>
      <c r="B750" s="7" t="s">
        <v>1498</v>
      </c>
      <c r="C750" s="24">
        <f>IF(B750&lt;&gt;"",IFERROR(VLOOKUP(B750,'📦 Productos'!A:C,3,FALSE),IFERROR(VLOOKUP(B750&amp;"",'📦 Productos'!A:C,3,FALSE),IFERROR(VLOOKUP(VALUE(B750),'📦 Productos'!A:C,3,FALSE),""))),"")</f>
      </c>
      <c r="D750" s="7" t="s">
        <v>1499</v>
      </c>
      <c r="E750" s="8" t="s">
        <v>26</v>
      </c>
      <c r="F750" s="12">
        <v>0</v>
      </c>
      <c r="G750" s="25">
        <v>0</v>
      </c>
      <c r="H750" s="26"/>
      <c r="I750" s="14">
        <f>IF(AND(G750&gt;0,H750&gt;0),ROUND((1-H750/G750)*100,0),0)</f>
        <v>0</v>
      </c>
      <c r="J750" s="34" t="s">
        <v>28</v>
      </c>
      <c r="K750" s="12" t="s">
        <v>1888</v>
      </c>
      <c r="L750" s="8" t="s">
        <v>26</v>
      </c>
    </row>
    <row r="751" ht="20" customHeight="1" spans="1:12" x14ac:dyDescent="0.25">
      <c r="A751" s="28" t="s">
        <v>2947</v>
      </c>
      <c r="B751" s="28" t="s">
        <v>1501</v>
      </c>
      <c r="C751" s="24">
        <f>IF(B751&lt;&gt;"",IFERROR(VLOOKUP(B751,'📦 Productos'!A:C,3,FALSE),IFERROR(VLOOKUP(B751&amp;"",'📦 Productos'!A:C,3,FALSE),IFERROR(VLOOKUP(VALUE(B751),'📦 Productos'!A:C,3,FALSE),""))),"")</f>
      </c>
      <c r="D751" s="28" t="s">
        <v>1502</v>
      </c>
      <c r="E751" s="29" t="s">
        <v>26</v>
      </c>
      <c r="F751" s="30">
        <v>0</v>
      </c>
      <c r="G751" s="31">
        <v>0</v>
      </c>
      <c r="H751" s="32"/>
      <c r="I751" s="14">
        <f>IF(AND(G751&gt;0,H751&gt;0),ROUND((1-H751/G751)*100,0),0)</f>
        <v>0</v>
      </c>
      <c r="J751" s="35" t="s">
        <v>28</v>
      </c>
      <c r="K751" s="30" t="s">
        <v>1888</v>
      </c>
      <c r="L751" s="29" t="s">
        <v>26</v>
      </c>
    </row>
    <row r="752" ht="20" customHeight="1" spans="1:12" x14ac:dyDescent="0.25">
      <c r="A752" s="7" t="s">
        <v>2948</v>
      </c>
      <c r="B752" s="7" t="s">
        <v>1504</v>
      </c>
      <c r="C752" s="24">
        <f>IF(B752&lt;&gt;"",IFERROR(VLOOKUP(B752,'📦 Productos'!A:C,3,FALSE),IFERROR(VLOOKUP(B752&amp;"",'📦 Productos'!A:C,3,FALSE),IFERROR(VLOOKUP(VALUE(B752),'📦 Productos'!A:C,3,FALSE),""))),"")</f>
      </c>
      <c r="D752" s="7" t="s">
        <v>1505</v>
      </c>
      <c r="E752" s="8" t="s">
        <v>26</v>
      </c>
      <c r="F752" s="12">
        <v>0</v>
      </c>
      <c r="G752" s="25">
        <v>0</v>
      </c>
      <c r="H752" s="26"/>
      <c r="I752" s="14">
        <f>IF(AND(G752&gt;0,H752&gt;0),ROUND((1-H752/G752)*100,0),0)</f>
        <v>0</v>
      </c>
      <c r="J752" s="34" t="s">
        <v>28</v>
      </c>
      <c r="K752" s="12" t="s">
        <v>1888</v>
      </c>
      <c r="L752" s="8" t="s">
        <v>26</v>
      </c>
    </row>
    <row r="753" ht="20" customHeight="1" spans="1:12" x14ac:dyDescent="0.25">
      <c r="A753" s="28" t="s">
        <v>2949</v>
      </c>
      <c r="B753" s="28" t="s">
        <v>1507</v>
      </c>
      <c r="C753" s="24">
        <f>IF(B753&lt;&gt;"",IFERROR(VLOOKUP(B753,'📦 Productos'!A:C,3,FALSE),IFERROR(VLOOKUP(B753&amp;"",'📦 Productos'!A:C,3,FALSE),IFERROR(VLOOKUP(VALUE(B753),'📦 Productos'!A:C,3,FALSE),""))),"")</f>
      </c>
      <c r="D753" s="28" t="s">
        <v>1508</v>
      </c>
      <c r="E753" s="29" t="s">
        <v>26</v>
      </c>
      <c r="F753" s="30">
        <v>0</v>
      </c>
      <c r="G753" s="31">
        <v>0</v>
      </c>
      <c r="H753" s="32"/>
      <c r="I753" s="14">
        <f>IF(AND(G753&gt;0,H753&gt;0),ROUND((1-H753/G753)*100,0),0)</f>
        <v>0</v>
      </c>
      <c r="J753" s="35" t="s">
        <v>28</v>
      </c>
      <c r="K753" s="30" t="s">
        <v>1888</v>
      </c>
      <c r="L753" s="29" t="s">
        <v>26</v>
      </c>
    </row>
    <row r="754" ht="20" customHeight="1" spans="1:12" x14ac:dyDescent="0.25">
      <c r="A754" s="7" t="s">
        <v>2950</v>
      </c>
      <c r="B754" s="7" t="s">
        <v>1510</v>
      </c>
      <c r="C754" s="24">
        <f>IF(B754&lt;&gt;"",IFERROR(VLOOKUP(B754,'📦 Productos'!A:C,3,FALSE),IFERROR(VLOOKUP(B754&amp;"",'📦 Productos'!A:C,3,FALSE),IFERROR(VLOOKUP(VALUE(B754),'📦 Productos'!A:C,3,FALSE),""))),"")</f>
      </c>
      <c r="D754" s="7" t="s">
        <v>1511</v>
      </c>
      <c r="E754" s="8" t="s">
        <v>26</v>
      </c>
      <c r="F754" s="12">
        <v>0</v>
      </c>
      <c r="G754" s="25">
        <v>0</v>
      </c>
      <c r="H754" s="26"/>
      <c r="I754" s="14">
        <f>IF(AND(G754&gt;0,H754&gt;0),ROUND((1-H754/G754)*100,0),0)</f>
        <v>0</v>
      </c>
      <c r="J754" s="34" t="s">
        <v>28</v>
      </c>
      <c r="K754" s="12" t="s">
        <v>1888</v>
      </c>
      <c r="L754" s="8" t="s">
        <v>26</v>
      </c>
    </row>
    <row r="755" ht="20" customHeight="1" spans="1:12" x14ac:dyDescent="0.25">
      <c r="A755" s="28" t="s">
        <v>2951</v>
      </c>
      <c r="B755" s="28" t="s">
        <v>1513</v>
      </c>
      <c r="C755" s="24">
        <f>IF(B755&lt;&gt;"",IFERROR(VLOOKUP(B755,'📦 Productos'!A:C,3,FALSE),IFERROR(VLOOKUP(B755&amp;"",'📦 Productos'!A:C,3,FALSE),IFERROR(VLOOKUP(VALUE(B755),'📦 Productos'!A:C,3,FALSE),""))),"")</f>
      </c>
      <c r="D755" s="28" t="s">
        <v>1514</v>
      </c>
      <c r="E755" s="29" t="s">
        <v>26</v>
      </c>
      <c r="F755" s="30">
        <v>0</v>
      </c>
      <c r="G755" s="31">
        <v>0</v>
      </c>
      <c r="H755" s="32"/>
      <c r="I755" s="14">
        <f>IF(AND(G755&gt;0,H755&gt;0),ROUND((1-H755/G755)*100,0),0)</f>
        <v>0</v>
      </c>
      <c r="J755" s="35" t="s">
        <v>28</v>
      </c>
      <c r="K755" s="30" t="s">
        <v>1888</v>
      </c>
      <c r="L755" s="29" t="s">
        <v>26</v>
      </c>
    </row>
    <row r="756" ht="20" customHeight="1" spans="1:12" x14ac:dyDescent="0.25">
      <c r="A756" s="7" t="s">
        <v>2952</v>
      </c>
      <c r="B756" s="7" t="s">
        <v>1516</v>
      </c>
      <c r="C756" s="24">
        <f>IF(B756&lt;&gt;"",IFERROR(VLOOKUP(B756,'📦 Productos'!A:C,3,FALSE),IFERROR(VLOOKUP(B756&amp;"",'📦 Productos'!A:C,3,FALSE),IFERROR(VLOOKUP(VALUE(B756),'📦 Productos'!A:C,3,FALSE),""))),"")</f>
      </c>
      <c r="D756" s="7" t="s">
        <v>1517</v>
      </c>
      <c r="E756" s="8" t="s">
        <v>26</v>
      </c>
      <c r="F756" s="12">
        <v>0</v>
      </c>
      <c r="G756" s="25">
        <v>0</v>
      </c>
      <c r="H756" s="26"/>
      <c r="I756" s="14">
        <f>IF(AND(G756&gt;0,H756&gt;0),ROUND((1-H756/G756)*100,0),0)</f>
        <v>0</v>
      </c>
      <c r="J756" s="34" t="s">
        <v>28</v>
      </c>
      <c r="K756" s="12" t="s">
        <v>1888</v>
      </c>
      <c r="L756" s="8" t="s">
        <v>26</v>
      </c>
    </row>
    <row r="757" ht="20" customHeight="1" spans="1:12" x14ac:dyDescent="0.25">
      <c r="A757" s="28" t="s">
        <v>2953</v>
      </c>
      <c r="B757" s="28" t="s">
        <v>1519</v>
      </c>
      <c r="C757" s="24">
        <f>IF(B757&lt;&gt;"",IFERROR(VLOOKUP(B757,'📦 Productos'!A:C,3,FALSE),IFERROR(VLOOKUP(B757&amp;"",'📦 Productos'!A:C,3,FALSE),IFERROR(VLOOKUP(VALUE(B757),'📦 Productos'!A:C,3,FALSE),""))),"")</f>
      </c>
      <c r="D757" s="28" t="s">
        <v>1520</v>
      </c>
      <c r="E757" s="29" t="s">
        <v>26</v>
      </c>
      <c r="F757" s="30">
        <v>0</v>
      </c>
      <c r="G757" s="31">
        <v>0</v>
      </c>
      <c r="H757" s="32"/>
      <c r="I757" s="14">
        <f>IF(AND(G757&gt;0,H757&gt;0),ROUND((1-H757/G757)*100,0),0)</f>
        <v>0</v>
      </c>
      <c r="J757" s="35" t="s">
        <v>28</v>
      </c>
      <c r="K757" s="30" t="s">
        <v>1888</v>
      </c>
      <c r="L757" s="29" t="s">
        <v>26</v>
      </c>
    </row>
    <row r="758" ht="20" customHeight="1" spans="1:12" x14ac:dyDescent="0.25">
      <c r="A758" s="7" t="s">
        <v>2954</v>
      </c>
      <c r="B758" s="7" t="s">
        <v>1522</v>
      </c>
      <c r="C758" s="24">
        <f>IF(B758&lt;&gt;"",IFERROR(VLOOKUP(B758,'📦 Productos'!A:C,3,FALSE),IFERROR(VLOOKUP(B758&amp;"",'📦 Productos'!A:C,3,FALSE),IFERROR(VLOOKUP(VALUE(B758),'📦 Productos'!A:C,3,FALSE),""))),"")</f>
      </c>
      <c r="D758" s="7" t="s">
        <v>1523</v>
      </c>
      <c r="E758" s="8" t="s">
        <v>26</v>
      </c>
      <c r="F758" s="12">
        <v>0</v>
      </c>
      <c r="G758" s="25">
        <v>0</v>
      </c>
      <c r="H758" s="26"/>
      <c r="I758" s="14">
        <f>IF(AND(G758&gt;0,H758&gt;0),ROUND((1-H758/G758)*100,0),0)</f>
        <v>0</v>
      </c>
      <c r="J758" s="34" t="s">
        <v>28</v>
      </c>
      <c r="K758" s="12" t="s">
        <v>1888</v>
      </c>
      <c r="L758" s="8" t="s">
        <v>26</v>
      </c>
    </row>
    <row r="759" ht="20" customHeight="1" spans="1:12" x14ac:dyDescent="0.25">
      <c r="A759" s="28" t="s">
        <v>2955</v>
      </c>
      <c r="B759" s="28" t="s">
        <v>1525</v>
      </c>
      <c r="C759" s="24">
        <f>IF(B759&lt;&gt;"",IFERROR(VLOOKUP(B759,'📦 Productos'!A:C,3,FALSE),IFERROR(VLOOKUP(B759&amp;"",'📦 Productos'!A:C,3,FALSE),IFERROR(VLOOKUP(VALUE(B759),'📦 Productos'!A:C,3,FALSE),""))),"")</f>
      </c>
      <c r="D759" s="28" t="s">
        <v>1526</v>
      </c>
      <c r="E759" s="29" t="s">
        <v>26</v>
      </c>
      <c r="F759" s="30">
        <v>0</v>
      </c>
      <c r="G759" s="31">
        <v>0</v>
      </c>
      <c r="H759" s="32"/>
      <c r="I759" s="14">
        <f>IF(AND(G759&gt;0,H759&gt;0),ROUND((1-H759/G759)*100,0),0)</f>
        <v>0</v>
      </c>
      <c r="J759" s="35" t="s">
        <v>28</v>
      </c>
      <c r="K759" s="30" t="s">
        <v>1888</v>
      </c>
      <c r="L759" s="29" t="s">
        <v>26</v>
      </c>
    </row>
    <row r="760" ht="20" customHeight="1" spans="1:12" x14ac:dyDescent="0.25">
      <c r="A760" s="7" t="s">
        <v>2956</v>
      </c>
      <c r="B760" s="7" t="s">
        <v>1528</v>
      </c>
      <c r="C760" s="24">
        <f>IF(B760&lt;&gt;"",IFERROR(VLOOKUP(B760,'📦 Productos'!A:C,3,FALSE),IFERROR(VLOOKUP(B760&amp;"",'📦 Productos'!A:C,3,FALSE),IFERROR(VLOOKUP(VALUE(B760),'📦 Productos'!A:C,3,FALSE),""))),"")</f>
      </c>
      <c r="D760" s="7" t="s">
        <v>1529</v>
      </c>
      <c r="E760" s="8" t="s">
        <v>26</v>
      </c>
      <c r="F760" s="12">
        <v>0</v>
      </c>
      <c r="G760" s="25">
        <v>0</v>
      </c>
      <c r="H760" s="26"/>
      <c r="I760" s="14">
        <f>IF(AND(G760&gt;0,H760&gt;0),ROUND((1-H760/G760)*100,0),0)</f>
        <v>0</v>
      </c>
      <c r="J760" s="34" t="s">
        <v>28</v>
      </c>
      <c r="K760" s="12" t="s">
        <v>1888</v>
      </c>
      <c r="L760" s="8" t="s">
        <v>26</v>
      </c>
    </row>
    <row r="761" ht="20" customHeight="1" spans="1:12" x14ac:dyDescent="0.25">
      <c r="A761" s="28" t="s">
        <v>2957</v>
      </c>
      <c r="B761" s="28" t="s">
        <v>1531</v>
      </c>
      <c r="C761" s="24">
        <f>IF(B761&lt;&gt;"",IFERROR(VLOOKUP(B761,'📦 Productos'!A:C,3,FALSE),IFERROR(VLOOKUP(B761&amp;"",'📦 Productos'!A:C,3,FALSE),IFERROR(VLOOKUP(VALUE(B761),'📦 Productos'!A:C,3,FALSE),""))),"")</f>
      </c>
      <c r="D761" s="28" t="s">
        <v>1532</v>
      </c>
      <c r="E761" s="29" t="s">
        <v>26</v>
      </c>
      <c r="F761" s="30">
        <v>0</v>
      </c>
      <c r="G761" s="31">
        <v>0</v>
      </c>
      <c r="H761" s="32"/>
      <c r="I761" s="14">
        <f>IF(AND(G761&gt;0,H761&gt;0),ROUND((1-H761/G761)*100,0),0)</f>
        <v>0</v>
      </c>
      <c r="J761" s="35" t="s">
        <v>28</v>
      </c>
      <c r="K761" s="30" t="s">
        <v>1888</v>
      </c>
      <c r="L761" s="29" t="s">
        <v>26</v>
      </c>
    </row>
    <row r="762" ht="20" customHeight="1" spans="1:12" x14ac:dyDescent="0.25">
      <c r="A762" s="7" t="s">
        <v>2958</v>
      </c>
      <c r="B762" s="7" t="s">
        <v>1534</v>
      </c>
      <c r="C762" s="24">
        <f>IF(B762&lt;&gt;"",IFERROR(VLOOKUP(B762,'📦 Productos'!A:C,3,FALSE),IFERROR(VLOOKUP(B762&amp;"",'📦 Productos'!A:C,3,FALSE),IFERROR(VLOOKUP(VALUE(B762),'📦 Productos'!A:C,3,FALSE),""))),"")</f>
      </c>
      <c r="D762" s="7" t="s">
        <v>1535</v>
      </c>
      <c r="E762" s="8" t="s">
        <v>26</v>
      </c>
      <c r="F762" s="12">
        <v>0</v>
      </c>
      <c r="G762" s="25">
        <v>0</v>
      </c>
      <c r="H762" s="26"/>
      <c r="I762" s="14">
        <f>IF(AND(G762&gt;0,H762&gt;0),ROUND((1-H762/G762)*100,0),0)</f>
        <v>0</v>
      </c>
      <c r="J762" s="34" t="s">
        <v>28</v>
      </c>
      <c r="K762" s="12" t="s">
        <v>1888</v>
      </c>
      <c r="L762" s="8" t="s">
        <v>26</v>
      </c>
    </row>
    <row r="763" ht="20" customHeight="1" spans="1:12" x14ac:dyDescent="0.25">
      <c r="A763" s="28" t="s">
        <v>2959</v>
      </c>
      <c r="B763" s="28" t="s">
        <v>1537</v>
      </c>
      <c r="C763" s="24">
        <f>IF(B763&lt;&gt;"",IFERROR(VLOOKUP(B763,'📦 Productos'!A:C,3,FALSE),IFERROR(VLOOKUP(B763&amp;"",'📦 Productos'!A:C,3,FALSE),IFERROR(VLOOKUP(VALUE(B763),'📦 Productos'!A:C,3,FALSE),""))),"")</f>
      </c>
      <c r="D763" s="28" t="s">
        <v>1538</v>
      </c>
      <c r="E763" s="29" t="s">
        <v>26</v>
      </c>
      <c r="F763" s="30">
        <v>0</v>
      </c>
      <c r="G763" s="31">
        <v>0</v>
      </c>
      <c r="H763" s="32"/>
      <c r="I763" s="14">
        <f>IF(AND(G763&gt;0,H763&gt;0),ROUND((1-H763/G763)*100,0),0)</f>
        <v>0</v>
      </c>
      <c r="J763" s="35" t="s">
        <v>28</v>
      </c>
      <c r="K763" s="30" t="s">
        <v>1888</v>
      </c>
      <c r="L763" s="29" t="s">
        <v>26</v>
      </c>
    </row>
    <row r="764" ht="20" customHeight="1" spans="1:12" x14ac:dyDescent="0.25">
      <c r="A764" s="7" t="s">
        <v>2960</v>
      </c>
      <c r="B764" s="7" t="s">
        <v>1540</v>
      </c>
      <c r="C764" s="24">
        <f>IF(B764&lt;&gt;"",IFERROR(VLOOKUP(B764,'📦 Productos'!A:C,3,FALSE),IFERROR(VLOOKUP(B764&amp;"",'📦 Productos'!A:C,3,FALSE),IFERROR(VLOOKUP(VALUE(B764),'📦 Productos'!A:C,3,FALSE),""))),"")</f>
      </c>
      <c r="D764" s="7" t="s">
        <v>1541</v>
      </c>
      <c r="E764" s="8" t="s">
        <v>26</v>
      </c>
      <c r="F764" s="12">
        <v>0</v>
      </c>
      <c r="G764" s="25">
        <v>0</v>
      </c>
      <c r="H764" s="26"/>
      <c r="I764" s="14">
        <f>IF(AND(G764&gt;0,H764&gt;0),ROUND((1-H764/G764)*100,0),0)</f>
        <v>0</v>
      </c>
      <c r="J764" s="34" t="s">
        <v>28</v>
      </c>
      <c r="K764" s="12" t="s">
        <v>1888</v>
      </c>
      <c r="L764" s="8" t="s">
        <v>26</v>
      </c>
    </row>
    <row r="765" ht="20" customHeight="1" spans="1:12" x14ac:dyDescent="0.25">
      <c r="A765" s="28" t="s">
        <v>2961</v>
      </c>
      <c r="B765" s="28" t="s">
        <v>1543</v>
      </c>
      <c r="C765" s="24">
        <f>IF(B765&lt;&gt;"",IFERROR(VLOOKUP(B765,'📦 Productos'!A:C,3,FALSE),IFERROR(VLOOKUP(B765&amp;"",'📦 Productos'!A:C,3,FALSE),IFERROR(VLOOKUP(VALUE(B765),'📦 Productos'!A:C,3,FALSE),""))),"")</f>
      </c>
      <c r="D765" s="28" t="s">
        <v>1544</v>
      </c>
      <c r="E765" s="29" t="s">
        <v>26</v>
      </c>
      <c r="F765" s="30">
        <v>0</v>
      </c>
      <c r="G765" s="31">
        <v>0</v>
      </c>
      <c r="H765" s="32"/>
      <c r="I765" s="14">
        <f>IF(AND(G765&gt;0,H765&gt;0),ROUND((1-H765/G765)*100,0),0)</f>
        <v>0</v>
      </c>
      <c r="J765" s="35" t="s">
        <v>28</v>
      </c>
      <c r="K765" s="30" t="s">
        <v>1888</v>
      </c>
      <c r="L765" s="29" t="s">
        <v>26</v>
      </c>
    </row>
    <row r="766" ht="20" customHeight="1" spans="1:12" x14ac:dyDescent="0.25">
      <c r="A766" s="7" t="s">
        <v>2962</v>
      </c>
      <c r="B766" s="7" t="s">
        <v>1546</v>
      </c>
      <c r="C766" s="24">
        <f>IF(B766&lt;&gt;"",IFERROR(VLOOKUP(B766,'📦 Productos'!A:C,3,FALSE),IFERROR(VLOOKUP(B766&amp;"",'📦 Productos'!A:C,3,FALSE),IFERROR(VLOOKUP(VALUE(B766),'📦 Productos'!A:C,3,FALSE),""))),"")</f>
      </c>
      <c r="D766" s="7" t="s">
        <v>1547</v>
      </c>
      <c r="E766" s="8" t="s">
        <v>26</v>
      </c>
      <c r="F766" s="12">
        <v>0</v>
      </c>
      <c r="G766" s="25">
        <v>0</v>
      </c>
      <c r="H766" s="26"/>
      <c r="I766" s="14">
        <f>IF(AND(G766&gt;0,H766&gt;0),ROUND((1-H766/G766)*100,0),0)</f>
        <v>0</v>
      </c>
      <c r="J766" s="34" t="s">
        <v>28</v>
      </c>
      <c r="K766" s="12" t="s">
        <v>1888</v>
      </c>
      <c r="L766" s="8" t="s">
        <v>26</v>
      </c>
    </row>
    <row r="767" ht="20" customHeight="1" spans="1:12" x14ac:dyDescent="0.25">
      <c r="A767" s="28" t="s">
        <v>2963</v>
      </c>
      <c r="B767" s="28" t="s">
        <v>1549</v>
      </c>
      <c r="C767" s="24">
        <f>IF(B767&lt;&gt;"",IFERROR(VLOOKUP(B767,'📦 Productos'!A:C,3,FALSE),IFERROR(VLOOKUP(B767&amp;"",'📦 Productos'!A:C,3,FALSE),IFERROR(VLOOKUP(VALUE(B767),'📦 Productos'!A:C,3,FALSE),""))),"")</f>
      </c>
      <c r="D767" s="28" t="s">
        <v>1550</v>
      </c>
      <c r="E767" s="29" t="s">
        <v>26</v>
      </c>
      <c r="F767" s="30">
        <v>0</v>
      </c>
      <c r="G767" s="31">
        <v>0</v>
      </c>
      <c r="H767" s="32"/>
      <c r="I767" s="14">
        <f>IF(AND(G767&gt;0,H767&gt;0),ROUND((1-H767/G767)*100,0),0)</f>
        <v>0</v>
      </c>
      <c r="J767" s="35" t="s">
        <v>28</v>
      </c>
      <c r="K767" s="30" t="s">
        <v>1888</v>
      </c>
      <c r="L767" s="29" t="s">
        <v>26</v>
      </c>
    </row>
    <row r="768" ht="20" customHeight="1" spans="1:12" x14ac:dyDescent="0.25">
      <c r="A768" s="7" t="s">
        <v>2964</v>
      </c>
      <c r="B768" s="7" t="s">
        <v>1552</v>
      </c>
      <c r="C768" s="24">
        <f>IF(B768&lt;&gt;"",IFERROR(VLOOKUP(B768,'📦 Productos'!A:C,3,FALSE),IFERROR(VLOOKUP(B768&amp;"",'📦 Productos'!A:C,3,FALSE),IFERROR(VLOOKUP(VALUE(B768),'📦 Productos'!A:C,3,FALSE),""))),"")</f>
      </c>
      <c r="D768" s="7" t="s">
        <v>1553</v>
      </c>
      <c r="E768" s="8" t="s">
        <v>26</v>
      </c>
      <c r="F768" s="12">
        <v>0</v>
      </c>
      <c r="G768" s="25">
        <v>0</v>
      </c>
      <c r="H768" s="26"/>
      <c r="I768" s="14">
        <f>IF(AND(G768&gt;0,H768&gt;0),ROUND((1-H768/G768)*100,0),0)</f>
        <v>0</v>
      </c>
      <c r="J768" s="34" t="s">
        <v>28</v>
      </c>
      <c r="K768" s="12" t="s">
        <v>1888</v>
      </c>
      <c r="L768" s="8" t="s">
        <v>26</v>
      </c>
    </row>
    <row r="769" ht="20" customHeight="1" spans="1:12" x14ac:dyDescent="0.25">
      <c r="A769" s="28" t="s">
        <v>2965</v>
      </c>
      <c r="B769" s="28" t="s">
        <v>1555</v>
      </c>
      <c r="C769" s="24">
        <f>IF(B769&lt;&gt;"",IFERROR(VLOOKUP(B769,'📦 Productos'!A:C,3,FALSE),IFERROR(VLOOKUP(B769&amp;"",'📦 Productos'!A:C,3,FALSE),IFERROR(VLOOKUP(VALUE(B769),'📦 Productos'!A:C,3,FALSE),""))),"")</f>
      </c>
      <c r="D769" s="28" t="s">
        <v>1556</v>
      </c>
      <c r="E769" s="29" t="s">
        <v>26</v>
      </c>
      <c r="F769" s="30">
        <v>0</v>
      </c>
      <c r="G769" s="31">
        <v>0</v>
      </c>
      <c r="H769" s="32"/>
      <c r="I769" s="14">
        <f>IF(AND(G769&gt;0,H769&gt;0),ROUND((1-H769/G769)*100,0),0)</f>
        <v>0</v>
      </c>
      <c r="J769" s="35" t="s">
        <v>28</v>
      </c>
      <c r="K769" s="30" t="s">
        <v>1888</v>
      </c>
      <c r="L769" s="29" t="s">
        <v>26</v>
      </c>
    </row>
    <row r="770" ht="20" customHeight="1" spans="1:12" x14ac:dyDescent="0.25">
      <c r="A770" s="7" t="s">
        <v>2966</v>
      </c>
      <c r="B770" s="7" t="s">
        <v>1558</v>
      </c>
      <c r="C770" s="24">
        <f>IF(B770&lt;&gt;"",IFERROR(VLOOKUP(B770,'📦 Productos'!A:C,3,FALSE),IFERROR(VLOOKUP(B770&amp;"",'📦 Productos'!A:C,3,FALSE),IFERROR(VLOOKUP(VALUE(B770),'📦 Productos'!A:C,3,FALSE),""))),"")</f>
      </c>
      <c r="D770" s="7" t="s">
        <v>1559</v>
      </c>
      <c r="E770" s="8" t="s">
        <v>26</v>
      </c>
      <c r="F770" s="12">
        <v>0</v>
      </c>
      <c r="G770" s="25">
        <v>0</v>
      </c>
      <c r="H770" s="26"/>
      <c r="I770" s="14">
        <f>IF(AND(G770&gt;0,H770&gt;0),ROUND((1-H770/G770)*100,0),0)</f>
        <v>0</v>
      </c>
      <c r="J770" s="34" t="s">
        <v>28</v>
      </c>
      <c r="K770" s="12" t="s">
        <v>1888</v>
      </c>
      <c r="L770" s="8" t="s">
        <v>26</v>
      </c>
    </row>
    <row r="771" ht="20" customHeight="1" spans="1:12" x14ac:dyDescent="0.25">
      <c r="A771" s="28" t="s">
        <v>2967</v>
      </c>
      <c r="B771" s="28" t="s">
        <v>1561</v>
      </c>
      <c r="C771" s="24">
        <f>IF(B771&lt;&gt;"",IFERROR(VLOOKUP(B771,'📦 Productos'!A:C,3,FALSE),IFERROR(VLOOKUP(B771&amp;"",'📦 Productos'!A:C,3,FALSE),IFERROR(VLOOKUP(VALUE(B771),'📦 Productos'!A:C,3,FALSE),""))),"")</f>
      </c>
      <c r="D771" s="28" t="s">
        <v>1562</v>
      </c>
      <c r="E771" s="29" t="s">
        <v>26</v>
      </c>
      <c r="F771" s="30">
        <v>0</v>
      </c>
      <c r="G771" s="31">
        <v>0</v>
      </c>
      <c r="H771" s="32"/>
      <c r="I771" s="14">
        <f>IF(AND(G771&gt;0,H771&gt;0),ROUND((1-H771/G771)*100,0),0)</f>
        <v>0</v>
      </c>
      <c r="J771" s="35" t="s">
        <v>28</v>
      </c>
      <c r="K771" s="30" t="s">
        <v>1888</v>
      </c>
      <c r="L771" s="29" t="s">
        <v>26</v>
      </c>
    </row>
    <row r="772" ht="20" customHeight="1" spans="1:12" x14ac:dyDescent="0.25">
      <c r="A772" s="7" t="s">
        <v>2968</v>
      </c>
      <c r="B772" s="7" t="s">
        <v>1564</v>
      </c>
      <c r="C772" s="24">
        <f>IF(B772&lt;&gt;"",IFERROR(VLOOKUP(B772,'📦 Productos'!A:C,3,FALSE),IFERROR(VLOOKUP(B772&amp;"",'📦 Productos'!A:C,3,FALSE),IFERROR(VLOOKUP(VALUE(B772),'📦 Productos'!A:C,3,FALSE),""))),"")</f>
      </c>
      <c r="D772" s="7" t="s">
        <v>1565</v>
      </c>
      <c r="E772" s="8" t="s">
        <v>26</v>
      </c>
      <c r="F772" s="12">
        <v>0</v>
      </c>
      <c r="G772" s="25">
        <v>0</v>
      </c>
      <c r="H772" s="26"/>
      <c r="I772" s="14">
        <f>IF(AND(G772&gt;0,H772&gt;0),ROUND((1-H772/G772)*100,0),0)</f>
        <v>0</v>
      </c>
      <c r="J772" s="34" t="s">
        <v>28</v>
      </c>
      <c r="K772" s="12" t="s">
        <v>1888</v>
      </c>
      <c r="L772" s="8" t="s">
        <v>26</v>
      </c>
    </row>
    <row r="773" ht="20" customHeight="1" spans="1:12" x14ac:dyDescent="0.25">
      <c r="A773" s="28" t="s">
        <v>2969</v>
      </c>
      <c r="B773" s="28" t="s">
        <v>1567</v>
      </c>
      <c r="C773" s="24">
        <f>IF(B773&lt;&gt;"",IFERROR(VLOOKUP(B773,'📦 Productos'!A:C,3,FALSE),IFERROR(VLOOKUP(B773&amp;"",'📦 Productos'!A:C,3,FALSE),IFERROR(VLOOKUP(VALUE(B773),'📦 Productos'!A:C,3,FALSE),""))),"")</f>
      </c>
      <c r="D773" s="28" t="s">
        <v>1568</v>
      </c>
      <c r="E773" s="29" t="s">
        <v>26</v>
      </c>
      <c r="F773" s="30">
        <v>0</v>
      </c>
      <c r="G773" s="31">
        <v>0</v>
      </c>
      <c r="H773" s="32"/>
      <c r="I773" s="14">
        <f>IF(AND(G773&gt;0,H773&gt;0),ROUND((1-H773/G773)*100,0),0)</f>
        <v>0</v>
      </c>
      <c r="J773" s="35" t="s">
        <v>28</v>
      </c>
      <c r="K773" s="30" t="s">
        <v>1888</v>
      </c>
      <c r="L773" s="29" t="s">
        <v>26</v>
      </c>
    </row>
    <row r="774" ht="20" customHeight="1" spans="1:12" x14ac:dyDescent="0.25">
      <c r="A774" s="7" t="s">
        <v>2970</v>
      </c>
      <c r="B774" s="7" t="s">
        <v>1570</v>
      </c>
      <c r="C774" s="24">
        <f>IF(B774&lt;&gt;"",IFERROR(VLOOKUP(B774,'📦 Productos'!A:C,3,FALSE),IFERROR(VLOOKUP(B774&amp;"",'📦 Productos'!A:C,3,FALSE),IFERROR(VLOOKUP(VALUE(B774),'📦 Productos'!A:C,3,FALSE),""))),"")</f>
      </c>
      <c r="D774" s="7" t="s">
        <v>1571</v>
      </c>
      <c r="E774" s="8" t="s">
        <v>26</v>
      </c>
      <c r="F774" s="12">
        <v>0</v>
      </c>
      <c r="G774" s="25">
        <v>0</v>
      </c>
      <c r="H774" s="26"/>
      <c r="I774" s="14">
        <f>IF(AND(G774&gt;0,H774&gt;0),ROUND((1-H774/G774)*100,0),0)</f>
        <v>0</v>
      </c>
      <c r="J774" s="34" t="s">
        <v>28</v>
      </c>
      <c r="K774" s="12" t="s">
        <v>1888</v>
      </c>
      <c r="L774" s="8" t="s">
        <v>26</v>
      </c>
    </row>
    <row r="775" ht="20" customHeight="1" spans="1:12" x14ac:dyDescent="0.25">
      <c r="A775" s="28" t="s">
        <v>2971</v>
      </c>
      <c r="B775" s="28" t="s">
        <v>1573</v>
      </c>
      <c r="C775" s="24">
        <f>IF(B775&lt;&gt;"",IFERROR(VLOOKUP(B775,'📦 Productos'!A:C,3,FALSE),IFERROR(VLOOKUP(B775&amp;"",'📦 Productos'!A:C,3,FALSE),IFERROR(VLOOKUP(VALUE(B775),'📦 Productos'!A:C,3,FALSE),""))),"")</f>
      </c>
      <c r="D775" s="28" t="s">
        <v>1574</v>
      </c>
      <c r="E775" s="29" t="s">
        <v>26</v>
      </c>
      <c r="F775" s="30">
        <v>0</v>
      </c>
      <c r="G775" s="31">
        <v>0</v>
      </c>
      <c r="H775" s="32"/>
      <c r="I775" s="14">
        <f>IF(AND(G775&gt;0,H775&gt;0),ROUND((1-H775/G775)*100,0),0)</f>
        <v>0</v>
      </c>
      <c r="J775" s="35" t="s">
        <v>28</v>
      </c>
      <c r="K775" s="30" t="s">
        <v>1888</v>
      </c>
      <c r="L775" s="29" t="s">
        <v>26</v>
      </c>
    </row>
    <row r="776" ht="20" customHeight="1" spans="1:12" x14ac:dyDescent="0.25">
      <c r="A776" s="7" t="s">
        <v>2972</v>
      </c>
      <c r="B776" s="7" t="s">
        <v>1576</v>
      </c>
      <c r="C776" s="24">
        <f>IF(B776&lt;&gt;"",IFERROR(VLOOKUP(B776,'📦 Productos'!A:C,3,FALSE),IFERROR(VLOOKUP(B776&amp;"",'📦 Productos'!A:C,3,FALSE),IFERROR(VLOOKUP(VALUE(B776),'📦 Productos'!A:C,3,FALSE),""))),"")</f>
      </c>
      <c r="D776" s="7" t="s">
        <v>1577</v>
      </c>
      <c r="E776" s="8" t="s">
        <v>26</v>
      </c>
      <c r="F776" s="12">
        <v>0</v>
      </c>
      <c r="G776" s="25">
        <v>0</v>
      </c>
      <c r="H776" s="26"/>
      <c r="I776" s="14">
        <f>IF(AND(G776&gt;0,H776&gt;0),ROUND((1-H776/G776)*100,0),0)</f>
        <v>0</v>
      </c>
      <c r="J776" s="34" t="s">
        <v>28</v>
      </c>
      <c r="K776" s="12" t="s">
        <v>1888</v>
      </c>
      <c r="L776" s="8" t="s">
        <v>26</v>
      </c>
    </row>
    <row r="777" ht="20" customHeight="1" spans="1:12" x14ac:dyDescent="0.25">
      <c r="A777" s="28" t="s">
        <v>2973</v>
      </c>
      <c r="B777" s="28" t="s">
        <v>1579</v>
      </c>
      <c r="C777" s="24">
        <f>IF(B777&lt;&gt;"",IFERROR(VLOOKUP(B777,'📦 Productos'!A:C,3,FALSE),IFERROR(VLOOKUP(B777&amp;"",'📦 Productos'!A:C,3,FALSE),IFERROR(VLOOKUP(VALUE(B777),'📦 Productos'!A:C,3,FALSE),""))),"")</f>
      </c>
      <c r="D777" s="28" t="s">
        <v>1580</v>
      </c>
      <c r="E777" s="29" t="s">
        <v>26</v>
      </c>
      <c r="F777" s="30">
        <v>0</v>
      </c>
      <c r="G777" s="31">
        <v>0</v>
      </c>
      <c r="H777" s="32"/>
      <c r="I777" s="14">
        <f>IF(AND(G777&gt;0,H777&gt;0),ROUND((1-H777/G777)*100,0),0)</f>
        <v>0</v>
      </c>
      <c r="J777" s="35" t="s">
        <v>28</v>
      </c>
      <c r="K777" s="30" t="s">
        <v>1888</v>
      </c>
      <c r="L777" s="29" t="s">
        <v>26</v>
      </c>
    </row>
    <row r="778" ht="20" customHeight="1" spans="1:12" x14ac:dyDescent="0.25">
      <c r="A778" s="7" t="s">
        <v>2974</v>
      </c>
      <c r="B778" s="7" t="s">
        <v>1582</v>
      </c>
      <c r="C778" s="24">
        <f>IF(B778&lt;&gt;"",IFERROR(VLOOKUP(B778,'📦 Productos'!A:C,3,FALSE),IFERROR(VLOOKUP(B778&amp;"",'📦 Productos'!A:C,3,FALSE),IFERROR(VLOOKUP(VALUE(B778),'📦 Productos'!A:C,3,FALSE),""))),"")</f>
      </c>
      <c r="D778" s="7" t="s">
        <v>1583</v>
      </c>
      <c r="E778" s="8" t="s">
        <v>26</v>
      </c>
      <c r="F778" s="12">
        <v>0</v>
      </c>
      <c r="G778" s="25">
        <v>0</v>
      </c>
      <c r="H778" s="26"/>
      <c r="I778" s="14">
        <f>IF(AND(G778&gt;0,H778&gt;0),ROUND((1-H778/G778)*100,0),0)</f>
        <v>0</v>
      </c>
      <c r="J778" s="34" t="s">
        <v>28</v>
      </c>
      <c r="K778" s="12" t="s">
        <v>1888</v>
      </c>
      <c r="L778" s="8" t="s">
        <v>26</v>
      </c>
    </row>
    <row r="779" ht="20" customHeight="1" spans="1:12" x14ac:dyDescent="0.25">
      <c r="A779" s="28" t="s">
        <v>2975</v>
      </c>
      <c r="B779" s="28" t="s">
        <v>1585</v>
      </c>
      <c r="C779" s="24">
        <f>IF(B779&lt;&gt;"",IFERROR(VLOOKUP(B779,'📦 Productos'!A:C,3,FALSE),IFERROR(VLOOKUP(B779&amp;"",'📦 Productos'!A:C,3,FALSE),IFERROR(VLOOKUP(VALUE(B779),'📦 Productos'!A:C,3,FALSE),""))),"")</f>
      </c>
      <c r="D779" s="28" t="s">
        <v>1586</v>
      </c>
      <c r="E779" s="29" t="s">
        <v>26</v>
      </c>
      <c r="F779" s="30">
        <v>0</v>
      </c>
      <c r="G779" s="31">
        <v>0</v>
      </c>
      <c r="H779" s="32"/>
      <c r="I779" s="14">
        <f>IF(AND(G779&gt;0,H779&gt;0),ROUND((1-H779/G779)*100,0),0)</f>
        <v>0</v>
      </c>
      <c r="J779" s="35" t="s">
        <v>28</v>
      </c>
      <c r="K779" s="30" t="s">
        <v>1888</v>
      </c>
      <c r="L779" s="29" t="s">
        <v>26</v>
      </c>
    </row>
    <row r="780" ht="20" customHeight="1" spans="1:12" x14ac:dyDescent="0.25">
      <c r="A780" s="7" t="s">
        <v>2976</v>
      </c>
      <c r="B780" s="7" t="s">
        <v>1588</v>
      </c>
      <c r="C780" s="24">
        <f>IF(B780&lt;&gt;"",IFERROR(VLOOKUP(B780,'📦 Productos'!A:C,3,FALSE),IFERROR(VLOOKUP(B780&amp;"",'📦 Productos'!A:C,3,FALSE),IFERROR(VLOOKUP(VALUE(B780),'📦 Productos'!A:C,3,FALSE),""))),"")</f>
      </c>
      <c r="D780" s="7" t="s">
        <v>1589</v>
      </c>
      <c r="E780" s="8" t="s">
        <v>26</v>
      </c>
      <c r="F780" s="12">
        <v>0</v>
      </c>
      <c r="G780" s="25">
        <v>0</v>
      </c>
      <c r="H780" s="26"/>
      <c r="I780" s="14">
        <f>IF(AND(G780&gt;0,H780&gt;0),ROUND((1-H780/G780)*100,0),0)</f>
        <v>0</v>
      </c>
      <c r="J780" s="34" t="s">
        <v>28</v>
      </c>
      <c r="K780" s="12" t="s">
        <v>1888</v>
      </c>
      <c r="L780" s="8" t="s">
        <v>26</v>
      </c>
    </row>
    <row r="781" ht="20" customHeight="1" spans="1:12" x14ac:dyDescent="0.25">
      <c r="A781" s="28" t="s">
        <v>2977</v>
      </c>
      <c r="B781" s="28" t="s">
        <v>1591</v>
      </c>
      <c r="C781" s="24">
        <f>IF(B781&lt;&gt;"",IFERROR(VLOOKUP(B781,'📦 Productos'!A:C,3,FALSE),IFERROR(VLOOKUP(B781&amp;"",'📦 Productos'!A:C,3,FALSE),IFERROR(VLOOKUP(VALUE(B781),'📦 Productos'!A:C,3,FALSE),""))),"")</f>
      </c>
      <c r="D781" s="28" t="s">
        <v>1592</v>
      </c>
      <c r="E781" s="29" t="s">
        <v>26</v>
      </c>
      <c r="F781" s="30">
        <v>0</v>
      </c>
      <c r="G781" s="31">
        <v>0</v>
      </c>
      <c r="H781" s="32"/>
      <c r="I781" s="14">
        <f>IF(AND(G781&gt;0,H781&gt;0),ROUND((1-H781/G781)*100,0),0)</f>
        <v>0</v>
      </c>
      <c r="J781" s="35" t="s">
        <v>28</v>
      </c>
      <c r="K781" s="30" t="s">
        <v>1888</v>
      </c>
      <c r="L781" s="29" t="s">
        <v>26</v>
      </c>
    </row>
    <row r="782" ht="20" customHeight="1" spans="1:12" x14ac:dyDescent="0.25">
      <c r="A782" s="7" t="s">
        <v>2978</v>
      </c>
      <c r="B782" s="7" t="s">
        <v>1594</v>
      </c>
      <c r="C782" s="24">
        <f>IF(B782&lt;&gt;"",IFERROR(VLOOKUP(B782,'📦 Productos'!A:C,3,FALSE),IFERROR(VLOOKUP(B782&amp;"",'📦 Productos'!A:C,3,FALSE),IFERROR(VLOOKUP(VALUE(B782),'📦 Productos'!A:C,3,FALSE),""))),"")</f>
      </c>
      <c r="D782" s="7" t="s">
        <v>1595</v>
      </c>
      <c r="E782" s="8" t="s">
        <v>26</v>
      </c>
      <c r="F782" s="12">
        <v>0</v>
      </c>
      <c r="G782" s="25">
        <v>0</v>
      </c>
      <c r="H782" s="26"/>
      <c r="I782" s="14">
        <f>IF(AND(G782&gt;0,H782&gt;0),ROUND((1-H782/G782)*100,0),0)</f>
        <v>0</v>
      </c>
      <c r="J782" s="34" t="s">
        <v>28</v>
      </c>
      <c r="K782" s="12" t="s">
        <v>1888</v>
      </c>
      <c r="L782" s="8" t="s">
        <v>26</v>
      </c>
    </row>
    <row r="783" ht="20" customHeight="1" spans="1:12" x14ac:dyDescent="0.25">
      <c r="A783" s="28" t="s">
        <v>2979</v>
      </c>
      <c r="B783" s="28" t="s">
        <v>1597</v>
      </c>
      <c r="C783" s="24">
        <f>IF(B783&lt;&gt;"",IFERROR(VLOOKUP(B783,'📦 Productos'!A:C,3,FALSE),IFERROR(VLOOKUP(B783&amp;"",'📦 Productos'!A:C,3,FALSE),IFERROR(VLOOKUP(VALUE(B783),'📦 Productos'!A:C,3,FALSE),""))),"")</f>
      </c>
      <c r="D783" s="28" t="s">
        <v>1598</v>
      </c>
      <c r="E783" s="29" t="s">
        <v>26</v>
      </c>
      <c r="F783" s="30">
        <v>0</v>
      </c>
      <c r="G783" s="31">
        <v>0</v>
      </c>
      <c r="H783" s="32"/>
      <c r="I783" s="14">
        <f>IF(AND(G783&gt;0,H783&gt;0),ROUND((1-H783/G783)*100,0),0)</f>
        <v>0</v>
      </c>
      <c r="J783" s="35" t="s">
        <v>28</v>
      </c>
      <c r="K783" s="30" t="s">
        <v>1888</v>
      </c>
      <c r="L783" s="29" t="s">
        <v>26</v>
      </c>
    </row>
    <row r="784" ht="20" customHeight="1" spans="1:12" x14ac:dyDescent="0.25">
      <c r="A784" s="7" t="s">
        <v>2980</v>
      </c>
      <c r="B784" s="7" t="s">
        <v>1600</v>
      </c>
      <c r="C784" s="24">
        <f>IF(B784&lt;&gt;"",IFERROR(VLOOKUP(B784,'📦 Productos'!A:C,3,FALSE),IFERROR(VLOOKUP(B784&amp;"",'📦 Productos'!A:C,3,FALSE),IFERROR(VLOOKUP(VALUE(B784),'📦 Productos'!A:C,3,FALSE),""))),"")</f>
      </c>
      <c r="D784" s="7" t="s">
        <v>1601</v>
      </c>
      <c r="E784" s="8" t="s">
        <v>26</v>
      </c>
      <c r="F784" s="12">
        <v>0</v>
      </c>
      <c r="G784" s="25">
        <v>0</v>
      </c>
      <c r="H784" s="26"/>
      <c r="I784" s="14">
        <f>IF(AND(G784&gt;0,H784&gt;0),ROUND((1-H784/G784)*100,0),0)</f>
        <v>0</v>
      </c>
      <c r="J784" s="34" t="s">
        <v>28</v>
      </c>
      <c r="K784" s="12" t="s">
        <v>1888</v>
      </c>
      <c r="L784" s="8" t="s">
        <v>26</v>
      </c>
    </row>
    <row r="785" ht="20" customHeight="1" spans="1:12" x14ac:dyDescent="0.25">
      <c r="A785" s="28" t="s">
        <v>2981</v>
      </c>
      <c r="B785" s="28" t="s">
        <v>1603</v>
      </c>
      <c r="C785" s="24">
        <f>IF(B785&lt;&gt;"",IFERROR(VLOOKUP(B785,'📦 Productos'!A:C,3,FALSE),IFERROR(VLOOKUP(B785&amp;"",'📦 Productos'!A:C,3,FALSE),IFERROR(VLOOKUP(VALUE(B785),'📦 Productos'!A:C,3,FALSE),""))),"")</f>
      </c>
      <c r="D785" s="28" t="s">
        <v>1604</v>
      </c>
      <c r="E785" s="29" t="s">
        <v>26</v>
      </c>
      <c r="F785" s="30">
        <v>0</v>
      </c>
      <c r="G785" s="31">
        <v>0</v>
      </c>
      <c r="H785" s="32"/>
      <c r="I785" s="14">
        <f>IF(AND(G785&gt;0,H785&gt;0),ROUND((1-H785/G785)*100,0),0)</f>
        <v>0</v>
      </c>
      <c r="J785" s="35" t="s">
        <v>28</v>
      </c>
      <c r="K785" s="30" t="s">
        <v>1888</v>
      </c>
      <c r="L785" s="29" t="s">
        <v>26</v>
      </c>
    </row>
    <row r="786" ht="20" customHeight="1" spans="1:12" x14ac:dyDescent="0.25">
      <c r="A786" s="7" t="s">
        <v>2982</v>
      </c>
      <c r="B786" s="7" t="s">
        <v>1606</v>
      </c>
      <c r="C786" s="24">
        <f>IF(B786&lt;&gt;"",IFERROR(VLOOKUP(B786,'📦 Productos'!A:C,3,FALSE),IFERROR(VLOOKUP(B786&amp;"",'📦 Productos'!A:C,3,FALSE),IFERROR(VLOOKUP(VALUE(B786),'📦 Productos'!A:C,3,FALSE),""))),"")</f>
      </c>
      <c r="D786" s="7" t="s">
        <v>1607</v>
      </c>
      <c r="E786" s="8" t="s">
        <v>26</v>
      </c>
      <c r="F786" s="12">
        <v>0</v>
      </c>
      <c r="G786" s="25">
        <v>0</v>
      </c>
      <c r="H786" s="26"/>
      <c r="I786" s="14">
        <f>IF(AND(G786&gt;0,H786&gt;0),ROUND((1-H786/G786)*100,0),0)</f>
        <v>0</v>
      </c>
      <c r="J786" s="34" t="s">
        <v>28</v>
      </c>
      <c r="K786" s="12" t="s">
        <v>1888</v>
      </c>
      <c r="L786" s="8" t="s">
        <v>26</v>
      </c>
    </row>
    <row r="787" ht="20" customHeight="1" spans="1:12" x14ac:dyDescent="0.25">
      <c r="A787" s="28" t="s">
        <v>2983</v>
      </c>
      <c r="B787" s="28" t="s">
        <v>1609</v>
      </c>
      <c r="C787" s="24">
        <f>IF(B787&lt;&gt;"",IFERROR(VLOOKUP(B787,'📦 Productos'!A:C,3,FALSE),IFERROR(VLOOKUP(B787&amp;"",'📦 Productos'!A:C,3,FALSE),IFERROR(VLOOKUP(VALUE(B787),'📦 Productos'!A:C,3,FALSE),""))),"")</f>
      </c>
      <c r="D787" s="28" t="s">
        <v>1610</v>
      </c>
      <c r="E787" s="29" t="s">
        <v>26</v>
      </c>
      <c r="F787" s="30">
        <v>0</v>
      </c>
      <c r="G787" s="31">
        <v>0</v>
      </c>
      <c r="H787" s="32"/>
      <c r="I787" s="14">
        <f>IF(AND(G787&gt;0,H787&gt;0),ROUND((1-H787/G787)*100,0),0)</f>
        <v>0</v>
      </c>
      <c r="J787" s="35" t="s">
        <v>28</v>
      </c>
      <c r="K787" s="30" t="s">
        <v>1888</v>
      </c>
      <c r="L787" s="29" t="s">
        <v>26</v>
      </c>
    </row>
    <row r="788" ht="20" customHeight="1" spans="1:12" x14ac:dyDescent="0.25">
      <c r="A788" s="7" t="s">
        <v>2984</v>
      </c>
      <c r="B788" s="7" t="s">
        <v>1612</v>
      </c>
      <c r="C788" s="24">
        <f>IF(B788&lt;&gt;"",IFERROR(VLOOKUP(B788,'📦 Productos'!A:C,3,FALSE),IFERROR(VLOOKUP(B788&amp;"",'📦 Productos'!A:C,3,FALSE),IFERROR(VLOOKUP(VALUE(B788),'📦 Productos'!A:C,3,FALSE),""))),"")</f>
      </c>
      <c r="D788" s="7" t="s">
        <v>1613</v>
      </c>
      <c r="E788" s="8" t="s">
        <v>26</v>
      </c>
      <c r="F788" s="12">
        <v>0</v>
      </c>
      <c r="G788" s="25">
        <v>0</v>
      </c>
      <c r="H788" s="26"/>
      <c r="I788" s="14">
        <f>IF(AND(G788&gt;0,H788&gt;0),ROUND((1-H788/G788)*100,0),0)</f>
        <v>0</v>
      </c>
      <c r="J788" s="34" t="s">
        <v>28</v>
      </c>
      <c r="K788" s="12" t="s">
        <v>1888</v>
      </c>
      <c r="L788" s="8" t="s">
        <v>26</v>
      </c>
    </row>
    <row r="789" ht="20" customHeight="1" spans="1:12" x14ac:dyDescent="0.25">
      <c r="A789" s="28" t="s">
        <v>2985</v>
      </c>
      <c r="B789" s="28" t="s">
        <v>1615</v>
      </c>
      <c r="C789" s="24">
        <f>IF(B789&lt;&gt;"",IFERROR(VLOOKUP(B789,'📦 Productos'!A:C,3,FALSE),IFERROR(VLOOKUP(B789&amp;"",'📦 Productos'!A:C,3,FALSE),IFERROR(VLOOKUP(VALUE(B789),'📦 Productos'!A:C,3,FALSE),""))),"")</f>
      </c>
      <c r="D789" s="28" t="s">
        <v>1616</v>
      </c>
      <c r="E789" s="29" t="s">
        <v>26</v>
      </c>
      <c r="F789" s="30">
        <v>0</v>
      </c>
      <c r="G789" s="31">
        <v>0</v>
      </c>
      <c r="H789" s="32"/>
      <c r="I789" s="14">
        <f>IF(AND(G789&gt;0,H789&gt;0),ROUND((1-H789/G789)*100,0),0)</f>
        <v>0</v>
      </c>
      <c r="J789" s="35" t="s">
        <v>28</v>
      </c>
      <c r="K789" s="30" t="s">
        <v>1888</v>
      </c>
      <c r="L789" s="29" t="s">
        <v>26</v>
      </c>
    </row>
    <row r="790" ht="20" customHeight="1" spans="1:12" x14ac:dyDescent="0.25">
      <c r="A790" s="7" t="s">
        <v>2986</v>
      </c>
      <c r="B790" s="7" t="s">
        <v>1618</v>
      </c>
      <c r="C790" s="24">
        <f>IF(B790&lt;&gt;"",IFERROR(VLOOKUP(B790,'📦 Productos'!A:C,3,FALSE),IFERROR(VLOOKUP(B790&amp;"",'📦 Productos'!A:C,3,FALSE),IFERROR(VLOOKUP(VALUE(B790),'📦 Productos'!A:C,3,FALSE),""))),"")</f>
      </c>
      <c r="D790" s="7" t="s">
        <v>1619</v>
      </c>
      <c r="E790" s="8" t="s">
        <v>26</v>
      </c>
      <c r="F790" s="12">
        <v>0</v>
      </c>
      <c r="G790" s="25">
        <v>0</v>
      </c>
      <c r="H790" s="26"/>
      <c r="I790" s="14">
        <f>IF(AND(G790&gt;0,H790&gt;0),ROUND((1-H790/G790)*100,0),0)</f>
        <v>0</v>
      </c>
      <c r="J790" s="34" t="s">
        <v>28</v>
      </c>
      <c r="K790" s="12" t="s">
        <v>1888</v>
      </c>
      <c r="L790" s="8" t="s">
        <v>26</v>
      </c>
    </row>
    <row r="791" ht="20" customHeight="1" spans="1:12" x14ac:dyDescent="0.25">
      <c r="A791" s="28" t="s">
        <v>2987</v>
      </c>
      <c r="B791" s="28" t="s">
        <v>1621</v>
      </c>
      <c r="C791" s="24">
        <f>IF(B791&lt;&gt;"",IFERROR(VLOOKUP(B791,'📦 Productos'!A:C,3,FALSE),IFERROR(VLOOKUP(B791&amp;"",'📦 Productos'!A:C,3,FALSE),IFERROR(VLOOKUP(VALUE(B791),'📦 Productos'!A:C,3,FALSE),""))),"")</f>
      </c>
      <c r="D791" s="28" t="s">
        <v>1622</v>
      </c>
      <c r="E791" s="29" t="s">
        <v>26</v>
      </c>
      <c r="F791" s="30">
        <v>0</v>
      </c>
      <c r="G791" s="31">
        <v>0</v>
      </c>
      <c r="H791" s="32"/>
      <c r="I791" s="14">
        <f>IF(AND(G791&gt;0,H791&gt;0),ROUND((1-H791/G791)*100,0),0)</f>
        <v>0</v>
      </c>
      <c r="J791" s="35" t="s">
        <v>28</v>
      </c>
      <c r="K791" s="30" t="s">
        <v>1888</v>
      </c>
      <c r="L791" s="29" t="s">
        <v>26</v>
      </c>
    </row>
    <row r="792" ht="20" customHeight="1" spans="1:12" x14ac:dyDescent="0.25">
      <c r="A792" s="7" t="s">
        <v>2988</v>
      </c>
      <c r="B792" s="7" t="s">
        <v>1624</v>
      </c>
      <c r="C792" s="24">
        <f>IF(B792&lt;&gt;"",IFERROR(VLOOKUP(B792,'📦 Productos'!A:C,3,FALSE),IFERROR(VLOOKUP(B792&amp;"",'📦 Productos'!A:C,3,FALSE),IFERROR(VLOOKUP(VALUE(B792),'📦 Productos'!A:C,3,FALSE),""))),"")</f>
      </c>
      <c r="D792" s="7" t="s">
        <v>1625</v>
      </c>
      <c r="E792" s="8" t="s">
        <v>26</v>
      </c>
      <c r="F792" s="12">
        <v>0</v>
      </c>
      <c r="G792" s="25">
        <v>0</v>
      </c>
      <c r="H792" s="26"/>
      <c r="I792" s="14">
        <f>IF(AND(G792&gt;0,H792&gt;0),ROUND((1-H792/G792)*100,0),0)</f>
        <v>0</v>
      </c>
      <c r="J792" s="34" t="s">
        <v>28</v>
      </c>
      <c r="K792" s="12" t="s">
        <v>1888</v>
      </c>
      <c r="L792" s="8" t="s">
        <v>26</v>
      </c>
    </row>
    <row r="793" ht="20" customHeight="1" spans="1:12" x14ac:dyDescent="0.25">
      <c r="A793" s="28" t="s">
        <v>2989</v>
      </c>
      <c r="B793" s="28" t="s">
        <v>1627</v>
      </c>
      <c r="C793" s="24">
        <f>IF(B793&lt;&gt;"",IFERROR(VLOOKUP(B793,'📦 Productos'!A:C,3,FALSE),IFERROR(VLOOKUP(B793&amp;"",'📦 Productos'!A:C,3,FALSE),IFERROR(VLOOKUP(VALUE(B793),'📦 Productos'!A:C,3,FALSE),""))),"")</f>
      </c>
      <c r="D793" s="28" t="s">
        <v>1628</v>
      </c>
      <c r="E793" s="29" t="s">
        <v>26</v>
      </c>
      <c r="F793" s="30">
        <v>0</v>
      </c>
      <c r="G793" s="31">
        <v>0</v>
      </c>
      <c r="H793" s="32"/>
      <c r="I793" s="14">
        <f>IF(AND(G793&gt;0,H793&gt;0),ROUND((1-H793/G793)*100,0),0)</f>
        <v>0</v>
      </c>
      <c r="J793" s="35" t="s">
        <v>28</v>
      </c>
      <c r="K793" s="30" t="s">
        <v>1888</v>
      </c>
      <c r="L793" s="29" t="s">
        <v>26</v>
      </c>
    </row>
    <row r="794" ht="20" customHeight="1" spans="1:12" x14ac:dyDescent="0.25">
      <c r="A794" s="7" t="s">
        <v>2990</v>
      </c>
      <c r="B794" s="7" t="s">
        <v>1630</v>
      </c>
      <c r="C794" s="24">
        <f>IF(B794&lt;&gt;"",IFERROR(VLOOKUP(B794,'📦 Productos'!A:C,3,FALSE),IFERROR(VLOOKUP(B794&amp;"",'📦 Productos'!A:C,3,FALSE),IFERROR(VLOOKUP(VALUE(B794),'📦 Productos'!A:C,3,FALSE),""))),"")</f>
      </c>
      <c r="D794" s="7" t="s">
        <v>1631</v>
      </c>
      <c r="E794" s="8" t="s">
        <v>26</v>
      </c>
      <c r="F794" s="12">
        <v>0</v>
      </c>
      <c r="G794" s="25">
        <v>0</v>
      </c>
      <c r="H794" s="26"/>
      <c r="I794" s="14">
        <f>IF(AND(G794&gt;0,H794&gt;0),ROUND((1-H794/G794)*100,0),0)</f>
        <v>0</v>
      </c>
      <c r="J794" s="34" t="s">
        <v>28</v>
      </c>
      <c r="K794" s="12" t="s">
        <v>1888</v>
      </c>
      <c r="L794" s="8" t="s">
        <v>26</v>
      </c>
    </row>
    <row r="795" ht="20" customHeight="1" spans="1:12" x14ac:dyDescent="0.25">
      <c r="A795" s="28" t="s">
        <v>2991</v>
      </c>
      <c r="B795" s="28" t="s">
        <v>1633</v>
      </c>
      <c r="C795" s="24">
        <f>IF(B795&lt;&gt;"",IFERROR(VLOOKUP(B795,'📦 Productos'!A:C,3,FALSE),IFERROR(VLOOKUP(B795&amp;"",'📦 Productos'!A:C,3,FALSE),IFERROR(VLOOKUP(VALUE(B795),'📦 Productos'!A:C,3,FALSE),""))),"")</f>
      </c>
      <c r="D795" s="28" t="s">
        <v>1634</v>
      </c>
      <c r="E795" s="29" t="s">
        <v>26</v>
      </c>
      <c r="F795" s="30">
        <v>0</v>
      </c>
      <c r="G795" s="31">
        <v>0</v>
      </c>
      <c r="H795" s="32"/>
      <c r="I795" s="14">
        <f>IF(AND(G795&gt;0,H795&gt;0),ROUND((1-H795/G795)*100,0),0)</f>
        <v>0</v>
      </c>
      <c r="J795" s="35" t="s">
        <v>28</v>
      </c>
      <c r="K795" s="30" t="s">
        <v>1888</v>
      </c>
      <c r="L795" s="29" t="s">
        <v>26</v>
      </c>
    </row>
    <row r="796" ht="20" customHeight="1" spans="1:12" x14ac:dyDescent="0.25">
      <c r="A796" s="7" t="s">
        <v>2992</v>
      </c>
      <c r="B796" s="7" t="s">
        <v>1636</v>
      </c>
      <c r="C796" s="24">
        <f>IF(B796&lt;&gt;"",IFERROR(VLOOKUP(B796,'📦 Productos'!A:C,3,FALSE),IFERROR(VLOOKUP(B796&amp;"",'📦 Productos'!A:C,3,FALSE),IFERROR(VLOOKUP(VALUE(B796),'📦 Productos'!A:C,3,FALSE),""))),"")</f>
      </c>
      <c r="D796" s="7" t="s">
        <v>1637</v>
      </c>
      <c r="E796" s="8" t="s">
        <v>26</v>
      </c>
      <c r="F796" s="12">
        <v>0</v>
      </c>
      <c r="G796" s="25">
        <v>0</v>
      </c>
      <c r="H796" s="26"/>
      <c r="I796" s="14">
        <f>IF(AND(G796&gt;0,H796&gt;0),ROUND((1-H796/G796)*100,0),0)</f>
        <v>0</v>
      </c>
      <c r="J796" s="34" t="s">
        <v>28</v>
      </c>
      <c r="K796" s="12" t="s">
        <v>1888</v>
      </c>
      <c r="L796" s="8" t="s">
        <v>26</v>
      </c>
    </row>
    <row r="797" ht="20" customHeight="1" spans="1:12" x14ac:dyDescent="0.25">
      <c r="A797" s="28" t="s">
        <v>2993</v>
      </c>
      <c r="B797" s="28" t="s">
        <v>1639</v>
      </c>
      <c r="C797" s="24">
        <f>IF(B797&lt;&gt;"",IFERROR(VLOOKUP(B797,'📦 Productos'!A:C,3,FALSE),IFERROR(VLOOKUP(B797&amp;"",'📦 Productos'!A:C,3,FALSE),IFERROR(VLOOKUP(VALUE(B797),'📦 Productos'!A:C,3,FALSE),""))),"")</f>
      </c>
      <c r="D797" s="28" t="s">
        <v>1640</v>
      </c>
      <c r="E797" s="29" t="s">
        <v>26</v>
      </c>
      <c r="F797" s="30">
        <v>0</v>
      </c>
      <c r="G797" s="31">
        <v>0</v>
      </c>
      <c r="H797" s="32"/>
      <c r="I797" s="14">
        <f>IF(AND(G797&gt;0,H797&gt;0),ROUND((1-H797/G797)*100,0),0)</f>
        <v>0</v>
      </c>
      <c r="J797" s="35" t="s">
        <v>28</v>
      </c>
      <c r="K797" s="30" t="s">
        <v>1888</v>
      </c>
      <c r="L797" s="29" t="s">
        <v>26</v>
      </c>
    </row>
    <row r="798" ht="20" customHeight="1" spans="1:12" x14ac:dyDescent="0.25">
      <c r="A798" s="7" t="s">
        <v>2994</v>
      </c>
      <c r="B798" s="7" t="s">
        <v>1642</v>
      </c>
      <c r="C798" s="24">
        <f>IF(B798&lt;&gt;"",IFERROR(VLOOKUP(B798,'📦 Productos'!A:C,3,FALSE),IFERROR(VLOOKUP(B798&amp;"",'📦 Productos'!A:C,3,FALSE),IFERROR(VLOOKUP(VALUE(B798),'📦 Productos'!A:C,3,FALSE),""))),"")</f>
      </c>
      <c r="D798" s="7" t="s">
        <v>1643</v>
      </c>
      <c r="E798" s="8" t="s">
        <v>26</v>
      </c>
      <c r="F798" s="12">
        <v>0</v>
      </c>
      <c r="G798" s="25">
        <v>0</v>
      </c>
      <c r="H798" s="26"/>
      <c r="I798" s="14">
        <f>IF(AND(G798&gt;0,H798&gt;0),ROUND((1-H798/G798)*100,0),0)</f>
        <v>0</v>
      </c>
      <c r="J798" s="34" t="s">
        <v>28</v>
      </c>
      <c r="K798" s="12" t="s">
        <v>1888</v>
      </c>
      <c r="L798" s="8" t="s">
        <v>26</v>
      </c>
    </row>
    <row r="799" ht="20" customHeight="1" spans="1:12" x14ac:dyDescent="0.25">
      <c r="A799" s="28" t="s">
        <v>2995</v>
      </c>
      <c r="B799" s="28" t="s">
        <v>1644</v>
      </c>
      <c r="C799" s="24">
        <f>IF(B799&lt;&gt;"",IFERROR(VLOOKUP(B799,'📦 Productos'!A:C,3,FALSE),IFERROR(VLOOKUP(B799&amp;"",'📦 Productos'!A:C,3,FALSE),IFERROR(VLOOKUP(VALUE(B799),'📦 Productos'!A:C,3,FALSE),""))),"")</f>
      </c>
      <c r="D799" s="28" t="s">
        <v>1645</v>
      </c>
      <c r="E799" s="29" t="s">
        <v>26</v>
      </c>
      <c r="F799" s="30">
        <v>0</v>
      </c>
      <c r="G799" s="31">
        <v>0</v>
      </c>
      <c r="H799" s="32"/>
      <c r="I799" s="14">
        <f>IF(AND(G799&gt;0,H799&gt;0),ROUND((1-H799/G799)*100,0),0)</f>
        <v>0</v>
      </c>
      <c r="J799" s="35" t="s">
        <v>28</v>
      </c>
      <c r="K799" s="30" t="s">
        <v>1888</v>
      </c>
      <c r="L799" s="29" t="s">
        <v>26</v>
      </c>
    </row>
    <row r="800" ht="20" customHeight="1" spans="1:12" x14ac:dyDescent="0.25">
      <c r="A800" s="7" t="s">
        <v>2996</v>
      </c>
      <c r="B800" s="7" t="s">
        <v>1647</v>
      </c>
      <c r="C800" s="24">
        <f>IF(B800&lt;&gt;"",IFERROR(VLOOKUP(B800,'📦 Productos'!A:C,3,FALSE),IFERROR(VLOOKUP(B800&amp;"",'📦 Productos'!A:C,3,FALSE),IFERROR(VLOOKUP(VALUE(B800),'📦 Productos'!A:C,3,FALSE),""))),"")</f>
      </c>
      <c r="D800" s="7" t="s">
        <v>1648</v>
      </c>
      <c r="E800" s="8" t="s">
        <v>26</v>
      </c>
      <c r="F800" s="12">
        <v>0</v>
      </c>
      <c r="G800" s="25">
        <v>0</v>
      </c>
      <c r="H800" s="26"/>
      <c r="I800" s="14">
        <f>IF(AND(G800&gt;0,H800&gt;0),ROUND((1-H800/G800)*100,0),0)</f>
        <v>0</v>
      </c>
      <c r="J800" s="34" t="s">
        <v>28</v>
      </c>
      <c r="K800" s="12" t="s">
        <v>1888</v>
      </c>
      <c r="L800" s="8" t="s">
        <v>26</v>
      </c>
    </row>
    <row r="801" ht="20" customHeight="1" spans="1:12" x14ac:dyDescent="0.25">
      <c r="A801" s="28" t="s">
        <v>2997</v>
      </c>
      <c r="B801" s="28" t="s">
        <v>1650</v>
      </c>
      <c r="C801" s="24">
        <f>IF(B801&lt;&gt;"",IFERROR(VLOOKUP(B801,'📦 Productos'!A:C,3,FALSE),IFERROR(VLOOKUP(B801&amp;"",'📦 Productos'!A:C,3,FALSE),IFERROR(VLOOKUP(VALUE(B801),'📦 Productos'!A:C,3,FALSE),""))),"")</f>
      </c>
      <c r="D801" s="28" t="s">
        <v>1651</v>
      </c>
      <c r="E801" s="29" t="s">
        <v>26</v>
      </c>
      <c r="F801" s="30">
        <v>0</v>
      </c>
      <c r="G801" s="31">
        <v>0</v>
      </c>
      <c r="H801" s="32"/>
      <c r="I801" s="14">
        <f>IF(AND(G801&gt;0,H801&gt;0),ROUND((1-H801/G801)*100,0),0)</f>
        <v>0</v>
      </c>
      <c r="J801" s="35" t="s">
        <v>28</v>
      </c>
      <c r="K801" s="30" t="s">
        <v>1888</v>
      </c>
      <c r="L801" s="29" t="s">
        <v>26</v>
      </c>
    </row>
    <row r="802" ht="20" customHeight="1" spans="1:12" x14ac:dyDescent="0.25">
      <c r="A802" s="7" t="s">
        <v>2998</v>
      </c>
      <c r="B802" s="7" t="s">
        <v>1653</v>
      </c>
      <c r="C802" s="24">
        <f>IF(B802&lt;&gt;"",IFERROR(VLOOKUP(B802,'📦 Productos'!A:C,3,FALSE),IFERROR(VLOOKUP(B802&amp;"",'📦 Productos'!A:C,3,FALSE),IFERROR(VLOOKUP(VALUE(B802),'📦 Productos'!A:C,3,FALSE),""))),"")</f>
      </c>
      <c r="D802" s="7" t="s">
        <v>1654</v>
      </c>
      <c r="E802" s="8" t="s">
        <v>26</v>
      </c>
      <c r="F802" s="12">
        <v>0</v>
      </c>
      <c r="G802" s="25">
        <v>0</v>
      </c>
      <c r="H802" s="26"/>
      <c r="I802" s="14">
        <f>IF(AND(G802&gt;0,H802&gt;0),ROUND((1-H802/G802)*100,0),0)</f>
        <v>0</v>
      </c>
      <c r="J802" s="34" t="s">
        <v>28</v>
      </c>
      <c r="K802" s="12" t="s">
        <v>1888</v>
      </c>
      <c r="L802" s="8" t="s">
        <v>26</v>
      </c>
    </row>
    <row r="803" ht="20" customHeight="1" spans="1:12" x14ac:dyDescent="0.25">
      <c r="A803" s="28" t="s">
        <v>2999</v>
      </c>
      <c r="B803" s="28" t="s">
        <v>1656</v>
      </c>
      <c r="C803" s="24">
        <f>IF(B803&lt;&gt;"",IFERROR(VLOOKUP(B803,'📦 Productos'!A:C,3,FALSE),IFERROR(VLOOKUP(B803&amp;"",'📦 Productos'!A:C,3,FALSE),IFERROR(VLOOKUP(VALUE(B803),'📦 Productos'!A:C,3,FALSE),""))),"")</f>
      </c>
      <c r="D803" s="28" t="s">
        <v>1657</v>
      </c>
      <c r="E803" s="29" t="s">
        <v>26</v>
      </c>
      <c r="F803" s="30">
        <v>0</v>
      </c>
      <c r="G803" s="31">
        <v>0</v>
      </c>
      <c r="H803" s="32"/>
      <c r="I803" s="14">
        <f>IF(AND(G803&gt;0,H803&gt;0),ROUND((1-H803/G803)*100,0),0)</f>
        <v>0</v>
      </c>
      <c r="J803" s="35" t="s">
        <v>28</v>
      </c>
      <c r="K803" s="30" t="s">
        <v>1888</v>
      </c>
      <c r="L803" s="29" t="s">
        <v>26</v>
      </c>
    </row>
    <row r="804" ht="20" customHeight="1" spans="1:12" x14ac:dyDescent="0.25">
      <c r="A804" s="7" t="s">
        <v>3000</v>
      </c>
      <c r="B804" s="7" t="s">
        <v>1659</v>
      </c>
      <c r="C804" s="24">
        <f>IF(B804&lt;&gt;"",IFERROR(VLOOKUP(B804,'📦 Productos'!A:C,3,FALSE),IFERROR(VLOOKUP(B804&amp;"",'📦 Productos'!A:C,3,FALSE),IFERROR(VLOOKUP(VALUE(B804),'📦 Productos'!A:C,3,FALSE),""))),"")</f>
      </c>
      <c r="D804" s="7" t="s">
        <v>1660</v>
      </c>
      <c r="E804" s="8" t="s">
        <v>26</v>
      </c>
      <c r="F804" s="12">
        <v>0</v>
      </c>
      <c r="G804" s="25">
        <v>0</v>
      </c>
      <c r="H804" s="26"/>
      <c r="I804" s="14">
        <f>IF(AND(G804&gt;0,H804&gt;0),ROUND((1-H804/G804)*100,0),0)</f>
        <v>0</v>
      </c>
      <c r="J804" s="34" t="s">
        <v>28</v>
      </c>
      <c r="K804" s="12" t="s">
        <v>1888</v>
      </c>
      <c r="L804" s="8" t="s">
        <v>26</v>
      </c>
    </row>
    <row r="805" ht="20" customHeight="1" spans="1:12" x14ac:dyDescent="0.25">
      <c r="A805" s="28" t="s">
        <v>3001</v>
      </c>
      <c r="B805" s="28" t="s">
        <v>1662</v>
      </c>
      <c r="C805" s="24">
        <f>IF(B805&lt;&gt;"",IFERROR(VLOOKUP(B805,'📦 Productos'!A:C,3,FALSE),IFERROR(VLOOKUP(B805&amp;"",'📦 Productos'!A:C,3,FALSE),IFERROR(VLOOKUP(VALUE(B805),'📦 Productos'!A:C,3,FALSE),""))),"")</f>
      </c>
      <c r="D805" s="28" t="s">
        <v>1663</v>
      </c>
      <c r="E805" s="29" t="s">
        <v>26</v>
      </c>
      <c r="F805" s="30">
        <v>0</v>
      </c>
      <c r="G805" s="31">
        <v>0</v>
      </c>
      <c r="H805" s="32"/>
      <c r="I805" s="14">
        <f>IF(AND(G805&gt;0,H805&gt;0),ROUND((1-H805/G805)*100,0),0)</f>
        <v>0</v>
      </c>
      <c r="J805" s="35" t="s">
        <v>28</v>
      </c>
      <c r="K805" s="30" t="s">
        <v>1888</v>
      </c>
      <c r="L805" s="29" t="s">
        <v>26</v>
      </c>
    </row>
    <row r="806" ht="20" customHeight="1" spans="1:12" x14ac:dyDescent="0.25">
      <c r="A806" s="7" t="s">
        <v>3002</v>
      </c>
      <c r="B806" s="7" t="s">
        <v>1665</v>
      </c>
      <c r="C806" s="24">
        <f>IF(B806&lt;&gt;"",IFERROR(VLOOKUP(B806,'📦 Productos'!A:C,3,FALSE),IFERROR(VLOOKUP(B806&amp;"",'📦 Productos'!A:C,3,FALSE),IFERROR(VLOOKUP(VALUE(B806),'📦 Productos'!A:C,3,FALSE),""))),"")</f>
      </c>
      <c r="D806" s="7" t="s">
        <v>1666</v>
      </c>
      <c r="E806" s="8" t="s">
        <v>26</v>
      </c>
      <c r="F806" s="12">
        <v>0</v>
      </c>
      <c r="G806" s="25">
        <v>0</v>
      </c>
      <c r="H806" s="26"/>
      <c r="I806" s="14">
        <f>IF(AND(G806&gt;0,H806&gt;0),ROUND((1-H806/G806)*100,0),0)</f>
        <v>0</v>
      </c>
      <c r="J806" s="34" t="s">
        <v>28</v>
      </c>
      <c r="K806" s="12" t="s">
        <v>1888</v>
      </c>
      <c r="L806" s="8" t="s">
        <v>26</v>
      </c>
    </row>
    <row r="807" ht="20" customHeight="1" spans="1:12" x14ac:dyDescent="0.25">
      <c r="A807" s="28" t="s">
        <v>3003</v>
      </c>
      <c r="B807" s="28" t="s">
        <v>1668</v>
      </c>
      <c r="C807" s="24">
        <f>IF(B807&lt;&gt;"",IFERROR(VLOOKUP(B807,'📦 Productos'!A:C,3,FALSE),IFERROR(VLOOKUP(B807&amp;"",'📦 Productos'!A:C,3,FALSE),IFERROR(VLOOKUP(VALUE(B807),'📦 Productos'!A:C,3,FALSE),""))),"")</f>
      </c>
      <c r="D807" s="28" t="s">
        <v>1669</v>
      </c>
      <c r="E807" s="29" t="s">
        <v>26</v>
      </c>
      <c r="F807" s="30">
        <v>0</v>
      </c>
      <c r="G807" s="31">
        <v>0</v>
      </c>
      <c r="H807" s="32"/>
      <c r="I807" s="14">
        <f>IF(AND(G807&gt;0,H807&gt;0),ROUND((1-H807/G807)*100,0),0)</f>
        <v>0</v>
      </c>
      <c r="J807" s="35" t="s">
        <v>28</v>
      </c>
      <c r="K807" s="30" t="s">
        <v>1888</v>
      </c>
      <c r="L807" s="29" t="s">
        <v>26</v>
      </c>
    </row>
    <row r="808" ht="20" customHeight="1" spans="1:12" x14ac:dyDescent="0.25">
      <c r="A808" s="7" t="s">
        <v>3004</v>
      </c>
      <c r="B808" s="7" t="s">
        <v>1671</v>
      </c>
      <c r="C808" s="24">
        <f>IF(B808&lt;&gt;"",IFERROR(VLOOKUP(B808,'📦 Productos'!A:C,3,FALSE),IFERROR(VLOOKUP(B808&amp;"",'📦 Productos'!A:C,3,FALSE),IFERROR(VLOOKUP(VALUE(B808),'📦 Productos'!A:C,3,FALSE),""))),"")</f>
      </c>
      <c r="D808" s="7" t="s">
        <v>1672</v>
      </c>
      <c r="E808" s="8" t="s">
        <v>26</v>
      </c>
      <c r="F808" s="12">
        <v>0</v>
      </c>
      <c r="G808" s="25">
        <v>0</v>
      </c>
      <c r="H808" s="26"/>
      <c r="I808" s="14">
        <f>IF(AND(G808&gt;0,H808&gt;0),ROUND((1-H808/G808)*100,0),0)</f>
        <v>0</v>
      </c>
      <c r="J808" s="34" t="s">
        <v>28</v>
      </c>
      <c r="K808" s="12" t="s">
        <v>1888</v>
      </c>
      <c r="L808" s="8" t="s">
        <v>26</v>
      </c>
    </row>
    <row r="809" ht="20" customHeight="1" spans="1:12" x14ac:dyDescent="0.25">
      <c r="A809" s="28" t="s">
        <v>3005</v>
      </c>
      <c r="B809" s="28" t="s">
        <v>1674</v>
      </c>
      <c r="C809" s="24">
        <f>IF(B809&lt;&gt;"",IFERROR(VLOOKUP(B809,'📦 Productos'!A:C,3,FALSE),IFERROR(VLOOKUP(B809&amp;"",'📦 Productos'!A:C,3,FALSE),IFERROR(VLOOKUP(VALUE(B809),'📦 Productos'!A:C,3,FALSE),""))),"")</f>
      </c>
      <c r="D809" s="28" t="s">
        <v>1675</v>
      </c>
      <c r="E809" s="29" t="s">
        <v>26</v>
      </c>
      <c r="F809" s="30">
        <v>0</v>
      </c>
      <c r="G809" s="31">
        <v>0</v>
      </c>
      <c r="H809" s="32"/>
      <c r="I809" s="14">
        <f>IF(AND(G809&gt;0,H809&gt;0),ROUND((1-H809/G809)*100,0),0)</f>
        <v>0</v>
      </c>
      <c r="J809" s="35" t="s">
        <v>28</v>
      </c>
      <c r="K809" s="30" t="s">
        <v>1888</v>
      </c>
      <c r="L809" s="29" t="s">
        <v>26</v>
      </c>
    </row>
    <row r="810" ht="20" customHeight="1" spans="1:12" x14ac:dyDescent="0.25">
      <c r="A810" s="7" t="s">
        <v>3006</v>
      </c>
      <c r="B810" s="7" t="s">
        <v>1677</v>
      </c>
      <c r="C810" s="24">
        <f>IF(B810&lt;&gt;"",IFERROR(VLOOKUP(B810,'📦 Productos'!A:C,3,FALSE),IFERROR(VLOOKUP(B810&amp;"",'📦 Productos'!A:C,3,FALSE),IFERROR(VLOOKUP(VALUE(B810),'📦 Productos'!A:C,3,FALSE),""))),"")</f>
      </c>
      <c r="D810" s="7" t="s">
        <v>1678</v>
      </c>
      <c r="E810" s="8" t="s">
        <v>26</v>
      </c>
      <c r="F810" s="12">
        <v>0</v>
      </c>
      <c r="G810" s="25">
        <v>0</v>
      </c>
      <c r="H810" s="26"/>
      <c r="I810" s="14">
        <f>IF(AND(G810&gt;0,H810&gt;0),ROUND((1-H810/G810)*100,0),0)</f>
        <v>0</v>
      </c>
      <c r="J810" s="34" t="s">
        <v>28</v>
      </c>
      <c r="K810" s="12" t="s">
        <v>1888</v>
      </c>
      <c r="L810" s="8" t="s">
        <v>26</v>
      </c>
    </row>
    <row r="811" ht="20" customHeight="1" spans="1:12" x14ac:dyDescent="0.25">
      <c r="A811" s="28" t="s">
        <v>3007</v>
      </c>
      <c r="B811" s="28" t="s">
        <v>1680</v>
      </c>
      <c r="C811" s="24">
        <f>IF(B811&lt;&gt;"",IFERROR(VLOOKUP(B811,'📦 Productos'!A:C,3,FALSE),IFERROR(VLOOKUP(B811&amp;"",'📦 Productos'!A:C,3,FALSE),IFERROR(VLOOKUP(VALUE(B811),'📦 Productos'!A:C,3,FALSE),""))),"")</f>
      </c>
      <c r="D811" s="28" t="s">
        <v>1681</v>
      </c>
      <c r="E811" s="29" t="s">
        <v>26</v>
      </c>
      <c r="F811" s="30">
        <v>0</v>
      </c>
      <c r="G811" s="31">
        <v>0</v>
      </c>
      <c r="H811" s="32"/>
      <c r="I811" s="14">
        <f>IF(AND(G811&gt;0,H811&gt;0),ROUND((1-H811/G811)*100,0),0)</f>
        <v>0</v>
      </c>
      <c r="J811" s="35" t="s">
        <v>28</v>
      </c>
      <c r="K811" s="30" t="s">
        <v>1888</v>
      </c>
      <c r="L811" s="29" t="s">
        <v>26</v>
      </c>
    </row>
    <row r="812" ht="20" customHeight="1" spans="1:12" x14ac:dyDescent="0.25">
      <c r="A812" s="7" t="s">
        <v>3008</v>
      </c>
      <c r="B812" s="7" t="s">
        <v>1683</v>
      </c>
      <c r="C812" s="24">
        <f>IF(B812&lt;&gt;"",IFERROR(VLOOKUP(B812,'📦 Productos'!A:C,3,FALSE),IFERROR(VLOOKUP(B812&amp;"",'📦 Productos'!A:C,3,FALSE),IFERROR(VLOOKUP(VALUE(B812),'📦 Productos'!A:C,3,FALSE),""))),"")</f>
      </c>
      <c r="D812" s="7" t="s">
        <v>1684</v>
      </c>
      <c r="E812" s="8" t="s">
        <v>26</v>
      </c>
      <c r="F812" s="12">
        <v>0</v>
      </c>
      <c r="G812" s="25">
        <v>0</v>
      </c>
      <c r="H812" s="26"/>
      <c r="I812" s="14">
        <f>IF(AND(G812&gt;0,H812&gt;0),ROUND((1-H812/G812)*100,0),0)</f>
        <v>0</v>
      </c>
      <c r="J812" s="34" t="s">
        <v>28</v>
      </c>
      <c r="K812" s="12" t="s">
        <v>1888</v>
      </c>
      <c r="L812" s="8" t="s">
        <v>26</v>
      </c>
    </row>
    <row r="813" ht="20" customHeight="1" spans="1:12" x14ac:dyDescent="0.25">
      <c r="A813" s="28" t="s">
        <v>3009</v>
      </c>
      <c r="B813" s="28" t="s">
        <v>1686</v>
      </c>
      <c r="C813" s="24">
        <f>IF(B813&lt;&gt;"",IFERROR(VLOOKUP(B813,'📦 Productos'!A:C,3,FALSE),IFERROR(VLOOKUP(B813&amp;"",'📦 Productos'!A:C,3,FALSE),IFERROR(VLOOKUP(VALUE(B813),'📦 Productos'!A:C,3,FALSE),""))),"")</f>
      </c>
      <c r="D813" s="28" t="s">
        <v>1687</v>
      </c>
      <c r="E813" s="29" t="s">
        <v>26</v>
      </c>
      <c r="F813" s="30">
        <v>0</v>
      </c>
      <c r="G813" s="31">
        <v>0</v>
      </c>
      <c r="H813" s="32"/>
      <c r="I813" s="14">
        <f>IF(AND(G813&gt;0,H813&gt;0),ROUND((1-H813/G813)*100,0),0)</f>
        <v>0</v>
      </c>
      <c r="J813" s="35" t="s">
        <v>28</v>
      </c>
      <c r="K813" s="30" t="s">
        <v>1888</v>
      </c>
      <c r="L813" s="29" t="s">
        <v>26</v>
      </c>
    </row>
    <row r="814" ht="20" customHeight="1" spans="1:12" x14ac:dyDescent="0.25">
      <c r="A814" s="7" t="s">
        <v>3010</v>
      </c>
      <c r="B814" s="7" t="s">
        <v>1689</v>
      </c>
      <c r="C814" s="24">
        <f>IF(B814&lt;&gt;"",IFERROR(VLOOKUP(B814,'📦 Productos'!A:C,3,FALSE),IFERROR(VLOOKUP(B814&amp;"",'📦 Productos'!A:C,3,FALSE),IFERROR(VLOOKUP(VALUE(B814),'📦 Productos'!A:C,3,FALSE),""))),"")</f>
      </c>
      <c r="D814" s="7" t="s">
        <v>1690</v>
      </c>
      <c r="E814" s="8" t="s">
        <v>26</v>
      </c>
      <c r="F814" s="12">
        <v>0</v>
      </c>
      <c r="G814" s="25">
        <v>0</v>
      </c>
      <c r="H814" s="26"/>
      <c r="I814" s="14">
        <f>IF(AND(G814&gt;0,H814&gt;0),ROUND((1-H814/G814)*100,0),0)</f>
        <v>0</v>
      </c>
      <c r="J814" s="34" t="s">
        <v>28</v>
      </c>
      <c r="K814" s="12" t="s">
        <v>1888</v>
      </c>
      <c r="L814" s="8" t="s">
        <v>26</v>
      </c>
    </row>
    <row r="815" ht="20" customHeight="1" spans="1:12" x14ac:dyDescent="0.25">
      <c r="A815" s="28" t="s">
        <v>3011</v>
      </c>
      <c r="B815" s="28" t="s">
        <v>1692</v>
      </c>
      <c r="C815" s="24">
        <f>IF(B815&lt;&gt;"",IFERROR(VLOOKUP(B815,'📦 Productos'!A:C,3,FALSE),IFERROR(VLOOKUP(B815&amp;"",'📦 Productos'!A:C,3,FALSE),IFERROR(VLOOKUP(VALUE(B815),'📦 Productos'!A:C,3,FALSE),""))),"")</f>
      </c>
      <c r="D815" s="28" t="s">
        <v>1693</v>
      </c>
      <c r="E815" s="29" t="s">
        <v>26</v>
      </c>
      <c r="F815" s="30">
        <v>0</v>
      </c>
      <c r="G815" s="31">
        <v>0</v>
      </c>
      <c r="H815" s="32"/>
      <c r="I815" s="14">
        <f>IF(AND(G815&gt;0,H815&gt;0),ROUND((1-H815/G815)*100,0),0)</f>
        <v>0</v>
      </c>
      <c r="J815" s="35" t="s">
        <v>28</v>
      </c>
      <c r="K815" s="30" t="s">
        <v>1888</v>
      </c>
      <c r="L815" s="29" t="s">
        <v>26</v>
      </c>
    </row>
    <row r="816" ht="20" customHeight="1" spans="1:12" x14ac:dyDescent="0.25">
      <c r="A816" s="7" t="s">
        <v>3012</v>
      </c>
      <c r="B816" s="7" t="s">
        <v>1695</v>
      </c>
      <c r="C816" s="24">
        <f>IF(B816&lt;&gt;"",IFERROR(VLOOKUP(B816,'📦 Productos'!A:C,3,FALSE),IFERROR(VLOOKUP(B816&amp;"",'📦 Productos'!A:C,3,FALSE),IFERROR(VLOOKUP(VALUE(B816),'📦 Productos'!A:C,3,FALSE),""))),"")</f>
      </c>
      <c r="D816" s="7" t="s">
        <v>1696</v>
      </c>
      <c r="E816" s="8" t="s">
        <v>26</v>
      </c>
      <c r="F816" s="12">
        <v>0</v>
      </c>
      <c r="G816" s="25">
        <v>0</v>
      </c>
      <c r="H816" s="26"/>
      <c r="I816" s="14">
        <f>IF(AND(G816&gt;0,H816&gt;0),ROUND((1-H816/G816)*100,0),0)</f>
        <v>0</v>
      </c>
      <c r="J816" s="34" t="s">
        <v>28</v>
      </c>
      <c r="K816" s="12" t="s">
        <v>1888</v>
      </c>
      <c r="L816" s="8" t="s">
        <v>26</v>
      </c>
    </row>
    <row r="817" ht="20" customHeight="1" spans="1:12" x14ac:dyDescent="0.25">
      <c r="A817" s="28" t="s">
        <v>3013</v>
      </c>
      <c r="B817" s="28" t="s">
        <v>1698</v>
      </c>
      <c r="C817" s="24">
        <f>IF(B817&lt;&gt;"",IFERROR(VLOOKUP(B817,'📦 Productos'!A:C,3,FALSE),IFERROR(VLOOKUP(B817&amp;"",'📦 Productos'!A:C,3,FALSE),IFERROR(VLOOKUP(VALUE(B817),'📦 Productos'!A:C,3,FALSE),""))),"")</f>
      </c>
      <c r="D817" s="28" t="s">
        <v>1699</v>
      </c>
      <c r="E817" s="29" t="s">
        <v>26</v>
      </c>
      <c r="F817" s="30">
        <v>0</v>
      </c>
      <c r="G817" s="31">
        <v>0</v>
      </c>
      <c r="H817" s="32"/>
      <c r="I817" s="14">
        <f>IF(AND(G817&gt;0,H817&gt;0),ROUND((1-H817/G817)*100,0),0)</f>
        <v>0</v>
      </c>
      <c r="J817" s="35" t="s">
        <v>28</v>
      </c>
      <c r="K817" s="30" t="s">
        <v>1888</v>
      </c>
      <c r="L817" s="29" t="s">
        <v>26</v>
      </c>
    </row>
    <row r="818" ht="20" customHeight="1" spans="1:12" x14ac:dyDescent="0.25">
      <c r="A818" s="7" t="s">
        <v>3014</v>
      </c>
      <c r="B818" s="7" t="s">
        <v>1701</v>
      </c>
      <c r="C818" s="24">
        <f>IF(B818&lt;&gt;"",IFERROR(VLOOKUP(B818,'📦 Productos'!A:C,3,FALSE),IFERROR(VLOOKUP(B818&amp;"",'📦 Productos'!A:C,3,FALSE),IFERROR(VLOOKUP(VALUE(B818),'📦 Productos'!A:C,3,FALSE),""))),"")</f>
      </c>
      <c r="D818" s="7" t="s">
        <v>1702</v>
      </c>
      <c r="E818" s="8" t="s">
        <v>26</v>
      </c>
      <c r="F818" s="12">
        <v>0</v>
      </c>
      <c r="G818" s="25">
        <v>0</v>
      </c>
      <c r="H818" s="26"/>
      <c r="I818" s="14">
        <f>IF(AND(G818&gt;0,H818&gt;0),ROUND((1-H818/G818)*100,0),0)</f>
        <v>0</v>
      </c>
      <c r="J818" s="34" t="s">
        <v>28</v>
      </c>
      <c r="K818" s="12" t="s">
        <v>1888</v>
      </c>
      <c r="L818" s="8" t="s">
        <v>26</v>
      </c>
    </row>
    <row r="819" ht="20" customHeight="1" spans="1:12" x14ac:dyDescent="0.25">
      <c r="A819" s="28" t="s">
        <v>3015</v>
      </c>
      <c r="B819" s="28" t="s">
        <v>1704</v>
      </c>
      <c r="C819" s="24">
        <f>IF(B819&lt;&gt;"",IFERROR(VLOOKUP(B819,'📦 Productos'!A:C,3,FALSE),IFERROR(VLOOKUP(B819&amp;"",'📦 Productos'!A:C,3,FALSE),IFERROR(VLOOKUP(VALUE(B819),'📦 Productos'!A:C,3,FALSE),""))),"")</f>
      </c>
      <c r="D819" s="28" t="s">
        <v>1705</v>
      </c>
      <c r="E819" s="29" t="s">
        <v>26</v>
      </c>
      <c r="F819" s="30">
        <v>0</v>
      </c>
      <c r="G819" s="31">
        <v>0</v>
      </c>
      <c r="H819" s="32"/>
      <c r="I819" s="14">
        <f>IF(AND(G819&gt;0,H819&gt;0),ROUND((1-H819/G819)*100,0),0)</f>
        <v>0</v>
      </c>
      <c r="J819" s="35" t="s">
        <v>28</v>
      </c>
      <c r="K819" s="30" t="s">
        <v>1888</v>
      </c>
      <c r="L819" s="29" t="s">
        <v>26</v>
      </c>
    </row>
    <row r="820" ht="20" customHeight="1" spans="1:12" x14ac:dyDescent="0.25">
      <c r="A820" s="7" t="s">
        <v>3016</v>
      </c>
      <c r="B820" s="7" t="s">
        <v>1707</v>
      </c>
      <c r="C820" s="24">
        <f>IF(B820&lt;&gt;"",IFERROR(VLOOKUP(B820,'📦 Productos'!A:C,3,FALSE),IFERROR(VLOOKUP(B820&amp;"",'📦 Productos'!A:C,3,FALSE),IFERROR(VLOOKUP(VALUE(B820),'📦 Productos'!A:C,3,FALSE),""))),"")</f>
      </c>
      <c r="D820" s="7" t="s">
        <v>1708</v>
      </c>
      <c r="E820" s="8" t="s">
        <v>26</v>
      </c>
      <c r="F820" s="12">
        <v>0</v>
      </c>
      <c r="G820" s="25">
        <v>0</v>
      </c>
      <c r="H820" s="26"/>
      <c r="I820" s="14">
        <f>IF(AND(G820&gt;0,H820&gt;0),ROUND((1-H820/G820)*100,0),0)</f>
        <v>0</v>
      </c>
      <c r="J820" s="34" t="s">
        <v>28</v>
      </c>
      <c r="K820" s="12" t="s">
        <v>1888</v>
      </c>
      <c r="L820" s="8" t="s">
        <v>26</v>
      </c>
    </row>
    <row r="821" ht="20" customHeight="1" spans="1:12" x14ac:dyDescent="0.25">
      <c r="A821" s="28" t="s">
        <v>3017</v>
      </c>
      <c r="B821" s="28" t="s">
        <v>1710</v>
      </c>
      <c r="C821" s="24">
        <f>IF(B821&lt;&gt;"",IFERROR(VLOOKUP(B821,'📦 Productos'!A:C,3,FALSE),IFERROR(VLOOKUP(B821&amp;"",'📦 Productos'!A:C,3,FALSE),IFERROR(VLOOKUP(VALUE(B821),'📦 Productos'!A:C,3,FALSE),""))),"")</f>
      </c>
      <c r="D821" s="28" t="s">
        <v>1711</v>
      </c>
      <c r="E821" s="29" t="s">
        <v>26</v>
      </c>
      <c r="F821" s="30">
        <v>0</v>
      </c>
      <c r="G821" s="31">
        <v>0</v>
      </c>
      <c r="H821" s="32"/>
      <c r="I821" s="14">
        <f>IF(AND(G821&gt;0,H821&gt;0),ROUND((1-H821/G821)*100,0),0)</f>
        <v>0</v>
      </c>
      <c r="J821" s="35" t="s">
        <v>28</v>
      </c>
      <c r="K821" s="30" t="s">
        <v>1888</v>
      </c>
      <c r="L821" s="29" t="s">
        <v>26</v>
      </c>
    </row>
    <row r="822" ht="20" customHeight="1" spans="1:12" x14ac:dyDescent="0.25">
      <c r="A822" s="7" t="s">
        <v>3018</v>
      </c>
      <c r="B822" s="7" t="s">
        <v>1713</v>
      </c>
      <c r="C822" s="24">
        <f>IF(B822&lt;&gt;"",IFERROR(VLOOKUP(B822,'📦 Productos'!A:C,3,FALSE),IFERROR(VLOOKUP(B822&amp;"",'📦 Productos'!A:C,3,FALSE),IFERROR(VLOOKUP(VALUE(B822),'📦 Productos'!A:C,3,FALSE),""))),"")</f>
      </c>
      <c r="D822" s="7" t="s">
        <v>1714</v>
      </c>
      <c r="E822" s="8" t="s">
        <v>26</v>
      </c>
      <c r="F822" s="12">
        <v>0</v>
      </c>
      <c r="G822" s="25">
        <v>0</v>
      </c>
      <c r="H822" s="26"/>
      <c r="I822" s="14">
        <f>IF(AND(G822&gt;0,H822&gt;0),ROUND((1-H822/G822)*100,0),0)</f>
        <v>0</v>
      </c>
      <c r="J822" s="34" t="s">
        <v>28</v>
      </c>
      <c r="K822" s="12" t="s">
        <v>1888</v>
      </c>
      <c r="L822" s="8" t="s">
        <v>26</v>
      </c>
    </row>
    <row r="823" ht="20" customHeight="1" spans="1:12" x14ac:dyDescent="0.25">
      <c r="A823" s="28" t="s">
        <v>3019</v>
      </c>
      <c r="B823" s="28" t="s">
        <v>1716</v>
      </c>
      <c r="C823" s="24">
        <f>IF(B823&lt;&gt;"",IFERROR(VLOOKUP(B823,'📦 Productos'!A:C,3,FALSE),IFERROR(VLOOKUP(B823&amp;"",'📦 Productos'!A:C,3,FALSE),IFERROR(VLOOKUP(VALUE(B823),'📦 Productos'!A:C,3,FALSE),""))),"")</f>
      </c>
      <c r="D823" s="28" t="s">
        <v>1717</v>
      </c>
      <c r="E823" s="29" t="s">
        <v>26</v>
      </c>
      <c r="F823" s="30">
        <v>0</v>
      </c>
      <c r="G823" s="31">
        <v>0</v>
      </c>
      <c r="H823" s="32"/>
      <c r="I823" s="14">
        <f>IF(AND(G823&gt;0,H823&gt;0),ROUND((1-H823/G823)*100,0),0)</f>
        <v>0</v>
      </c>
      <c r="J823" s="35" t="s">
        <v>28</v>
      </c>
      <c r="K823" s="30" t="s">
        <v>1888</v>
      </c>
      <c r="L823" s="29" t="s">
        <v>26</v>
      </c>
    </row>
    <row r="824" ht="20" customHeight="1" spans="1:12" x14ac:dyDescent="0.25">
      <c r="A824" s="7" t="s">
        <v>3020</v>
      </c>
      <c r="B824" s="7" t="s">
        <v>1719</v>
      </c>
      <c r="C824" s="24">
        <f>IF(B824&lt;&gt;"",IFERROR(VLOOKUP(B824,'📦 Productos'!A:C,3,FALSE),IFERROR(VLOOKUP(B824&amp;"",'📦 Productos'!A:C,3,FALSE),IFERROR(VLOOKUP(VALUE(B824),'📦 Productos'!A:C,3,FALSE),""))),"")</f>
      </c>
      <c r="D824" s="7" t="s">
        <v>1720</v>
      </c>
      <c r="E824" s="8" t="s">
        <v>26</v>
      </c>
      <c r="F824" s="12">
        <v>0</v>
      </c>
      <c r="G824" s="25">
        <v>0</v>
      </c>
      <c r="H824" s="26"/>
      <c r="I824" s="14">
        <f>IF(AND(G824&gt;0,H824&gt;0),ROUND((1-H824/G824)*100,0),0)</f>
        <v>0</v>
      </c>
      <c r="J824" s="34" t="s">
        <v>28</v>
      </c>
      <c r="K824" s="12" t="s">
        <v>1888</v>
      </c>
      <c r="L824" s="8" t="s">
        <v>26</v>
      </c>
    </row>
    <row r="825" ht="20" customHeight="1" spans="1:12" x14ac:dyDescent="0.25">
      <c r="A825" s="28" t="s">
        <v>3021</v>
      </c>
      <c r="B825" s="28" t="s">
        <v>1722</v>
      </c>
      <c r="C825" s="24">
        <f>IF(B825&lt;&gt;"",IFERROR(VLOOKUP(B825,'📦 Productos'!A:C,3,FALSE),IFERROR(VLOOKUP(B825&amp;"",'📦 Productos'!A:C,3,FALSE),IFERROR(VLOOKUP(VALUE(B825),'📦 Productos'!A:C,3,FALSE),""))),"")</f>
      </c>
      <c r="D825" s="28" t="s">
        <v>1723</v>
      </c>
      <c r="E825" s="29" t="s">
        <v>26</v>
      </c>
      <c r="F825" s="30">
        <v>0</v>
      </c>
      <c r="G825" s="31">
        <v>0</v>
      </c>
      <c r="H825" s="32"/>
      <c r="I825" s="14">
        <f>IF(AND(G825&gt;0,H825&gt;0),ROUND((1-H825/G825)*100,0),0)</f>
        <v>0</v>
      </c>
      <c r="J825" s="35" t="s">
        <v>28</v>
      </c>
      <c r="K825" s="30" t="s">
        <v>1888</v>
      </c>
      <c r="L825" s="29" t="s">
        <v>26</v>
      </c>
    </row>
    <row r="826" ht="20" customHeight="1" spans="1:12" x14ac:dyDescent="0.25">
      <c r="A826" s="7" t="s">
        <v>3022</v>
      </c>
      <c r="B826" s="7" t="s">
        <v>1725</v>
      </c>
      <c r="C826" s="24">
        <f>IF(B826&lt;&gt;"",IFERROR(VLOOKUP(B826,'📦 Productos'!A:C,3,FALSE),IFERROR(VLOOKUP(B826&amp;"",'📦 Productos'!A:C,3,FALSE),IFERROR(VLOOKUP(VALUE(B826),'📦 Productos'!A:C,3,FALSE),""))),"")</f>
      </c>
      <c r="D826" s="7" t="s">
        <v>1726</v>
      </c>
      <c r="E826" s="8" t="s">
        <v>26</v>
      </c>
      <c r="F826" s="12">
        <v>0</v>
      </c>
      <c r="G826" s="25">
        <v>0</v>
      </c>
      <c r="H826" s="26"/>
      <c r="I826" s="14">
        <f>IF(AND(G826&gt;0,H826&gt;0),ROUND((1-H826/G826)*100,0),0)</f>
        <v>0</v>
      </c>
      <c r="J826" s="34" t="s">
        <v>28</v>
      </c>
      <c r="K826" s="12" t="s">
        <v>1888</v>
      </c>
      <c r="L826" s="8" t="s">
        <v>26</v>
      </c>
    </row>
    <row r="827" ht="20" customHeight="1" spans="1:12" x14ac:dyDescent="0.25">
      <c r="A827" s="28" t="s">
        <v>3023</v>
      </c>
      <c r="B827" s="28" t="s">
        <v>1728</v>
      </c>
      <c r="C827" s="24">
        <f>IF(B827&lt;&gt;"",IFERROR(VLOOKUP(B827,'📦 Productos'!A:C,3,FALSE),IFERROR(VLOOKUP(B827&amp;"",'📦 Productos'!A:C,3,FALSE),IFERROR(VLOOKUP(VALUE(B827),'📦 Productos'!A:C,3,FALSE),""))),"")</f>
      </c>
      <c r="D827" s="28" t="s">
        <v>1729</v>
      </c>
      <c r="E827" s="29" t="s">
        <v>26</v>
      </c>
      <c r="F827" s="30">
        <v>0</v>
      </c>
      <c r="G827" s="31">
        <v>0</v>
      </c>
      <c r="H827" s="32"/>
      <c r="I827" s="14">
        <f>IF(AND(G827&gt;0,H827&gt;0),ROUND((1-H827/G827)*100,0),0)</f>
        <v>0</v>
      </c>
      <c r="J827" s="35" t="s">
        <v>28</v>
      </c>
      <c r="K827" s="30" t="s">
        <v>1888</v>
      </c>
      <c r="L827" s="29" t="s">
        <v>26</v>
      </c>
    </row>
    <row r="828" ht="20" customHeight="1" spans="1:12" x14ac:dyDescent="0.25">
      <c r="A828" s="7" t="s">
        <v>3024</v>
      </c>
      <c r="B828" s="7" t="s">
        <v>1731</v>
      </c>
      <c r="C828" s="24">
        <f>IF(B828&lt;&gt;"",IFERROR(VLOOKUP(B828,'📦 Productos'!A:C,3,FALSE),IFERROR(VLOOKUP(B828&amp;"",'📦 Productos'!A:C,3,FALSE),IFERROR(VLOOKUP(VALUE(B828),'📦 Productos'!A:C,3,FALSE),""))),"")</f>
      </c>
      <c r="D828" s="7" t="s">
        <v>1732</v>
      </c>
      <c r="E828" s="8" t="s">
        <v>26</v>
      </c>
      <c r="F828" s="12">
        <v>0</v>
      </c>
      <c r="G828" s="25">
        <v>0</v>
      </c>
      <c r="H828" s="26"/>
      <c r="I828" s="14">
        <f>IF(AND(G828&gt;0,H828&gt;0),ROUND((1-H828/G828)*100,0),0)</f>
        <v>0</v>
      </c>
      <c r="J828" s="34" t="s">
        <v>28</v>
      </c>
      <c r="K828" s="12" t="s">
        <v>1888</v>
      </c>
      <c r="L828" s="8" t="s">
        <v>26</v>
      </c>
    </row>
    <row r="829" ht="20" customHeight="1" spans="1:12" x14ac:dyDescent="0.25">
      <c r="A829" s="28" t="s">
        <v>3025</v>
      </c>
      <c r="B829" s="28" t="s">
        <v>1734</v>
      </c>
      <c r="C829" s="24">
        <f>IF(B829&lt;&gt;"",IFERROR(VLOOKUP(B829,'📦 Productos'!A:C,3,FALSE),IFERROR(VLOOKUP(B829&amp;"",'📦 Productos'!A:C,3,FALSE),IFERROR(VLOOKUP(VALUE(B829),'📦 Productos'!A:C,3,FALSE),""))),"")</f>
      </c>
      <c r="D829" s="28" t="s">
        <v>1735</v>
      </c>
      <c r="E829" s="29" t="s">
        <v>26</v>
      </c>
      <c r="F829" s="30">
        <v>0</v>
      </c>
      <c r="G829" s="31">
        <v>0</v>
      </c>
      <c r="H829" s="32"/>
      <c r="I829" s="14">
        <f>IF(AND(G829&gt;0,H829&gt;0),ROUND((1-H829/G829)*100,0),0)</f>
        <v>0</v>
      </c>
      <c r="J829" s="35" t="s">
        <v>28</v>
      </c>
      <c r="K829" s="30" t="s">
        <v>1888</v>
      </c>
      <c r="L829" s="29" t="s">
        <v>26</v>
      </c>
    </row>
    <row r="830" ht="20" customHeight="1" spans="1:12" x14ac:dyDescent="0.25">
      <c r="A830" s="7" t="s">
        <v>3026</v>
      </c>
      <c r="B830" s="7" t="s">
        <v>1737</v>
      </c>
      <c r="C830" s="24">
        <f>IF(B830&lt;&gt;"",IFERROR(VLOOKUP(B830,'📦 Productos'!A:C,3,FALSE),IFERROR(VLOOKUP(B830&amp;"",'📦 Productos'!A:C,3,FALSE),IFERROR(VLOOKUP(VALUE(B830),'📦 Productos'!A:C,3,FALSE),""))),"")</f>
      </c>
      <c r="D830" s="7" t="s">
        <v>1738</v>
      </c>
      <c r="E830" s="8" t="s">
        <v>26</v>
      </c>
      <c r="F830" s="12">
        <v>0</v>
      </c>
      <c r="G830" s="25">
        <v>0</v>
      </c>
      <c r="H830" s="26"/>
      <c r="I830" s="14">
        <f>IF(AND(G830&gt;0,H830&gt;0),ROUND((1-H830/G830)*100,0),0)</f>
        <v>0</v>
      </c>
      <c r="J830" s="34" t="s">
        <v>28</v>
      </c>
      <c r="K830" s="12" t="s">
        <v>1888</v>
      </c>
      <c r="L830" s="8" t="s">
        <v>26</v>
      </c>
    </row>
    <row r="831" ht="20" customHeight="1" spans="1:12" x14ac:dyDescent="0.25">
      <c r="A831" s="28" t="s">
        <v>3027</v>
      </c>
      <c r="B831" s="28" t="s">
        <v>1740</v>
      </c>
      <c r="C831" s="24">
        <f>IF(B831&lt;&gt;"",IFERROR(VLOOKUP(B831,'📦 Productos'!A:C,3,FALSE),IFERROR(VLOOKUP(B831&amp;"",'📦 Productos'!A:C,3,FALSE),IFERROR(VLOOKUP(VALUE(B831),'📦 Productos'!A:C,3,FALSE),""))),"")</f>
      </c>
      <c r="D831" s="28" t="s">
        <v>1741</v>
      </c>
      <c r="E831" s="29" t="s">
        <v>26</v>
      </c>
      <c r="F831" s="30">
        <v>0</v>
      </c>
      <c r="G831" s="31">
        <v>0</v>
      </c>
      <c r="H831" s="32"/>
      <c r="I831" s="14">
        <f>IF(AND(G831&gt;0,H831&gt;0),ROUND((1-H831/G831)*100,0),0)</f>
        <v>0</v>
      </c>
      <c r="J831" s="35" t="s">
        <v>28</v>
      </c>
      <c r="K831" s="30" t="s">
        <v>1888</v>
      </c>
      <c r="L831" s="29" t="s">
        <v>26</v>
      </c>
    </row>
    <row r="832" ht="20" customHeight="1" spans="1:12" x14ac:dyDescent="0.25">
      <c r="A832" s="7" t="s">
        <v>3028</v>
      </c>
      <c r="B832" s="7" t="s">
        <v>1743</v>
      </c>
      <c r="C832" s="24">
        <f>IF(B832&lt;&gt;"",IFERROR(VLOOKUP(B832,'📦 Productos'!A:C,3,FALSE),IFERROR(VLOOKUP(B832&amp;"",'📦 Productos'!A:C,3,FALSE),IFERROR(VLOOKUP(VALUE(B832),'📦 Productos'!A:C,3,FALSE),""))),"")</f>
      </c>
      <c r="D832" s="7" t="s">
        <v>1744</v>
      </c>
      <c r="E832" s="8" t="s">
        <v>26</v>
      </c>
      <c r="F832" s="12">
        <v>0</v>
      </c>
      <c r="G832" s="25">
        <v>0</v>
      </c>
      <c r="H832" s="26"/>
      <c r="I832" s="14">
        <f>IF(AND(G832&gt;0,H832&gt;0),ROUND((1-H832/G832)*100,0),0)</f>
        <v>0</v>
      </c>
      <c r="J832" s="34" t="s">
        <v>28</v>
      </c>
      <c r="K832" s="12" t="s">
        <v>1888</v>
      </c>
      <c r="L832" s="8" t="s">
        <v>26</v>
      </c>
    </row>
    <row r="833" ht="20" customHeight="1" spans="1:12" x14ac:dyDescent="0.25">
      <c r="A833" s="28" t="s">
        <v>3029</v>
      </c>
      <c r="B833" s="28" t="s">
        <v>1746</v>
      </c>
      <c r="C833" s="24">
        <f>IF(B833&lt;&gt;"",IFERROR(VLOOKUP(B833,'📦 Productos'!A:C,3,FALSE),IFERROR(VLOOKUP(B833&amp;"",'📦 Productos'!A:C,3,FALSE),IFERROR(VLOOKUP(VALUE(B833),'📦 Productos'!A:C,3,FALSE),""))),"")</f>
      </c>
      <c r="D833" s="28" t="s">
        <v>1747</v>
      </c>
      <c r="E833" s="29" t="s">
        <v>26</v>
      </c>
      <c r="F833" s="30">
        <v>0</v>
      </c>
      <c r="G833" s="31">
        <v>0</v>
      </c>
      <c r="H833" s="32"/>
      <c r="I833" s="14">
        <f>IF(AND(G833&gt;0,H833&gt;0),ROUND((1-H833/G833)*100,0),0)</f>
        <v>0</v>
      </c>
      <c r="J833" s="35" t="s">
        <v>28</v>
      </c>
      <c r="K833" s="30" t="s">
        <v>1888</v>
      </c>
      <c r="L833" s="29" t="s">
        <v>26</v>
      </c>
    </row>
    <row r="834" ht="20" customHeight="1" spans="1:12" x14ac:dyDescent="0.25">
      <c r="A834" s="7" t="s">
        <v>3030</v>
      </c>
      <c r="B834" s="7" t="s">
        <v>1749</v>
      </c>
      <c r="C834" s="24">
        <f>IF(B834&lt;&gt;"",IFERROR(VLOOKUP(B834,'📦 Productos'!A:C,3,FALSE),IFERROR(VLOOKUP(B834&amp;"",'📦 Productos'!A:C,3,FALSE),IFERROR(VLOOKUP(VALUE(B834),'📦 Productos'!A:C,3,FALSE),""))),"")</f>
      </c>
      <c r="D834" s="7" t="s">
        <v>1750</v>
      </c>
      <c r="E834" s="8" t="s">
        <v>26</v>
      </c>
      <c r="F834" s="12">
        <v>0</v>
      </c>
      <c r="G834" s="25">
        <v>0</v>
      </c>
      <c r="H834" s="26"/>
      <c r="I834" s="14">
        <f>IF(AND(G834&gt;0,H834&gt;0),ROUND((1-H834/G834)*100,0),0)</f>
        <v>0</v>
      </c>
      <c r="J834" s="34" t="s">
        <v>28</v>
      </c>
      <c r="K834" s="12" t="s">
        <v>1888</v>
      </c>
      <c r="L834" s="8" t="s">
        <v>26</v>
      </c>
    </row>
    <row r="835" ht="20" customHeight="1" spans="1:12" x14ac:dyDescent="0.25">
      <c r="A835" s="28" t="s">
        <v>3031</v>
      </c>
      <c r="B835" s="28" t="s">
        <v>1752</v>
      </c>
      <c r="C835" s="24">
        <f>IF(B835&lt;&gt;"",IFERROR(VLOOKUP(B835,'📦 Productos'!A:C,3,FALSE),IFERROR(VLOOKUP(B835&amp;"",'📦 Productos'!A:C,3,FALSE),IFERROR(VLOOKUP(VALUE(B835),'📦 Productos'!A:C,3,FALSE),""))),"")</f>
      </c>
      <c r="D835" s="28" t="s">
        <v>1753</v>
      </c>
      <c r="E835" s="29" t="s">
        <v>26</v>
      </c>
      <c r="F835" s="30">
        <v>0</v>
      </c>
      <c r="G835" s="31">
        <v>0</v>
      </c>
      <c r="H835" s="32"/>
      <c r="I835" s="14">
        <f>IF(AND(G835&gt;0,H835&gt;0),ROUND((1-H835/G835)*100,0),0)</f>
        <v>0</v>
      </c>
      <c r="J835" s="35" t="s">
        <v>28</v>
      </c>
      <c r="K835" s="30" t="s">
        <v>1888</v>
      </c>
      <c r="L835" s="29" t="s">
        <v>26</v>
      </c>
    </row>
    <row r="836" ht="20" customHeight="1" spans="1:12" x14ac:dyDescent="0.25">
      <c r="A836" s="7" t="s">
        <v>3032</v>
      </c>
      <c r="B836" s="7" t="s">
        <v>1755</v>
      </c>
      <c r="C836" s="24">
        <f>IF(B836&lt;&gt;"",IFERROR(VLOOKUP(B836,'📦 Productos'!A:C,3,FALSE),IFERROR(VLOOKUP(B836&amp;"",'📦 Productos'!A:C,3,FALSE),IFERROR(VLOOKUP(VALUE(B836),'📦 Productos'!A:C,3,FALSE),""))),"")</f>
      </c>
      <c r="D836" s="7" t="s">
        <v>1756</v>
      </c>
      <c r="E836" s="8" t="s">
        <v>26</v>
      </c>
      <c r="F836" s="12">
        <v>0</v>
      </c>
      <c r="G836" s="25">
        <v>0</v>
      </c>
      <c r="H836" s="26"/>
      <c r="I836" s="14">
        <f>IF(AND(G836&gt;0,H836&gt;0),ROUND((1-H836/G836)*100,0),0)</f>
        <v>0</v>
      </c>
      <c r="J836" s="34" t="s">
        <v>28</v>
      </c>
      <c r="K836" s="12" t="s">
        <v>1888</v>
      </c>
      <c r="L836" s="8" t="s">
        <v>26</v>
      </c>
    </row>
    <row r="837" ht="20" customHeight="1" spans="1:12" x14ac:dyDescent="0.25">
      <c r="A837" s="28" t="s">
        <v>3033</v>
      </c>
      <c r="B837" s="28" t="s">
        <v>1758</v>
      </c>
      <c r="C837" s="24">
        <f>IF(B837&lt;&gt;"",IFERROR(VLOOKUP(B837,'📦 Productos'!A:C,3,FALSE),IFERROR(VLOOKUP(B837&amp;"",'📦 Productos'!A:C,3,FALSE),IFERROR(VLOOKUP(VALUE(B837),'📦 Productos'!A:C,3,FALSE),""))),"")</f>
      </c>
      <c r="D837" s="28" t="s">
        <v>1759</v>
      </c>
      <c r="E837" s="29" t="s">
        <v>26</v>
      </c>
      <c r="F837" s="30">
        <v>0</v>
      </c>
      <c r="G837" s="31">
        <v>0</v>
      </c>
      <c r="H837" s="32"/>
      <c r="I837" s="14">
        <f>IF(AND(G837&gt;0,H837&gt;0),ROUND((1-H837/G837)*100,0),0)</f>
        <v>0</v>
      </c>
      <c r="J837" s="35" t="s">
        <v>28</v>
      </c>
      <c r="K837" s="30" t="s">
        <v>1888</v>
      </c>
      <c r="L837" s="29" t="s">
        <v>26</v>
      </c>
    </row>
    <row r="838" ht="20" customHeight="1" spans="1:12" x14ac:dyDescent="0.25">
      <c r="A838" s="7" t="s">
        <v>3034</v>
      </c>
      <c r="B838" s="7" t="s">
        <v>1761</v>
      </c>
      <c r="C838" s="24">
        <f>IF(B838&lt;&gt;"",IFERROR(VLOOKUP(B838,'📦 Productos'!A:C,3,FALSE),IFERROR(VLOOKUP(B838&amp;"",'📦 Productos'!A:C,3,FALSE),IFERROR(VLOOKUP(VALUE(B838),'📦 Productos'!A:C,3,FALSE),""))),"")</f>
      </c>
      <c r="D838" s="7" t="s">
        <v>1762</v>
      </c>
      <c r="E838" s="8" t="s">
        <v>26</v>
      </c>
      <c r="F838" s="12">
        <v>0</v>
      </c>
      <c r="G838" s="25">
        <v>0</v>
      </c>
      <c r="H838" s="26"/>
      <c r="I838" s="14">
        <f>IF(AND(G838&gt;0,H838&gt;0),ROUND((1-H838/G838)*100,0),0)</f>
        <v>0</v>
      </c>
      <c r="J838" s="34" t="s">
        <v>28</v>
      </c>
      <c r="K838" s="12" t="s">
        <v>1888</v>
      </c>
      <c r="L838" s="8" t="s">
        <v>26</v>
      </c>
    </row>
    <row r="839" ht="20" customHeight="1" spans="1:12" x14ac:dyDescent="0.25">
      <c r="A839" s="28" t="s">
        <v>3035</v>
      </c>
      <c r="B839" s="28" t="s">
        <v>1764</v>
      </c>
      <c r="C839" s="24">
        <f>IF(B839&lt;&gt;"",IFERROR(VLOOKUP(B839,'📦 Productos'!A:C,3,FALSE),IFERROR(VLOOKUP(B839&amp;"",'📦 Productos'!A:C,3,FALSE),IFERROR(VLOOKUP(VALUE(B839),'📦 Productos'!A:C,3,FALSE),""))),"")</f>
      </c>
      <c r="D839" s="28" t="s">
        <v>1765</v>
      </c>
      <c r="E839" s="29" t="s">
        <v>26</v>
      </c>
      <c r="F839" s="30">
        <v>0</v>
      </c>
      <c r="G839" s="31">
        <v>0</v>
      </c>
      <c r="H839" s="32"/>
      <c r="I839" s="14">
        <f>IF(AND(G839&gt;0,H839&gt;0),ROUND((1-H839/G839)*100,0),0)</f>
        <v>0</v>
      </c>
      <c r="J839" s="35" t="s">
        <v>28</v>
      </c>
      <c r="K839" s="30" t="s">
        <v>1888</v>
      </c>
      <c r="L839" s="29" t="s">
        <v>26</v>
      </c>
    </row>
    <row r="840" ht="20" customHeight="1" spans="1:12" x14ac:dyDescent="0.25">
      <c r="A840" s="7" t="s">
        <v>3036</v>
      </c>
      <c r="B840" s="7" t="s">
        <v>1767</v>
      </c>
      <c r="C840" s="24">
        <f>IF(B840&lt;&gt;"",IFERROR(VLOOKUP(B840,'📦 Productos'!A:C,3,FALSE),IFERROR(VLOOKUP(B840&amp;"",'📦 Productos'!A:C,3,FALSE),IFERROR(VLOOKUP(VALUE(B840),'📦 Productos'!A:C,3,FALSE),""))),"")</f>
      </c>
      <c r="D840" s="7" t="s">
        <v>1768</v>
      </c>
      <c r="E840" s="8" t="s">
        <v>26</v>
      </c>
      <c r="F840" s="12">
        <v>0</v>
      </c>
      <c r="G840" s="25">
        <v>0</v>
      </c>
      <c r="H840" s="26"/>
      <c r="I840" s="14">
        <f>IF(AND(G840&gt;0,H840&gt;0),ROUND((1-H840/G840)*100,0),0)</f>
        <v>0</v>
      </c>
      <c r="J840" s="34" t="s">
        <v>28</v>
      </c>
      <c r="K840" s="12" t="s">
        <v>1888</v>
      </c>
      <c r="L840" s="8" t="s">
        <v>26</v>
      </c>
    </row>
    <row r="841" ht="20" customHeight="1" spans="1:12" x14ac:dyDescent="0.25">
      <c r="A841" s="28" t="s">
        <v>3037</v>
      </c>
      <c r="B841" s="28" t="s">
        <v>1770</v>
      </c>
      <c r="C841" s="24">
        <f>IF(B841&lt;&gt;"",IFERROR(VLOOKUP(B841,'📦 Productos'!A:C,3,FALSE),IFERROR(VLOOKUP(B841&amp;"",'📦 Productos'!A:C,3,FALSE),IFERROR(VLOOKUP(VALUE(B841),'📦 Productos'!A:C,3,FALSE),""))),"")</f>
      </c>
      <c r="D841" s="28" t="s">
        <v>1771</v>
      </c>
      <c r="E841" s="29" t="s">
        <v>26</v>
      </c>
      <c r="F841" s="30">
        <v>0</v>
      </c>
      <c r="G841" s="31">
        <v>0</v>
      </c>
      <c r="H841" s="32"/>
      <c r="I841" s="14">
        <f>IF(AND(G841&gt;0,H841&gt;0),ROUND((1-H841/G841)*100,0),0)</f>
        <v>0</v>
      </c>
      <c r="J841" s="35" t="s">
        <v>28</v>
      </c>
      <c r="K841" s="30" t="s">
        <v>1888</v>
      </c>
      <c r="L841" s="29" t="s">
        <v>26</v>
      </c>
    </row>
    <row r="842" ht="20" customHeight="1" spans="1:12" x14ac:dyDescent="0.25">
      <c r="A842" s="7" t="s">
        <v>3038</v>
      </c>
      <c r="B842" s="7" t="s">
        <v>1773</v>
      </c>
      <c r="C842" s="24">
        <f>IF(B842&lt;&gt;"",IFERROR(VLOOKUP(B842,'📦 Productos'!A:C,3,FALSE),IFERROR(VLOOKUP(B842&amp;"",'📦 Productos'!A:C,3,FALSE),IFERROR(VLOOKUP(VALUE(B842),'📦 Productos'!A:C,3,FALSE),""))),"")</f>
      </c>
      <c r="D842" s="7" t="s">
        <v>1774</v>
      </c>
      <c r="E842" s="8" t="s">
        <v>26</v>
      </c>
      <c r="F842" s="12">
        <v>0</v>
      </c>
      <c r="G842" s="25">
        <v>0</v>
      </c>
      <c r="H842" s="26"/>
      <c r="I842" s="14">
        <f>IF(AND(G842&gt;0,H842&gt;0),ROUND((1-H842/G842)*100,0),0)</f>
        <v>0</v>
      </c>
      <c r="J842" s="34" t="s">
        <v>28</v>
      </c>
      <c r="K842" s="12" t="s">
        <v>1888</v>
      </c>
      <c r="L842" s="8" t="s">
        <v>26</v>
      </c>
    </row>
    <row r="843" ht="20" customHeight="1" spans="1:12" x14ac:dyDescent="0.25">
      <c r="A843" s="28" t="s">
        <v>3039</v>
      </c>
      <c r="B843" s="28" t="s">
        <v>1776</v>
      </c>
      <c r="C843" s="24">
        <f>IF(B843&lt;&gt;"",IFERROR(VLOOKUP(B843,'📦 Productos'!A:C,3,FALSE),IFERROR(VLOOKUP(B843&amp;"",'📦 Productos'!A:C,3,FALSE),IFERROR(VLOOKUP(VALUE(B843),'📦 Productos'!A:C,3,FALSE),""))),"")</f>
      </c>
      <c r="D843" s="28" t="s">
        <v>1777</v>
      </c>
      <c r="E843" s="29" t="s">
        <v>26</v>
      </c>
      <c r="F843" s="30">
        <v>0</v>
      </c>
      <c r="G843" s="31">
        <v>0</v>
      </c>
      <c r="H843" s="32"/>
      <c r="I843" s="14">
        <f>IF(AND(G843&gt;0,H843&gt;0),ROUND((1-H843/G843)*100,0),0)</f>
        <v>0</v>
      </c>
      <c r="J843" s="35" t="s">
        <v>28</v>
      </c>
      <c r="K843" s="30" t="s">
        <v>1888</v>
      </c>
      <c r="L843" s="29" t="s">
        <v>26</v>
      </c>
    </row>
    <row r="844" ht="20" customHeight="1" spans="1:12" x14ac:dyDescent="0.25">
      <c r="A844" s="7" t="s">
        <v>3040</v>
      </c>
      <c r="B844" s="7" t="s">
        <v>1779</v>
      </c>
      <c r="C844" s="24">
        <f>IF(B844&lt;&gt;"",IFERROR(VLOOKUP(B844,'📦 Productos'!A:C,3,FALSE),IFERROR(VLOOKUP(B844&amp;"",'📦 Productos'!A:C,3,FALSE),IFERROR(VLOOKUP(VALUE(B844),'📦 Productos'!A:C,3,FALSE),""))),"")</f>
      </c>
      <c r="D844" s="7" t="s">
        <v>1780</v>
      </c>
      <c r="E844" s="8" t="s">
        <v>26</v>
      </c>
      <c r="F844" s="12">
        <v>0</v>
      </c>
      <c r="G844" s="25">
        <v>0</v>
      </c>
      <c r="H844" s="26"/>
      <c r="I844" s="14">
        <f>IF(AND(G844&gt;0,H844&gt;0),ROUND((1-H844/G844)*100,0),0)</f>
        <v>0</v>
      </c>
      <c r="J844" s="34" t="s">
        <v>28</v>
      </c>
      <c r="K844" s="12" t="s">
        <v>1888</v>
      </c>
      <c r="L844" s="8" t="s">
        <v>26</v>
      </c>
    </row>
    <row r="845" ht="20" customHeight="1" spans="1:12" x14ac:dyDescent="0.25">
      <c r="A845" s="28" t="s">
        <v>3041</v>
      </c>
      <c r="B845" s="28" t="s">
        <v>1782</v>
      </c>
      <c r="C845" s="24">
        <f>IF(B845&lt;&gt;"",IFERROR(VLOOKUP(B845,'📦 Productos'!A:C,3,FALSE),IFERROR(VLOOKUP(B845&amp;"",'📦 Productos'!A:C,3,FALSE),IFERROR(VLOOKUP(VALUE(B845),'📦 Productos'!A:C,3,FALSE),""))),"")</f>
      </c>
      <c r="D845" s="28" t="s">
        <v>1783</v>
      </c>
      <c r="E845" s="29" t="s">
        <v>26</v>
      </c>
      <c r="F845" s="30">
        <v>0</v>
      </c>
      <c r="G845" s="31">
        <v>0</v>
      </c>
      <c r="H845" s="32"/>
      <c r="I845" s="14">
        <f>IF(AND(G845&gt;0,H845&gt;0),ROUND((1-H845/G845)*100,0),0)</f>
        <v>0</v>
      </c>
      <c r="J845" s="35" t="s">
        <v>28</v>
      </c>
      <c r="K845" s="30" t="s">
        <v>1888</v>
      </c>
      <c r="L845" s="29" t="s">
        <v>26</v>
      </c>
    </row>
    <row r="846" ht="20" customHeight="1" spans="1:12" x14ac:dyDescent="0.25">
      <c r="A846" s="7" t="s">
        <v>3042</v>
      </c>
      <c r="B846" s="7" t="s">
        <v>1785</v>
      </c>
      <c r="C846" s="24">
        <f>IF(B846&lt;&gt;"",IFERROR(VLOOKUP(B846,'📦 Productos'!A:C,3,FALSE),IFERROR(VLOOKUP(B846&amp;"",'📦 Productos'!A:C,3,FALSE),IFERROR(VLOOKUP(VALUE(B846),'📦 Productos'!A:C,3,FALSE),""))),"")</f>
      </c>
      <c r="D846" s="7" t="s">
        <v>1786</v>
      </c>
      <c r="E846" s="8" t="s">
        <v>26</v>
      </c>
      <c r="F846" s="12">
        <v>0</v>
      </c>
      <c r="G846" s="25">
        <v>0</v>
      </c>
      <c r="H846" s="26"/>
      <c r="I846" s="14">
        <f>IF(AND(G846&gt;0,H846&gt;0),ROUND((1-H846/G846)*100,0),0)</f>
        <v>0</v>
      </c>
      <c r="J846" s="34" t="s">
        <v>28</v>
      </c>
      <c r="K846" s="12" t="s">
        <v>1888</v>
      </c>
      <c r="L846" s="8" t="s">
        <v>26</v>
      </c>
    </row>
    <row r="847" ht="20" customHeight="1" spans="1:12" x14ac:dyDescent="0.25">
      <c r="A847" s="28" t="s">
        <v>3043</v>
      </c>
      <c r="B847" s="28" t="s">
        <v>1788</v>
      </c>
      <c r="C847" s="24">
        <f>IF(B847&lt;&gt;"",IFERROR(VLOOKUP(B847,'📦 Productos'!A:C,3,FALSE),IFERROR(VLOOKUP(B847&amp;"",'📦 Productos'!A:C,3,FALSE),IFERROR(VLOOKUP(VALUE(B847),'📦 Productos'!A:C,3,FALSE),""))),"")</f>
      </c>
      <c r="D847" s="28" t="s">
        <v>1789</v>
      </c>
      <c r="E847" s="29" t="s">
        <v>26</v>
      </c>
      <c r="F847" s="30">
        <v>0</v>
      </c>
      <c r="G847" s="31">
        <v>0</v>
      </c>
      <c r="H847" s="32"/>
      <c r="I847" s="14">
        <f>IF(AND(G847&gt;0,H847&gt;0),ROUND((1-H847/G847)*100,0),0)</f>
        <v>0</v>
      </c>
      <c r="J847" s="35" t="s">
        <v>28</v>
      </c>
      <c r="K847" s="30" t="s">
        <v>1888</v>
      </c>
      <c r="L847" s="29" t="s">
        <v>26</v>
      </c>
    </row>
    <row r="848" ht="20" customHeight="1" spans="1:12" x14ac:dyDescent="0.25">
      <c r="A848" s="7" t="s">
        <v>3044</v>
      </c>
      <c r="B848" s="7" t="s">
        <v>1791</v>
      </c>
      <c r="C848" s="24">
        <f>IF(B848&lt;&gt;"",IFERROR(VLOOKUP(B848,'📦 Productos'!A:C,3,FALSE),IFERROR(VLOOKUP(B848&amp;"",'📦 Productos'!A:C,3,FALSE),IFERROR(VLOOKUP(VALUE(B848),'📦 Productos'!A:C,3,FALSE),""))),"")</f>
      </c>
      <c r="D848" s="7" t="s">
        <v>1792</v>
      </c>
      <c r="E848" s="8" t="s">
        <v>26</v>
      </c>
      <c r="F848" s="12">
        <v>0</v>
      </c>
      <c r="G848" s="25">
        <v>0</v>
      </c>
      <c r="H848" s="26"/>
      <c r="I848" s="14">
        <f>IF(AND(G848&gt;0,H848&gt;0),ROUND((1-H848/G848)*100,0),0)</f>
        <v>0</v>
      </c>
      <c r="J848" s="34" t="s">
        <v>28</v>
      </c>
      <c r="K848" s="12" t="s">
        <v>1888</v>
      </c>
      <c r="L848" s="8" t="s">
        <v>26</v>
      </c>
    </row>
    <row r="849" ht="20" customHeight="1" spans="1:12" x14ac:dyDescent="0.25">
      <c r="A849" s="28" t="s">
        <v>3045</v>
      </c>
      <c r="B849" s="28" t="s">
        <v>1794</v>
      </c>
      <c r="C849" s="24">
        <f>IF(B849&lt;&gt;"",IFERROR(VLOOKUP(B849,'📦 Productos'!A:C,3,FALSE),IFERROR(VLOOKUP(B849&amp;"",'📦 Productos'!A:C,3,FALSE),IFERROR(VLOOKUP(VALUE(B849),'📦 Productos'!A:C,3,FALSE),""))),"")</f>
      </c>
      <c r="D849" s="28" t="s">
        <v>1795</v>
      </c>
      <c r="E849" s="29" t="s">
        <v>26</v>
      </c>
      <c r="F849" s="30">
        <v>0</v>
      </c>
      <c r="G849" s="31">
        <v>0</v>
      </c>
      <c r="H849" s="32"/>
      <c r="I849" s="14">
        <f>IF(AND(G849&gt;0,H849&gt;0),ROUND((1-H849/G849)*100,0),0)</f>
        <v>0</v>
      </c>
      <c r="J849" s="35" t="s">
        <v>28</v>
      </c>
      <c r="K849" s="30" t="s">
        <v>1888</v>
      </c>
      <c r="L849" s="29" t="s">
        <v>26</v>
      </c>
    </row>
    <row r="850" ht="20" customHeight="1" spans="1:12" x14ac:dyDescent="0.25">
      <c r="A850" s="7" t="s">
        <v>3046</v>
      </c>
      <c r="B850" s="7" t="s">
        <v>1797</v>
      </c>
      <c r="C850" s="24">
        <f>IF(B850&lt;&gt;"",IFERROR(VLOOKUP(B850,'📦 Productos'!A:C,3,FALSE),IFERROR(VLOOKUP(B850&amp;"",'📦 Productos'!A:C,3,FALSE),IFERROR(VLOOKUP(VALUE(B850),'📦 Productos'!A:C,3,FALSE),""))),"")</f>
      </c>
      <c r="D850" s="7" t="s">
        <v>1798</v>
      </c>
      <c r="E850" s="8" t="s">
        <v>26</v>
      </c>
      <c r="F850" s="12">
        <v>0</v>
      </c>
      <c r="G850" s="25">
        <v>0</v>
      </c>
      <c r="H850" s="26"/>
      <c r="I850" s="14">
        <f>IF(AND(G850&gt;0,H850&gt;0),ROUND((1-H850/G850)*100,0),0)</f>
        <v>0</v>
      </c>
      <c r="J850" s="34" t="s">
        <v>28</v>
      </c>
      <c r="K850" s="12" t="s">
        <v>1888</v>
      </c>
      <c r="L850" s="8" t="s">
        <v>26</v>
      </c>
    </row>
    <row r="851" ht="20" customHeight="1" spans="1:12" x14ac:dyDescent="0.25">
      <c r="A851" s="28" t="s">
        <v>3047</v>
      </c>
      <c r="B851" s="28" t="s">
        <v>1800</v>
      </c>
      <c r="C851" s="24">
        <f>IF(B851&lt;&gt;"",IFERROR(VLOOKUP(B851,'📦 Productos'!A:C,3,FALSE),IFERROR(VLOOKUP(B851&amp;"",'📦 Productos'!A:C,3,FALSE),IFERROR(VLOOKUP(VALUE(B851),'📦 Productos'!A:C,3,FALSE),""))),"")</f>
      </c>
      <c r="D851" s="28" t="s">
        <v>1801</v>
      </c>
      <c r="E851" s="29" t="s">
        <v>26</v>
      </c>
      <c r="F851" s="30">
        <v>0</v>
      </c>
      <c r="G851" s="31">
        <v>0</v>
      </c>
      <c r="H851" s="32"/>
      <c r="I851" s="14">
        <f>IF(AND(G851&gt;0,H851&gt;0),ROUND((1-H851/G851)*100,0),0)</f>
        <v>0</v>
      </c>
      <c r="J851" s="35" t="s">
        <v>28</v>
      </c>
      <c r="K851" s="30" t="s">
        <v>1888</v>
      </c>
      <c r="L851" s="29" t="s">
        <v>26</v>
      </c>
    </row>
    <row r="852" ht="20" customHeight="1" spans="1:12" x14ac:dyDescent="0.25">
      <c r="A852" s="7" t="s">
        <v>3048</v>
      </c>
      <c r="B852" s="7" t="s">
        <v>1803</v>
      </c>
      <c r="C852" s="24">
        <f>IF(B852&lt;&gt;"",IFERROR(VLOOKUP(B852,'📦 Productos'!A:C,3,FALSE),IFERROR(VLOOKUP(B852&amp;"",'📦 Productos'!A:C,3,FALSE),IFERROR(VLOOKUP(VALUE(B852),'📦 Productos'!A:C,3,FALSE),""))),"")</f>
      </c>
      <c r="D852" s="7" t="s">
        <v>1804</v>
      </c>
      <c r="E852" s="8" t="s">
        <v>26</v>
      </c>
      <c r="F852" s="12">
        <v>0</v>
      </c>
      <c r="G852" s="25">
        <v>0</v>
      </c>
      <c r="H852" s="26"/>
      <c r="I852" s="14">
        <f>IF(AND(G852&gt;0,H852&gt;0),ROUND((1-H852/G852)*100,0),0)</f>
        <v>0</v>
      </c>
      <c r="J852" s="34" t="s">
        <v>28</v>
      </c>
      <c r="K852" s="12" t="s">
        <v>1888</v>
      </c>
      <c r="L852" s="8" t="s">
        <v>26</v>
      </c>
    </row>
    <row r="853" ht="20" customHeight="1" spans="1:12" x14ac:dyDescent="0.25">
      <c r="A853" s="28" t="s">
        <v>3049</v>
      </c>
      <c r="B853" s="28" t="s">
        <v>1806</v>
      </c>
      <c r="C853" s="24">
        <f>IF(B853&lt;&gt;"",IFERROR(VLOOKUP(B853,'📦 Productos'!A:C,3,FALSE),IFERROR(VLOOKUP(B853&amp;"",'📦 Productos'!A:C,3,FALSE),IFERROR(VLOOKUP(VALUE(B853),'📦 Productos'!A:C,3,FALSE),""))),"")</f>
      </c>
      <c r="D853" s="28" t="s">
        <v>1807</v>
      </c>
      <c r="E853" s="29" t="s">
        <v>26</v>
      </c>
      <c r="F853" s="30">
        <v>0</v>
      </c>
      <c r="G853" s="31">
        <v>0</v>
      </c>
      <c r="H853" s="32"/>
      <c r="I853" s="14">
        <f>IF(AND(G853&gt;0,H853&gt;0),ROUND((1-H853/G853)*100,0),0)</f>
        <v>0</v>
      </c>
      <c r="J853" s="35" t="s">
        <v>28</v>
      </c>
      <c r="K853" s="30" t="s">
        <v>1888</v>
      </c>
      <c r="L853" s="29" t="s">
        <v>26</v>
      </c>
    </row>
    <row r="854" ht="20" customHeight="1" spans="1:12" x14ac:dyDescent="0.25">
      <c r="A854" s="7" t="s">
        <v>3050</v>
      </c>
      <c r="B854" s="7" t="s">
        <v>1809</v>
      </c>
      <c r="C854" s="24">
        <f>IF(B854&lt;&gt;"",IFERROR(VLOOKUP(B854,'📦 Productos'!A:C,3,FALSE),IFERROR(VLOOKUP(B854&amp;"",'📦 Productos'!A:C,3,FALSE),IFERROR(VLOOKUP(VALUE(B854),'📦 Productos'!A:C,3,FALSE),""))),"")</f>
      </c>
      <c r="D854" s="7" t="s">
        <v>1810</v>
      </c>
      <c r="E854" s="8" t="s">
        <v>26</v>
      </c>
      <c r="F854" s="12">
        <v>0</v>
      </c>
      <c r="G854" s="25">
        <v>0</v>
      </c>
      <c r="H854" s="26"/>
      <c r="I854" s="14">
        <f>IF(AND(G854&gt;0,H854&gt;0),ROUND((1-H854/G854)*100,0),0)</f>
        <v>0</v>
      </c>
      <c r="J854" s="34" t="s">
        <v>28</v>
      </c>
      <c r="K854" s="12" t="s">
        <v>1888</v>
      </c>
      <c r="L854" s="8" t="s">
        <v>26</v>
      </c>
    </row>
    <row r="855" ht="20" customHeight="1" spans="1:12" x14ac:dyDescent="0.25">
      <c r="A855" s="28" t="s">
        <v>3051</v>
      </c>
      <c r="B855" s="28" t="s">
        <v>1812</v>
      </c>
      <c r="C855" s="24">
        <f>IF(B855&lt;&gt;"",IFERROR(VLOOKUP(B855,'📦 Productos'!A:C,3,FALSE),IFERROR(VLOOKUP(B855&amp;"",'📦 Productos'!A:C,3,FALSE),IFERROR(VLOOKUP(VALUE(B855),'📦 Productos'!A:C,3,FALSE),""))),"")</f>
      </c>
      <c r="D855" s="28" t="s">
        <v>1813</v>
      </c>
      <c r="E855" s="29" t="s">
        <v>26</v>
      </c>
      <c r="F855" s="30">
        <v>0</v>
      </c>
      <c r="G855" s="31">
        <v>0</v>
      </c>
      <c r="H855" s="32"/>
      <c r="I855" s="14">
        <f>IF(AND(G855&gt;0,H855&gt;0),ROUND((1-H855/G855)*100,0),0)</f>
        <v>0</v>
      </c>
      <c r="J855" s="35" t="s">
        <v>28</v>
      </c>
      <c r="K855" s="30" t="s">
        <v>1888</v>
      </c>
      <c r="L855" s="29" t="s">
        <v>26</v>
      </c>
    </row>
    <row r="856" ht="20" customHeight="1" spans="1:12" x14ac:dyDescent="0.25">
      <c r="A856" s="7" t="s">
        <v>3052</v>
      </c>
      <c r="B856" s="7" t="s">
        <v>1815</v>
      </c>
      <c r="C856" s="24">
        <f>IF(B856&lt;&gt;"",IFERROR(VLOOKUP(B856,'📦 Productos'!A:C,3,FALSE),IFERROR(VLOOKUP(B856&amp;"",'📦 Productos'!A:C,3,FALSE),IFERROR(VLOOKUP(VALUE(B856),'📦 Productos'!A:C,3,FALSE),""))),"")</f>
      </c>
      <c r="D856" s="7" t="s">
        <v>1816</v>
      </c>
      <c r="E856" s="8" t="s">
        <v>26</v>
      </c>
      <c r="F856" s="12">
        <v>0</v>
      </c>
      <c r="G856" s="25">
        <v>0</v>
      </c>
      <c r="H856" s="26"/>
      <c r="I856" s="14">
        <f>IF(AND(G856&gt;0,H856&gt;0),ROUND((1-H856/G856)*100,0),0)</f>
        <v>0</v>
      </c>
      <c r="J856" s="34" t="s">
        <v>28</v>
      </c>
      <c r="K856" s="12" t="s">
        <v>1888</v>
      </c>
      <c r="L856" s="8" t="s">
        <v>26</v>
      </c>
    </row>
    <row r="857" ht="20" customHeight="1" spans="1:12" x14ac:dyDescent="0.25">
      <c r="A857" s="28" t="s">
        <v>3053</v>
      </c>
      <c r="B857" s="28" t="s">
        <v>1818</v>
      </c>
      <c r="C857" s="24">
        <f>IF(B857&lt;&gt;"",IFERROR(VLOOKUP(B857,'📦 Productos'!A:C,3,FALSE),IFERROR(VLOOKUP(B857&amp;"",'📦 Productos'!A:C,3,FALSE),IFERROR(VLOOKUP(VALUE(B857),'📦 Productos'!A:C,3,FALSE),""))),"")</f>
      </c>
      <c r="D857" s="28" t="s">
        <v>1819</v>
      </c>
      <c r="E857" s="29" t="s">
        <v>26</v>
      </c>
      <c r="F857" s="30">
        <v>0</v>
      </c>
      <c r="G857" s="31">
        <v>0</v>
      </c>
      <c r="H857" s="32"/>
      <c r="I857" s="14">
        <f>IF(AND(G857&gt;0,H857&gt;0),ROUND((1-H857/G857)*100,0),0)</f>
        <v>0</v>
      </c>
      <c r="J857" s="35" t="s">
        <v>28</v>
      </c>
      <c r="K857" s="30" t="s">
        <v>1888</v>
      </c>
      <c r="L857" s="29" t="s">
        <v>26</v>
      </c>
    </row>
    <row r="858" ht="20" customHeight="1" spans="1:12" x14ac:dyDescent="0.25">
      <c r="A858" s="7" t="s">
        <v>3054</v>
      </c>
      <c r="B858" s="7" t="s">
        <v>1821</v>
      </c>
      <c r="C858" s="24">
        <f>IF(B858&lt;&gt;"",IFERROR(VLOOKUP(B858,'📦 Productos'!A:C,3,FALSE),IFERROR(VLOOKUP(B858&amp;"",'📦 Productos'!A:C,3,FALSE),IFERROR(VLOOKUP(VALUE(B858),'📦 Productos'!A:C,3,FALSE),""))),"")</f>
      </c>
      <c r="D858" s="7" t="s">
        <v>1822</v>
      </c>
      <c r="E858" s="8" t="s">
        <v>26</v>
      </c>
      <c r="F858" s="12">
        <v>0</v>
      </c>
      <c r="G858" s="25">
        <v>0</v>
      </c>
      <c r="H858" s="26"/>
      <c r="I858" s="14">
        <f>IF(AND(G858&gt;0,H858&gt;0),ROUND((1-H858/G858)*100,0),0)</f>
        <v>0</v>
      </c>
      <c r="J858" s="34" t="s">
        <v>28</v>
      </c>
      <c r="K858" s="12" t="s">
        <v>1888</v>
      </c>
      <c r="L858" s="8" t="s">
        <v>26</v>
      </c>
    </row>
    <row r="859" ht="20" customHeight="1" spans="1:12" x14ac:dyDescent="0.25">
      <c r="A859" s="28" t="s">
        <v>3055</v>
      </c>
      <c r="B859" s="28" t="s">
        <v>1824</v>
      </c>
      <c r="C859" s="24">
        <f>IF(B859&lt;&gt;"",IFERROR(VLOOKUP(B859,'📦 Productos'!A:C,3,FALSE),IFERROR(VLOOKUP(B859&amp;"",'📦 Productos'!A:C,3,FALSE),IFERROR(VLOOKUP(VALUE(B859),'📦 Productos'!A:C,3,FALSE),""))),"")</f>
      </c>
      <c r="D859" s="28" t="s">
        <v>1825</v>
      </c>
      <c r="E859" s="29" t="s">
        <v>26</v>
      </c>
      <c r="F859" s="30">
        <v>0</v>
      </c>
      <c r="G859" s="31">
        <v>0</v>
      </c>
      <c r="H859" s="32"/>
      <c r="I859" s="14">
        <f>IF(AND(G859&gt;0,H859&gt;0),ROUND((1-H859/G859)*100,0),0)</f>
        <v>0</v>
      </c>
      <c r="J859" s="35" t="s">
        <v>28</v>
      </c>
      <c r="K859" s="30" t="s">
        <v>1888</v>
      </c>
      <c r="L859" s="29" t="s">
        <v>26</v>
      </c>
    </row>
    <row r="860" ht="20" customHeight="1" spans="1:12" x14ac:dyDescent="0.25">
      <c r="A860" s="7" t="s">
        <v>3056</v>
      </c>
      <c r="B860" s="7" t="s">
        <v>1827</v>
      </c>
      <c r="C860" s="24">
        <f>IF(B860&lt;&gt;"",IFERROR(VLOOKUP(B860,'📦 Productos'!A:C,3,FALSE),IFERROR(VLOOKUP(B860&amp;"",'📦 Productos'!A:C,3,FALSE),IFERROR(VLOOKUP(VALUE(B860),'📦 Productos'!A:C,3,FALSE),""))),"")</f>
      </c>
      <c r="D860" s="7" t="s">
        <v>1828</v>
      </c>
      <c r="E860" s="8" t="s">
        <v>26</v>
      </c>
      <c r="F860" s="12">
        <v>0</v>
      </c>
      <c r="G860" s="25">
        <v>0</v>
      </c>
      <c r="H860" s="26"/>
      <c r="I860" s="14">
        <f>IF(AND(G860&gt;0,H860&gt;0),ROUND((1-H860/G860)*100,0),0)</f>
        <v>0</v>
      </c>
      <c r="J860" s="34" t="s">
        <v>28</v>
      </c>
      <c r="K860" s="12" t="s">
        <v>1888</v>
      </c>
      <c r="L860" s="8" t="s">
        <v>26</v>
      </c>
    </row>
    <row r="861" ht="20" customHeight="1" spans="1:12" x14ac:dyDescent="0.25">
      <c r="A861" s="28" t="s">
        <v>3057</v>
      </c>
      <c r="B861" s="28" t="s">
        <v>1830</v>
      </c>
      <c r="C861" s="24">
        <f>IF(B861&lt;&gt;"",IFERROR(VLOOKUP(B861,'📦 Productos'!A:C,3,FALSE),IFERROR(VLOOKUP(B861&amp;"",'📦 Productos'!A:C,3,FALSE),IFERROR(VLOOKUP(VALUE(B861),'📦 Productos'!A:C,3,FALSE),""))),"")</f>
      </c>
      <c r="D861" s="28" t="s">
        <v>1831</v>
      </c>
      <c r="E861" s="29" t="s">
        <v>26</v>
      </c>
      <c r="F861" s="30">
        <v>0</v>
      </c>
      <c r="G861" s="31">
        <v>0</v>
      </c>
      <c r="H861" s="32"/>
      <c r="I861" s="14">
        <f>IF(AND(G861&gt;0,H861&gt;0),ROUND((1-H861/G861)*100,0),0)</f>
        <v>0</v>
      </c>
      <c r="J861" s="35" t="s">
        <v>28</v>
      </c>
      <c r="K861" s="30" t="s">
        <v>1888</v>
      </c>
      <c r="L861" s="29" t="s">
        <v>26</v>
      </c>
    </row>
    <row r="862" ht="20" customHeight="1" spans="1:12" x14ac:dyDescent="0.25">
      <c r="A862" s="7" t="s">
        <v>3058</v>
      </c>
      <c r="B862" s="7" t="s">
        <v>1833</v>
      </c>
      <c r="C862" s="24">
        <f>IF(B862&lt;&gt;"",IFERROR(VLOOKUP(B862,'📦 Productos'!A:C,3,FALSE),IFERROR(VLOOKUP(B862&amp;"",'📦 Productos'!A:C,3,FALSE),IFERROR(VLOOKUP(VALUE(B862),'📦 Productos'!A:C,3,FALSE),""))),"")</f>
      </c>
      <c r="D862" s="7" t="s">
        <v>1834</v>
      </c>
      <c r="E862" s="8" t="s">
        <v>26</v>
      </c>
      <c r="F862" s="12">
        <v>0</v>
      </c>
      <c r="G862" s="25">
        <v>0</v>
      </c>
      <c r="H862" s="26"/>
      <c r="I862" s="14">
        <f>IF(AND(G862&gt;0,H862&gt;0),ROUND((1-H862/G862)*100,0),0)</f>
        <v>0</v>
      </c>
      <c r="J862" s="34" t="s">
        <v>28</v>
      </c>
      <c r="K862" s="12" t="s">
        <v>1888</v>
      </c>
      <c r="L862" s="8" t="s">
        <v>26</v>
      </c>
    </row>
    <row r="863" ht="20" customHeight="1" spans="1:12" x14ac:dyDescent="0.25">
      <c r="A863" s="28" t="s">
        <v>3059</v>
      </c>
      <c r="B863" s="28" t="s">
        <v>1836</v>
      </c>
      <c r="C863" s="24">
        <f>IF(B863&lt;&gt;"",IFERROR(VLOOKUP(B863,'📦 Productos'!A:C,3,FALSE),IFERROR(VLOOKUP(B863&amp;"",'📦 Productos'!A:C,3,FALSE),IFERROR(VLOOKUP(VALUE(B863),'📦 Productos'!A:C,3,FALSE),""))),"")</f>
      </c>
      <c r="D863" s="28" t="s">
        <v>1837</v>
      </c>
      <c r="E863" s="29" t="s">
        <v>26</v>
      </c>
      <c r="F863" s="30">
        <v>0</v>
      </c>
      <c r="G863" s="31">
        <v>0</v>
      </c>
      <c r="H863" s="32"/>
      <c r="I863" s="14">
        <f>IF(AND(G863&gt;0,H863&gt;0),ROUND((1-H863/G863)*100,0),0)</f>
        <v>0</v>
      </c>
      <c r="J863" s="35" t="s">
        <v>28</v>
      </c>
      <c r="K863" s="30" t="s">
        <v>1888</v>
      </c>
      <c r="L863" s="29" t="s">
        <v>26</v>
      </c>
    </row>
    <row r="864" ht="20" customHeight="1" spans="1:12" x14ac:dyDescent="0.25">
      <c r="A864" s="7" t="s">
        <v>3060</v>
      </c>
      <c r="B864" s="7" t="s">
        <v>1839</v>
      </c>
      <c r="C864" s="24">
        <f>IF(B864&lt;&gt;"",IFERROR(VLOOKUP(B864,'📦 Productos'!A:C,3,FALSE),IFERROR(VLOOKUP(B864&amp;"",'📦 Productos'!A:C,3,FALSE),IFERROR(VLOOKUP(VALUE(B864),'📦 Productos'!A:C,3,FALSE),""))),"")</f>
      </c>
      <c r="D864" s="7" t="s">
        <v>1840</v>
      </c>
      <c r="E864" s="8" t="s">
        <v>26</v>
      </c>
      <c r="F864" s="12">
        <v>0</v>
      </c>
      <c r="G864" s="25">
        <v>0</v>
      </c>
      <c r="H864" s="26"/>
      <c r="I864" s="14">
        <f>IF(AND(G864&gt;0,H864&gt;0),ROUND((1-H864/G864)*100,0),0)</f>
        <v>0</v>
      </c>
      <c r="J864" s="34" t="s">
        <v>28</v>
      </c>
      <c r="K864" s="12" t="s">
        <v>1888</v>
      </c>
      <c r="L864" s="8" t="s">
        <v>26</v>
      </c>
    </row>
    <row r="865" ht="20" customHeight="1" spans="1:12" x14ac:dyDescent="0.25">
      <c r="A865" s="28" t="s">
        <v>3061</v>
      </c>
      <c r="B865" s="28" t="s">
        <v>1842</v>
      </c>
      <c r="C865" s="24">
        <f>IF(B865&lt;&gt;"",IFERROR(VLOOKUP(B865,'📦 Productos'!A:C,3,FALSE),IFERROR(VLOOKUP(B865&amp;"",'📦 Productos'!A:C,3,FALSE),IFERROR(VLOOKUP(VALUE(B865),'📦 Productos'!A:C,3,FALSE),""))),"")</f>
      </c>
      <c r="D865" s="28" t="s">
        <v>1843</v>
      </c>
      <c r="E865" s="29" t="s">
        <v>26</v>
      </c>
      <c r="F865" s="30">
        <v>0</v>
      </c>
      <c r="G865" s="31">
        <v>0</v>
      </c>
      <c r="H865" s="32"/>
      <c r="I865" s="14">
        <f>IF(AND(G865&gt;0,H865&gt;0),ROUND((1-H865/G865)*100,0),0)</f>
        <v>0</v>
      </c>
      <c r="J865" s="35" t="s">
        <v>28</v>
      </c>
      <c r="K865" s="30" t="s">
        <v>1888</v>
      </c>
      <c r="L865" s="29" t="s">
        <v>26</v>
      </c>
    </row>
    <row r="866" ht="20" customHeight="1" spans="1:12" x14ac:dyDescent="0.25">
      <c r="A866" s="7" t="s">
        <v>3062</v>
      </c>
      <c r="B866" s="7" t="s">
        <v>1845</v>
      </c>
      <c r="C866" s="24">
        <f>IF(B866&lt;&gt;"",IFERROR(VLOOKUP(B866,'📦 Productos'!A:C,3,FALSE),IFERROR(VLOOKUP(B866&amp;"",'📦 Productos'!A:C,3,FALSE),IFERROR(VLOOKUP(VALUE(B866),'📦 Productos'!A:C,3,FALSE),""))),"")</f>
      </c>
      <c r="D866" s="7" t="s">
        <v>1846</v>
      </c>
      <c r="E866" s="8" t="s">
        <v>26</v>
      </c>
      <c r="F866" s="12">
        <v>0</v>
      </c>
      <c r="G866" s="25">
        <v>0</v>
      </c>
      <c r="H866" s="26"/>
      <c r="I866" s="14">
        <f>IF(AND(G866&gt;0,H866&gt;0),ROUND((1-H866/G866)*100,0),0)</f>
        <v>0</v>
      </c>
      <c r="J866" s="34" t="s">
        <v>28</v>
      </c>
      <c r="K866" s="12" t="s">
        <v>1888</v>
      </c>
      <c r="L866" s="8" t="s">
        <v>26</v>
      </c>
    </row>
    <row r="867" ht="20" customHeight="1" spans="1:12" x14ac:dyDescent="0.25">
      <c r="A867" s="28" t="s">
        <v>3063</v>
      </c>
      <c r="B867" s="28" t="s">
        <v>1848</v>
      </c>
      <c r="C867" s="24">
        <f>IF(B867&lt;&gt;"",IFERROR(VLOOKUP(B867,'📦 Productos'!A:C,3,FALSE),IFERROR(VLOOKUP(B867&amp;"",'📦 Productos'!A:C,3,FALSE),IFERROR(VLOOKUP(VALUE(B867),'📦 Productos'!A:C,3,FALSE),""))),"")</f>
      </c>
      <c r="D867" s="28" t="s">
        <v>1849</v>
      </c>
      <c r="E867" s="29" t="s">
        <v>26</v>
      </c>
      <c r="F867" s="30">
        <v>0</v>
      </c>
      <c r="G867" s="31">
        <v>0</v>
      </c>
      <c r="H867" s="32"/>
      <c r="I867" s="14">
        <f>IF(AND(G867&gt;0,H867&gt;0),ROUND((1-H867/G867)*100,0),0)</f>
        <v>0</v>
      </c>
      <c r="J867" s="35" t="s">
        <v>28</v>
      </c>
      <c r="K867" s="30" t="s">
        <v>1888</v>
      </c>
      <c r="L867" s="29" t="s">
        <v>26</v>
      </c>
    </row>
    <row r="868" ht="20" customHeight="1" spans="1:12" x14ac:dyDescent="0.25">
      <c r="A868" s="7" t="s">
        <v>3064</v>
      </c>
      <c r="B868" s="7" t="s">
        <v>1851</v>
      </c>
      <c r="C868" s="24">
        <f>IF(B868&lt;&gt;"",IFERROR(VLOOKUP(B868,'📦 Productos'!A:C,3,FALSE),IFERROR(VLOOKUP(B868&amp;"",'📦 Productos'!A:C,3,FALSE),IFERROR(VLOOKUP(VALUE(B868),'📦 Productos'!A:C,3,FALSE),""))),"")</f>
      </c>
      <c r="D868" s="7" t="s">
        <v>1852</v>
      </c>
      <c r="E868" s="8" t="s">
        <v>26</v>
      </c>
      <c r="F868" s="12">
        <v>0</v>
      </c>
      <c r="G868" s="25">
        <v>0</v>
      </c>
      <c r="H868" s="26"/>
      <c r="I868" s="14">
        <f>IF(AND(G868&gt;0,H868&gt;0),ROUND((1-H868/G868)*100,0),0)</f>
        <v>0</v>
      </c>
      <c r="J868" s="34" t="s">
        <v>28</v>
      </c>
      <c r="K868" s="12" t="s">
        <v>1888</v>
      </c>
      <c r="L868" s="8" t="s">
        <v>26</v>
      </c>
    </row>
    <row r="869" ht="20" customHeight="1" spans="1:12" x14ac:dyDescent="0.25">
      <c r="A869" s="28" t="s">
        <v>3065</v>
      </c>
      <c r="B869" s="28" t="s">
        <v>1854</v>
      </c>
      <c r="C869" s="24">
        <f>IF(B869&lt;&gt;"",IFERROR(VLOOKUP(B869,'📦 Productos'!A:C,3,FALSE),IFERROR(VLOOKUP(B869&amp;"",'📦 Productos'!A:C,3,FALSE),IFERROR(VLOOKUP(VALUE(B869),'📦 Productos'!A:C,3,FALSE),""))),"")</f>
      </c>
      <c r="D869" s="28" t="s">
        <v>1855</v>
      </c>
      <c r="E869" s="29" t="s">
        <v>26</v>
      </c>
      <c r="F869" s="30">
        <v>0</v>
      </c>
      <c r="G869" s="31">
        <v>0</v>
      </c>
      <c r="H869" s="32"/>
      <c r="I869" s="14">
        <f>IF(AND(G869&gt;0,H869&gt;0),ROUND((1-H869/G869)*100,0),0)</f>
        <v>0</v>
      </c>
      <c r="J869" s="35" t="s">
        <v>28</v>
      </c>
      <c r="K869" s="30" t="s">
        <v>1888</v>
      </c>
      <c r="L869" s="29" t="s">
        <v>26</v>
      </c>
    </row>
    <row r="870" ht="20" customHeight="1" spans="1:12" x14ac:dyDescent="0.25">
      <c r="A870" s="7" t="s">
        <v>3066</v>
      </c>
      <c r="B870" s="7" t="s">
        <v>1857</v>
      </c>
      <c r="C870" s="24">
        <f>IF(B870&lt;&gt;"",IFERROR(VLOOKUP(B870,'📦 Productos'!A:C,3,FALSE),IFERROR(VLOOKUP(B870&amp;"",'📦 Productos'!A:C,3,FALSE),IFERROR(VLOOKUP(VALUE(B870),'📦 Productos'!A:C,3,FALSE),""))),"")</f>
      </c>
      <c r="D870" s="7" t="s">
        <v>1858</v>
      </c>
      <c r="E870" s="8" t="s">
        <v>26</v>
      </c>
      <c r="F870" s="12">
        <v>0</v>
      </c>
      <c r="G870" s="25">
        <v>0</v>
      </c>
      <c r="H870" s="26"/>
      <c r="I870" s="14">
        <f>IF(AND(G870&gt;0,H870&gt;0),ROUND((1-H870/G870)*100,0),0)</f>
        <v>0</v>
      </c>
      <c r="J870" s="34" t="s">
        <v>28</v>
      </c>
      <c r="K870" s="12" t="s">
        <v>1888</v>
      </c>
      <c r="L870" s="8" t="s">
        <v>26</v>
      </c>
    </row>
    <row r="871" ht="20" customHeight="1" spans="1:12" x14ac:dyDescent="0.25">
      <c r="A871" s="28" t="s">
        <v>3067</v>
      </c>
      <c r="B871" s="28" t="s">
        <v>1860</v>
      </c>
      <c r="C871" s="24">
        <f>IF(B871&lt;&gt;"",IFERROR(VLOOKUP(B871,'📦 Productos'!A:C,3,FALSE),IFERROR(VLOOKUP(B871&amp;"",'📦 Productos'!A:C,3,FALSE),IFERROR(VLOOKUP(VALUE(B871),'📦 Productos'!A:C,3,FALSE),""))),"")</f>
      </c>
      <c r="D871" s="28" t="s">
        <v>1861</v>
      </c>
      <c r="E871" s="29" t="s">
        <v>26</v>
      </c>
      <c r="F871" s="30">
        <v>0</v>
      </c>
      <c r="G871" s="31">
        <v>0</v>
      </c>
      <c r="H871" s="32"/>
      <c r="I871" s="14">
        <f>IF(AND(G871&gt;0,H871&gt;0),ROUND((1-H871/G871)*100,0),0)</f>
        <v>0</v>
      </c>
      <c r="J871" s="35" t="s">
        <v>28</v>
      </c>
      <c r="K871" s="30" t="s">
        <v>1888</v>
      </c>
      <c r="L871" s="29" t="s">
        <v>26</v>
      </c>
    </row>
    <row r="872" ht="20" customHeight="1" spans="1:12" x14ac:dyDescent="0.25">
      <c r="A872" s="7" t="s">
        <v>3068</v>
      </c>
      <c r="B872" s="7" t="s">
        <v>1863</v>
      </c>
      <c r="C872" s="24">
        <f>IF(B872&lt;&gt;"",IFERROR(VLOOKUP(B872,'📦 Productos'!A:C,3,FALSE),IFERROR(VLOOKUP(B872&amp;"",'📦 Productos'!A:C,3,FALSE),IFERROR(VLOOKUP(VALUE(B872),'📦 Productos'!A:C,3,FALSE),""))),"")</f>
      </c>
      <c r="D872" s="7" t="s">
        <v>1864</v>
      </c>
      <c r="E872" s="8" t="s">
        <v>26</v>
      </c>
      <c r="F872" s="12">
        <v>0</v>
      </c>
      <c r="G872" s="25">
        <v>0</v>
      </c>
      <c r="H872" s="26"/>
      <c r="I872" s="14">
        <f>IF(AND(G872&gt;0,H872&gt;0),ROUND((1-H872/G872)*100,0),0)</f>
        <v>0</v>
      </c>
      <c r="J872" s="34" t="s">
        <v>28</v>
      </c>
      <c r="K872" s="12" t="s">
        <v>1888</v>
      </c>
      <c r="L872" s="8" t="s">
        <v>26</v>
      </c>
    </row>
    <row r="873" ht="20" customHeight="1" spans="1:12" x14ac:dyDescent="0.25">
      <c r="A873" s="28" t="s">
        <v>3069</v>
      </c>
      <c r="B873" s="28" t="s">
        <v>1866</v>
      </c>
      <c r="C873" s="24">
        <f>IF(B873&lt;&gt;"",IFERROR(VLOOKUP(B873,'📦 Productos'!A:C,3,FALSE),IFERROR(VLOOKUP(B873&amp;"",'📦 Productos'!A:C,3,FALSE),IFERROR(VLOOKUP(VALUE(B873),'📦 Productos'!A:C,3,FALSE),""))),"")</f>
      </c>
      <c r="D873" s="28" t="s">
        <v>1867</v>
      </c>
      <c r="E873" s="29" t="s">
        <v>26</v>
      </c>
      <c r="F873" s="30">
        <v>0</v>
      </c>
      <c r="G873" s="31">
        <v>0</v>
      </c>
      <c r="H873" s="32"/>
      <c r="I873" s="14">
        <f>IF(AND(G873&gt;0,H873&gt;0),ROUND((1-H873/G873)*100,0),0)</f>
        <v>0</v>
      </c>
      <c r="J873" s="35" t="s">
        <v>28</v>
      </c>
      <c r="K873" s="30" t="s">
        <v>1888</v>
      </c>
      <c r="L873" s="29" t="s">
        <v>26</v>
      </c>
    </row>
    <row r="874" ht="20" customHeight="1" spans="1:12" x14ac:dyDescent="0.25">
      <c r="A874" s="7" t="s">
        <v>3070</v>
      </c>
      <c r="B874" s="7" t="s">
        <v>1869</v>
      </c>
      <c r="C874" s="24">
        <f>IF(B874&lt;&gt;"",IFERROR(VLOOKUP(B874,'📦 Productos'!A:C,3,FALSE),IFERROR(VLOOKUP(B874&amp;"",'📦 Productos'!A:C,3,FALSE),IFERROR(VLOOKUP(VALUE(B874),'📦 Productos'!A:C,3,FALSE),""))),"")</f>
      </c>
      <c r="D874" s="7" t="s">
        <v>1870</v>
      </c>
      <c r="E874" s="8" t="s">
        <v>26</v>
      </c>
      <c r="F874" s="12">
        <v>0</v>
      </c>
      <c r="G874" s="25">
        <v>0</v>
      </c>
      <c r="H874" s="26"/>
      <c r="I874" s="14">
        <f>IF(AND(G874&gt;0,H874&gt;0),ROUND((1-H874/G874)*100,0),0)</f>
        <v>0</v>
      </c>
      <c r="J874" s="34" t="s">
        <v>28</v>
      </c>
      <c r="K874" s="12" t="s">
        <v>1888</v>
      </c>
      <c r="L874" s="8" t="s">
        <v>26</v>
      </c>
    </row>
    <row r="875" ht="20" customHeight="1" spans="1:12" x14ac:dyDescent="0.25">
      <c r="A875" s="28" t="s">
        <v>3071</v>
      </c>
      <c r="B875" s="28" t="s">
        <v>1872</v>
      </c>
      <c r="C875" s="24">
        <f>IF(B875&lt;&gt;"",IFERROR(VLOOKUP(B875,'📦 Productos'!A:C,3,FALSE),IFERROR(VLOOKUP(B875&amp;"",'📦 Productos'!A:C,3,FALSE),IFERROR(VLOOKUP(VALUE(B875),'📦 Productos'!A:C,3,FALSE),""))),"")</f>
      </c>
      <c r="D875" s="28" t="s">
        <v>1873</v>
      </c>
      <c r="E875" s="29" t="s">
        <v>26</v>
      </c>
      <c r="F875" s="30">
        <v>0</v>
      </c>
      <c r="G875" s="31">
        <v>0</v>
      </c>
      <c r="H875" s="32"/>
      <c r="I875" s="14">
        <f>IF(AND(G875&gt;0,H875&gt;0),ROUND((1-H875/G875)*100,0),0)</f>
        <v>0</v>
      </c>
      <c r="J875" s="35" t="s">
        <v>28</v>
      </c>
      <c r="K875" s="30" t="s">
        <v>1888</v>
      </c>
      <c r="L875" s="29" t="s">
        <v>26</v>
      </c>
    </row>
    <row r="876" ht="20" customHeight="1" spans="1:12" x14ac:dyDescent="0.25">
      <c r="A876" s="7" t="s">
        <v>3072</v>
      </c>
      <c r="B876" s="7" t="s">
        <v>1875</v>
      </c>
      <c r="C876" s="24">
        <f>IF(B876&lt;&gt;"",IFERROR(VLOOKUP(B876,'📦 Productos'!A:C,3,FALSE),IFERROR(VLOOKUP(B876&amp;"",'📦 Productos'!A:C,3,FALSE),IFERROR(VLOOKUP(VALUE(B876),'📦 Productos'!A:C,3,FALSE),""))),"")</f>
      </c>
      <c r="D876" s="7" t="s">
        <v>1876</v>
      </c>
      <c r="E876" s="8" t="s">
        <v>26</v>
      </c>
      <c r="F876" s="12">
        <v>0</v>
      </c>
      <c r="G876" s="25">
        <v>0</v>
      </c>
      <c r="H876" s="26"/>
      <c r="I876" s="14">
        <f>IF(AND(G876&gt;0,H876&gt;0),ROUND((1-H876/G876)*100,0),0)</f>
        <v>0</v>
      </c>
      <c r="J876" s="34" t="s">
        <v>28</v>
      </c>
      <c r="K876" s="12" t="s">
        <v>1888</v>
      </c>
      <c r="L876" s="8" t="s">
        <v>26</v>
      </c>
    </row>
  </sheetData>
  <mergeCells count="2">
    <mergeCell ref="A1:L1"/>
    <mergeCell ref="A2:L2"/>
  </mergeCells>
  <dataValidations count="2">
    <dataValidation type="list" allowBlank="1" sqref="J4:J1176">
      <formula1>Listas!$F$2:$F$3</formula1>
    </dataValidation>
    <dataValidation type="list" allowBlank="1" sqref="L4:L1176">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3073</v>
      </c>
      <c r="B1" t="s">
        <v>3074</v>
      </c>
      <c r="C1" t="s">
        <v>3075</v>
      </c>
      <c r="D1" t="s">
        <v>3076</v>
      </c>
      <c r="E1" t="s">
        <v>3077</v>
      </c>
      <c r="F1" t="s">
        <v>3078</v>
      </c>
    </row>
    <row r="2" spans="1:6" x14ac:dyDescent="0.25">
      <c r="A2" t="s">
        <v>24</v>
      </c>
      <c r="B2" t="s">
        <v>3079</v>
      </c>
      <c r="C2" t="s">
        <v>25</v>
      </c>
      <c r="D2" t="s">
        <v>3080</v>
      </c>
      <c r="E2" t="s">
        <v>3081</v>
      </c>
      <c r="F2" t="s">
        <v>29</v>
      </c>
    </row>
    <row r="3" spans="1:6" x14ac:dyDescent="0.25">
      <c r="A3" t="s">
        <v>3082</v>
      </c>
      <c r="B3" t="s">
        <v>3083</v>
      </c>
      <c r="C3" t="s">
        <v>200</v>
      </c>
      <c r="D3" t="s">
        <v>3084</v>
      </c>
      <c r="E3" t="s">
        <v>3085</v>
      </c>
      <c r="F3" t="s">
        <v>28</v>
      </c>
    </row>
    <row r="4" spans="2:5" x14ac:dyDescent="0.25">
      <c r="B4" t="s">
        <v>25</v>
      </c>
      <c r="C4" t="s">
        <v>3083</v>
      </c>
      <c r="D4" t="s">
        <v>3086</v>
      </c>
      <c r="E4" t="s">
        <v>3087</v>
      </c>
    </row>
    <row r="5" spans="2:5" x14ac:dyDescent="0.25">
      <c r="B5" t="s">
        <v>200</v>
      </c>
      <c r="C5" t="s">
        <v>274</v>
      </c>
      <c r="D5" t="s">
        <v>3088</v>
      </c>
      <c r="E5" t="s">
        <v>3089</v>
      </c>
    </row>
    <row r="6" spans="2:5" x14ac:dyDescent="0.25">
      <c r="B6" t="s">
        <v>274</v>
      </c>
      <c r="C6" t="s">
        <v>3090</v>
      </c>
      <c r="D6" t="s">
        <v>3091</v>
      </c>
      <c r="E6" t="s">
        <v>3092</v>
      </c>
    </row>
    <row r="7" spans="2:5" x14ac:dyDescent="0.25">
      <c r="B7" t="s">
        <v>3093</v>
      </c>
      <c r="C7" t="s">
        <v>3094</v>
      </c>
      <c r="D7" t="s">
        <v>3095</v>
      </c>
      <c r="E7" t="s">
        <v>3096</v>
      </c>
    </row>
    <row r="8" spans="2:5" x14ac:dyDescent="0.25">
      <c r="B8" t="s">
        <v>3094</v>
      </c>
      <c r="C8" t="s">
        <v>3097</v>
      </c>
      <c r="D8" t="s">
        <v>3098</v>
      </c>
      <c r="E8" t="s">
        <v>3099</v>
      </c>
    </row>
    <row r="9" spans="2:5" x14ac:dyDescent="0.25">
      <c r="B9" t="s">
        <v>3100</v>
      </c>
      <c r="C9" t="s">
        <v>3101</v>
      </c>
      <c r="D9" t="s">
        <v>3102</v>
      </c>
      <c r="E9" t="s">
        <v>3103</v>
      </c>
    </row>
    <row r="10" spans="2:5" x14ac:dyDescent="0.25">
      <c r="B10" t="s">
        <v>3104</v>
      </c>
      <c r="C10" t="s">
        <v>3105</v>
      </c>
      <c r="D10" t="s">
        <v>3106</v>
      </c>
      <c r="E10" t="s">
        <v>3107</v>
      </c>
    </row>
    <row r="11" spans="3:5" x14ac:dyDescent="0.25">
      <c r="C11" t="s">
        <v>578</v>
      </c>
      <c r="D11" t="s">
        <v>3108</v>
      </c>
      <c r="E11" t="s">
        <v>3109</v>
      </c>
    </row>
    <row r="12" spans="3:5" x14ac:dyDescent="0.25">
      <c r="C12" t="s">
        <v>3110</v>
      </c>
      <c r="D12" t="s">
        <v>3111</v>
      </c>
      <c r="E12" t="s">
        <v>3112</v>
      </c>
    </row>
    <row r="13" spans="3:5" x14ac:dyDescent="0.25">
      <c r="C13" t="s">
        <v>3113</v>
      </c>
      <c r="D13" t="s">
        <v>3114</v>
      </c>
      <c r="E13" t="s">
        <v>3115</v>
      </c>
    </row>
    <row r="14" spans="3:5" x14ac:dyDescent="0.25">
      <c r="C14" t="s">
        <v>3116</v>
      </c>
      <c r="D14" t="s">
        <v>3117</v>
      </c>
      <c r="E14" t="s">
        <v>3118</v>
      </c>
    </row>
    <row r="15" spans="3:5" x14ac:dyDescent="0.25">
      <c r="C15" t="s">
        <v>3119</v>
      </c>
      <c r="D15" t="s">
        <v>3120</v>
      </c>
      <c r="E15" t="s">
        <v>3121</v>
      </c>
    </row>
    <row r="16" spans="3:5" x14ac:dyDescent="0.25">
      <c r="C16" t="s">
        <v>3122</v>
      </c>
      <c r="D16" t="s">
        <v>3123</v>
      </c>
      <c r="E16" t="s">
        <v>3124</v>
      </c>
    </row>
    <row r="17" spans="3:5" x14ac:dyDescent="0.25">
      <c r="C17" t="s">
        <v>3098</v>
      </c>
      <c r="D17" t="s">
        <v>3125</v>
      </c>
      <c r="E17" t="s">
        <v>3126</v>
      </c>
    </row>
    <row r="18" spans="3:5" x14ac:dyDescent="0.25">
      <c r="C18" t="s">
        <v>3127</v>
      </c>
      <c r="D18" t="s">
        <v>548</v>
      </c>
      <c r="E18" t="s">
        <v>3128</v>
      </c>
    </row>
    <row r="19" spans="3:5" x14ac:dyDescent="0.25">
      <c r="C19" t="s">
        <v>3129</v>
      </c>
      <c r="D19" t="s">
        <v>553</v>
      </c>
      <c r="E19" t="s">
        <v>3130</v>
      </c>
    </row>
    <row r="20" spans="3:5" x14ac:dyDescent="0.25">
      <c r="C20" t="s">
        <v>3131</v>
      </c>
      <c r="D20" t="s">
        <v>3132</v>
      </c>
      <c r="E20" t="s">
        <v>3133</v>
      </c>
    </row>
    <row r="21" spans="3:5" x14ac:dyDescent="0.25">
      <c r="C21" t="s">
        <v>3134</v>
      </c>
      <c r="D21" t="s">
        <v>3135</v>
      </c>
      <c r="E21" t="s">
        <v>3136</v>
      </c>
    </row>
    <row r="22" spans="3:4" x14ac:dyDescent="0.25">
      <c r="C22" t="s">
        <v>3137</v>
      </c>
      <c r="D22" t="s">
        <v>3138</v>
      </c>
    </row>
    <row r="23" spans="3:4" x14ac:dyDescent="0.25">
      <c r="C23" t="s">
        <v>3139</v>
      </c>
      <c r="D23" t="s">
        <v>3140</v>
      </c>
    </row>
    <row r="24" spans="3:4" x14ac:dyDescent="0.25">
      <c r="C24" t="s">
        <v>3141</v>
      </c>
      <c r="D24" t="s">
        <v>3142</v>
      </c>
    </row>
    <row r="25" spans="3:4" x14ac:dyDescent="0.25">
      <c r="C25" t="s">
        <v>3143</v>
      </c>
      <c r="D25" t="s">
        <v>3144</v>
      </c>
    </row>
    <row r="26" spans="3:4" x14ac:dyDescent="0.25">
      <c r="C26" t="s">
        <v>275</v>
      </c>
      <c r="D26" t="s">
        <v>3145</v>
      </c>
    </row>
    <row r="27" spans="3:4" x14ac:dyDescent="0.25">
      <c r="C27" t="s">
        <v>3146</v>
      </c>
      <c r="D27" t="s">
        <v>3147</v>
      </c>
    </row>
    <row r="28" spans="3:4" x14ac:dyDescent="0.25">
      <c r="C28" t="s">
        <v>3148</v>
      </c>
      <c r="D28" t="s">
        <v>3149</v>
      </c>
    </row>
    <row r="29" spans="3:4" x14ac:dyDescent="0.25">
      <c r="C29" t="s">
        <v>3150</v>
      </c>
      <c r="D29" t="s">
        <v>3151</v>
      </c>
    </row>
    <row r="30" spans="3:4" x14ac:dyDescent="0.25">
      <c r="C30" t="s">
        <v>3152</v>
      </c>
      <c r="D30" t="s">
        <v>3153</v>
      </c>
    </row>
    <row r="31" spans="3:4" x14ac:dyDescent="0.25">
      <c r="C31" t="s">
        <v>3154</v>
      </c>
      <c r="D31" t="s">
        <v>3155</v>
      </c>
    </row>
    <row r="32" spans="3:4" x14ac:dyDescent="0.25">
      <c r="C32" t="s">
        <v>3156</v>
      </c>
      <c r="D32" t="s">
        <v>3157</v>
      </c>
    </row>
    <row r="33" spans="3:4" x14ac:dyDescent="0.25">
      <c r="C33" t="s">
        <v>3158</v>
      </c>
      <c r="D33" t="s">
        <v>3159</v>
      </c>
    </row>
    <row r="34" spans="3:4" x14ac:dyDescent="0.25">
      <c r="C34" t="s">
        <v>3160</v>
      </c>
      <c r="D34" t="s">
        <v>3161</v>
      </c>
    </row>
    <row r="35" spans="3:4" x14ac:dyDescent="0.25">
      <c r="C35" t="s">
        <v>3162</v>
      </c>
      <c r="D35" t="s">
        <v>3163</v>
      </c>
    </row>
    <row r="36" spans="3:4" x14ac:dyDescent="0.25">
      <c r="C36" t="s">
        <v>3164</v>
      </c>
      <c r="D36" t="s">
        <v>3165</v>
      </c>
    </row>
    <row r="37" spans="3:4" x14ac:dyDescent="0.25">
      <c r="C37" t="s">
        <v>3166</v>
      </c>
      <c r="D37" t="s">
        <v>3167</v>
      </c>
    </row>
    <row r="38" spans="3:4" x14ac:dyDescent="0.25">
      <c r="C38" t="s">
        <v>3168</v>
      </c>
      <c r="D38" t="s">
        <v>3169</v>
      </c>
    </row>
    <row r="39" spans="3:4" x14ac:dyDescent="0.25">
      <c r="C39" t="s">
        <v>3170</v>
      </c>
      <c r="D39" t="s">
        <v>3171</v>
      </c>
    </row>
    <row r="40" spans="3:4" x14ac:dyDescent="0.25">
      <c r="C40" t="s">
        <v>3172</v>
      </c>
      <c r="D40" t="s">
        <v>3173</v>
      </c>
    </row>
    <row r="41" spans="3:4" x14ac:dyDescent="0.25">
      <c r="C41" t="s">
        <v>3174</v>
      </c>
      <c r="D41" t="s">
        <v>3175</v>
      </c>
    </row>
    <row r="42" spans="3:4" x14ac:dyDescent="0.25">
      <c r="C42" t="s">
        <v>3176</v>
      </c>
      <c r="D42" t="s">
        <v>3177</v>
      </c>
    </row>
    <row r="43" spans="3:4" x14ac:dyDescent="0.25">
      <c r="C43" t="s">
        <v>3178</v>
      </c>
      <c r="D43" t="s">
        <v>3179</v>
      </c>
    </row>
    <row r="44" spans="3:4" x14ac:dyDescent="0.25">
      <c r="C44" t="s">
        <v>3180</v>
      </c>
      <c r="D44" t="s">
        <v>3181</v>
      </c>
    </row>
    <row r="45" spans="4:4" x14ac:dyDescent="0.25">
      <c r="D45" t="s">
        <v>3182</v>
      </c>
    </row>
    <row r="46" spans="4:4" x14ac:dyDescent="0.25">
      <c r="D46" t="s">
        <v>3183</v>
      </c>
    </row>
    <row r="47" spans="4:4" x14ac:dyDescent="0.25">
      <c r="D47" t="s">
        <v>3184</v>
      </c>
    </row>
    <row r="48" spans="4:4" x14ac:dyDescent="0.25">
      <c r="D48" t="s">
        <v>3185</v>
      </c>
    </row>
    <row r="49" spans="4:4" x14ac:dyDescent="0.25">
      <c r="D49" t="s">
        <v>3186</v>
      </c>
    </row>
    <row r="50" spans="4:4" x14ac:dyDescent="0.25">
      <c r="D50" t="s">
        <v>3187</v>
      </c>
    </row>
    <row r="51" spans="4:4" x14ac:dyDescent="0.25">
      <c r="D51" t="s">
        <v>275</v>
      </c>
    </row>
    <row r="52" spans="4:4" x14ac:dyDescent="0.25">
      <c r="D52" t="s">
        <v>3188</v>
      </c>
    </row>
    <row r="53" spans="4:4" x14ac:dyDescent="0.25">
      <c r="D53" t="s">
        <v>3189</v>
      </c>
    </row>
    <row r="54" spans="4:4" x14ac:dyDescent="0.25">
      <c r="D54" t="s">
        <v>3190</v>
      </c>
    </row>
    <row r="55" spans="4:4" x14ac:dyDescent="0.25">
      <c r="D55" t="s">
        <v>3191</v>
      </c>
    </row>
    <row r="56" spans="4:4" x14ac:dyDescent="0.25">
      <c r="D56" t="s">
        <v>3192</v>
      </c>
    </row>
    <row r="57" spans="4:4" x14ac:dyDescent="0.25">
      <c r="D57" t="s">
        <v>3193</v>
      </c>
    </row>
    <row r="58" spans="4:4" x14ac:dyDescent="0.25">
      <c r="D58" t="s">
        <v>3194</v>
      </c>
    </row>
    <row r="59" spans="4:4" x14ac:dyDescent="0.25">
      <c r="D59" t="s">
        <v>3195</v>
      </c>
    </row>
    <row r="60" spans="4:4" x14ac:dyDescent="0.25">
      <c r="D60" t="s">
        <v>3196</v>
      </c>
    </row>
    <row r="61" spans="4:4" x14ac:dyDescent="0.25">
      <c r="D61" t="s">
        <v>3197</v>
      </c>
    </row>
    <row r="62" spans="4:4" x14ac:dyDescent="0.25">
      <c r="D62" t="s">
        <v>3198</v>
      </c>
    </row>
    <row r="63" spans="4:4" x14ac:dyDescent="0.25">
      <c r="D63" t="s">
        <v>3199</v>
      </c>
    </row>
    <row r="64" spans="4:4" x14ac:dyDescent="0.25">
      <c r="D64" t="s">
        <v>3200</v>
      </c>
    </row>
    <row r="65" spans="4:4" x14ac:dyDescent="0.25">
      <c r="D65" t="s">
        <v>3201</v>
      </c>
    </row>
    <row r="66" spans="4:4" x14ac:dyDescent="0.25">
      <c r="D66" t="s">
        <v>3202</v>
      </c>
    </row>
    <row r="67" spans="4:4" x14ac:dyDescent="0.25">
      <c r="D67" t="s">
        <v>3203</v>
      </c>
    </row>
    <row r="68" spans="4:4" x14ac:dyDescent="0.25">
      <c r="D68" t="s">
        <v>3204</v>
      </c>
    </row>
    <row r="69" spans="4:4" x14ac:dyDescent="0.25">
      <c r="D69" t="s">
        <v>3205</v>
      </c>
    </row>
    <row r="70" spans="4:4" x14ac:dyDescent="0.25">
      <c r="D70" t="s">
        <v>3206</v>
      </c>
    </row>
    <row r="71" spans="4:4" x14ac:dyDescent="0.25">
      <c r="D71" t="s">
        <v>3207</v>
      </c>
    </row>
    <row r="72" spans="4:4" x14ac:dyDescent="0.25">
      <c r="D72" t="s">
        <v>3208</v>
      </c>
    </row>
    <row r="73" spans="4:4" x14ac:dyDescent="0.25">
      <c r="D73" t="s">
        <v>3209</v>
      </c>
    </row>
    <row r="74" spans="4:4" x14ac:dyDescent="0.25">
      <c r="D74" t="s">
        <v>3210</v>
      </c>
    </row>
    <row r="75" spans="4:4" x14ac:dyDescent="0.25">
      <c r="D75" t="s">
        <v>3211</v>
      </c>
    </row>
    <row r="76" spans="4:4" x14ac:dyDescent="0.25">
      <c r="D76" t="s">
        <v>3212</v>
      </c>
    </row>
    <row r="77" spans="4:4" x14ac:dyDescent="0.25">
      <c r="D77" t="s">
        <v>3213</v>
      </c>
    </row>
    <row r="78" spans="4:4" x14ac:dyDescent="0.25">
      <c r="D78" t="s">
        <v>3214</v>
      </c>
    </row>
    <row r="79" spans="4:4" x14ac:dyDescent="0.25">
      <c r="D79" t="s">
        <v>3215</v>
      </c>
    </row>
    <row r="80" spans="4:4" x14ac:dyDescent="0.25">
      <c r="D80" t="s">
        <v>3216</v>
      </c>
    </row>
    <row r="81" spans="4:4" x14ac:dyDescent="0.25">
      <c r="D81" t="s">
        <v>3217</v>
      </c>
    </row>
    <row r="82" spans="4:4" x14ac:dyDescent="0.25">
      <c r="D82" t="s">
        <v>3218</v>
      </c>
    </row>
    <row r="83" spans="4:4" x14ac:dyDescent="0.25">
      <c r="D83" t="s">
        <v>3219</v>
      </c>
    </row>
    <row r="84" spans="4:4" x14ac:dyDescent="0.25">
      <c r="D84" t="s">
        <v>3220</v>
      </c>
    </row>
    <row r="85" spans="4:4" x14ac:dyDescent="0.25">
      <c r="D85" t="s">
        <v>3221</v>
      </c>
    </row>
    <row r="86" spans="4:4" x14ac:dyDescent="0.25">
      <c r="D86" t="s">
        <v>3222</v>
      </c>
    </row>
    <row r="87" spans="4:4" x14ac:dyDescent="0.25">
      <c r="D87" t="s">
        <v>3223</v>
      </c>
    </row>
    <row r="88" spans="4:4" x14ac:dyDescent="0.25">
      <c r="D88" t="s">
        <v>3224</v>
      </c>
    </row>
    <row r="89" spans="4:4" x14ac:dyDescent="0.25">
      <c r="D89" t="s">
        <v>3225</v>
      </c>
    </row>
    <row r="90" spans="4:4" x14ac:dyDescent="0.25">
      <c r="D90" t="s">
        <v>3226</v>
      </c>
    </row>
    <row r="91" spans="4:4" x14ac:dyDescent="0.25">
      <c r="D91" t="s">
        <v>3227</v>
      </c>
    </row>
    <row r="92" spans="4:4" x14ac:dyDescent="0.25">
      <c r="D92" t="s">
        <v>3228</v>
      </c>
    </row>
    <row r="93" spans="4:4" x14ac:dyDescent="0.25">
      <c r="D93" t="s">
        <v>3229</v>
      </c>
    </row>
    <row r="94" spans="4:4" x14ac:dyDescent="0.25">
      <c r="D94" t="s">
        <v>3230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2026-07-28T16:37:08Z</dcterms:created>
  <dcterms:modified xsi:type="dcterms:W3CDTF">2026-07-28T16:37:08Z</dcterms:modified>
</cp:coreProperties>
</file>