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Listas" sheetId="1" r:id="rId5"/>
    <sheet state="visible" name="📦 Productos" sheetId="2" r:id="rId6"/>
    <sheet state="visible" name="🔗 Variantes" sheetId="3" r:id="rId7"/>
  </sheets>
  <definedNames>
    <definedName name="Fragancias_Bebés_y_niños">Listas!$P$2:$P$5</definedName>
    <definedName name="Maquillaje">Listas!$F$2:$F$6</definedName>
    <definedName name="SECCIONES">Listas!$A$2:$A$3</definedName>
    <definedName name="Limpieza_del_hogar_Ropa">Listas!$AG$2:$AG$3</definedName>
    <definedName name="Fragancias_Masculinos">Listas!$O$2:$O$6</definedName>
    <definedName name="Limpieza_del_hogar_Cocina">Listas!$AC$2:$AC$4</definedName>
    <definedName name="Ofertas">Listas!$C$2:$C$7</definedName>
    <definedName name="Niños_y_Bebés_Capilares">Listas!$AB$2:$AB$4</definedName>
    <definedName name="Fragancias">Listas!$E$2:$E$4</definedName>
    <definedName name="Maquillaje_Ojos">Listas!$R$2:$R$6</definedName>
    <definedName name="Niños_y_Bebés_Cuidado_materno">Listas!$AA$2:$AA$3</definedName>
    <definedName name="Cuidado_Personal_Higiene_Corporal">Listas!$W$2:$W$7</definedName>
    <definedName name="CATEGORIAS">Listas!$B$2:$B$10</definedName>
    <definedName name="Limpieza_del_hogar">Listas!$I$2:$I$10</definedName>
    <definedName name="Fragancias_Femeninas">Listas!$N$2:$N$6</definedName>
    <definedName name="Limpieza_del_hogar_Calzado">Listas!$AH$2:$AH$3</definedName>
    <definedName name="Maquillaje_Rostro">Listas!$S$2:$S$9</definedName>
    <definedName name="Dermocosmetica_Cuidado_Corporal">Listas!$L$2:$L$6</definedName>
    <definedName name="Limpieza_del_hogar_Desodorante_de_Ambiente">Listas!$AI$2:$AI$3</definedName>
    <definedName name="Electro_belleza">Listas!$J$2:$J$7</definedName>
    <definedName name="Dermocosmetica">Listas!$D$2:$D$4</definedName>
    <definedName name="Limpieza_del_hogar_Papeles">Listas!$AJ$2:$AJ$5</definedName>
    <definedName name="Limpieza_del_hogar_Baño">Listas!$AD$2:$AD$3</definedName>
    <definedName name="Maquillaje_Accesorios">Listas!$U$2:$U$3</definedName>
    <definedName name="Dermocosmetica_Solares">Listas!$M$2:$M$6</definedName>
    <definedName name="Niños_y_Bebés_Higiene_del_Bebe">Listas!$Z$2:$Z$4</definedName>
    <definedName name="Dermocosmetica_Cuidado_facial">Listas!$K$2:$K$8</definedName>
    <definedName name="COLORES">Listas!$AL$2:$AL$21</definedName>
    <definedName name="Cuidado_Personal">Listas!$G$2:$G$6</definedName>
    <definedName name="Cuidado_Personal_Cuidado_Intimo">Listas!$Y$2:$Y$5</definedName>
    <definedName name="Limpieza_del_hogar_Accesorios_de_Limpieza">Listas!$AK$2:$AK$7</definedName>
    <definedName name="Maquillaje_Uñas">Listas!$T$2:$T$4</definedName>
    <definedName name="Limpieza_del_hogar_Pisos_y_Muebles">Listas!$AE$2:$AE$6</definedName>
    <definedName name="Limpieza_del_hogar_Insecticida_y_Repelentes">Listas!$AF$2:$AF$4</definedName>
    <definedName name="Cuidado_Personal_Cuidado_Capilar">Listas!$V$2:$V$7</definedName>
    <definedName name="Cuidado_Personal_Higiene_Oral">Listas!$X$2:$X$5</definedName>
    <definedName name="Maquillaje_Labios">Listas!$Q$2:$Q$6</definedName>
    <definedName name="Niños_y_Bebés">Listas!$H$2:$H$11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Nombre completo del producto</t>
      </text>
    </comment>
    <comment authorId="0" ref="D3">
      <text>
        <t xml:space="preserve">Marca comercial</t>
      </text>
    </comment>
    <comment authorId="0" ref="E3">
      <text>
        <t xml:space="preserve">Perfumería o Hogar</t>
      </text>
    </comment>
    <comment authorId="0" ref="F3">
      <text>
        <t xml:space="preserve">↓ Lista desplegable</t>
      </text>
    </comment>
    <comment authorId="0" ref="G3">
      <text>
        <t xml:space="preserve">↓ Depende de Categoría</t>
      </text>
    </comment>
    <comment authorId="0" ref="H3">
      <text>
        <t xml:space="preserve">↓ Depende de Subcategoría</t>
      </text>
    </comment>
    <comment authorId="0" ref="I3">
      <text>
        <t xml:space="preserve">Descripción del producto</t>
      </text>
    </comment>
    <comment authorId="0" ref="J3">
      <text>
        <t xml:space="preserve">Especificaciones técnicas</t>
      </text>
    </comment>
    <comment authorId="0" ref="K3">
      <text>
        <t xml:space="preserve">Nombre del proveedor</t>
      </text>
    </comment>
    <comment authorId="0" ref="L3">
      <text>
        <t xml:space="preserve">TRUE = visible | FALSE = oculto</t>
      </text>
    </comment>
    <comment authorId="0" ref="M3">
      <text>
        <t xml:space="preserve">TRUE = destacado | FALSE = normal</t>
      </text>
    </comment>
    <comment authorId="0" ref="N3">
      <text>
        <t xml:space="preserve">Stock disponible (solo para productos sin variantes)</t>
      </text>
    </comment>
    <comment authorId="0" ref="O3">
      <text>
        <t xml:space="preserve">Separadas por |</t>
      </text>
    </comment>
    <comment authorId="0" ref="P3">
      <text>
        <t xml:space="preserve">Precio de lista (sin descuento)</t>
      </text>
    </comment>
    <comment authorId="0" ref="Q3">
      <text>
        <t xml:space="preserve">Precio con descuento (editable)</t>
      </text>
    </comment>
    <comment authorId="0" ref="R3">
      <text>
        <t xml:space="preserve">Calculado a partir del Precio Oferta</t>
      </text>
    </comment>
    <comment authorId="0" ref="A3">
      <text>
        <t xml:space="preserve">ID único del producto</t>
      </text>
    </comment>
    <comment authorId="0" ref="B3">
      <text>
        <t xml:space="preserve">Código de barras o código interno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Calculado automáticamente con BUSCARV</t>
      </text>
    </comment>
    <comment authorId="0" ref="D3">
      <text>
        <t xml:space="preserve">Código de barras único de esta variante</t>
      </text>
    </comment>
    <comment authorId="0" ref="E3">
      <text>
        <t xml:space="preserve">Ej: 30 ml, 50 ml, 100 ml</t>
      </text>
    </comment>
    <comment authorId="0" ref="F3">
      <text>
        <t xml:space="preserve">Cantidad disponible</t>
      </text>
    </comment>
    <comment authorId="0" ref="G3">
      <text>
        <t xml:space="preserve">Precio de venta normal (sin descuento)</t>
      </text>
    </comment>
    <comment authorId="0" ref="H3">
      <text>
        <t xml:space="preserve">Precio con descuento (editable)</t>
      </text>
    </comment>
    <comment authorId="0" ref="I3">
      <text>
        <t xml:space="preserve">Calculado a partir del Precio Oferta</t>
      </text>
    </comment>
    <comment authorId="0" ref="J3">
      <text>
        <t xml:space="preserve">TRUE = visible | FALSE = oculto</t>
      </text>
    </comment>
    <comment authorId="0" ref="K3">
      <text>
        <t xml:space="preserve">1 = tiene envío | 0 = sin envío</t>
      </text>
    </comment>
    <comment authorId="0" ref="L3">
      <text>
        <t xml:space="preserve">Nombre del color</t>
      </text>
    </comment>
    <comment authorId="0" ref="A3">
      <text>
        <t xml:space="preserve">ID único de esta variante</t>
      </text>
    </comment>
    <comment authorId="0" ref="B3">
      <text>
        <t xml:space="preserve">Debe coincidir con ID Original de Productos</t>
      </text>
    </comment>
  </commentList>
</comments>
</file>

<file path=xl/sharedStrings.xml><?xml version="1.0" encoding="utf-8"?>
<sst xmlns="http://schemas.openxmlformats.org/spreadsheetml/2006/main" count="6771" uniqueCount="1695">
  <si>
    <t>_SECCIONES</t>
  </si>
  <si>
    <t>📦 MARYBE — Exportación de Productos (17/7/2026)</t>
  </si>
  <si>
    <t>🔗 MARYBE — Variantes exportadas</t>
  </si>
  <si>
    <t>_CATEGORIAS</t>
  </si>
  <si>
    <t>_Ofertas</t>
  </si>
  <si>
    <t>_Dermocosmetica</t>
  </si>
  <si>
    <t>_Fragancias</t>
  </si>
  <si>
    <t>_Maquillaje</t>
  </si>
  <si>
    <t>_Cuidado Personal</t>
  </si>
  <si>
    <t>_Niños y Bebés</t>
  </si>
  <si>
    <t>_Limpieza del hogar</t>
  </si>
  <si>
    <t>_Electro belleza</t>
  </si>
  <si>
    <t>_Dermocosmetica_Cuidado facial</t>
  </si>
  <si>
    <t>_Dermocosmetica_Cuidado Corporal</t>
  </si>
  <si>
    <t>_Dermocosmetica_Solares</t>
  </si>
  <si>
    <t>_Fragancias_Femeninas</t>
  </si>
  <si>
    <t>_Fragancias_Masculinos</t>
  </si>
  <si>
    <t>_Fragancias_Bebés y niños</t>
  </si>
  <si>
    <t>_Maquillaje_Labios</t>
  </si>
  <si>
    <t>_Maquillaje_Ojos</t>
  </si>
  <si>
    <t>_Maquillaje_Rostro</t>
  </si>
  <si>
    <t>_Maquillaje_Uñas</t>
  </si>
  <si>
    <t>_Maquillaje_Accesorios</t>
  </si>
  <si>
    <t>_Cuidado Personal_Cuidado Capilar</t>
  </si>
  <si>
    <t>_Cuidado Personal_Higiene Corporal</t>
  </si>
  <si>
    <t>_Cuidado Personal_Higiene Oral</t>
  </si>
  <si>
    <t>_Cuidado Personal_Cuidado Intimo</t>
  </si>
  <si>
    <t>_Niños y Bebés_Higiene del Bebe</t>
  </si>
  <si>
    <t>_Niños y Bebés_Cuidado materno</t>
  </si>
  <si>
    <t>_Niños y Bebés_Capilares</t>
  </si>
  <si>
    <t>_Limpieza del hogar_Cocina</t>
  </si>
  <si>
    <t>_Limpieza del hogar_Baño</t>
  </si>
  <si>
    <t>_Limpieza del hogar_Pisos y Muebles</t>
  </si>
  <si>
    <t>_Limpieza del hogar_Insecticida y Repelentes</t>
  </si>
  <si>
    <t>_Limpieza del hogar_Ropa</t>
  </si>
  <si>
    <t>_Limpieza del hogar_Calzado</t>
  </si>
  <si>
    <t>_Limpieza del hogar_Desodorante de Ambiente</t>
  </si>
  <si>
    <t>_Limpieza del hogar_Papeles</t>
  </si>
  <si>
    <t>_Limpieza del hogar_Accesorios de Limpieza</t>
  </si>
  <si>
    <t>_COLORES</t>
  </si>
  <si>
    <t>Perfumería</t>
  </si>
  <si>
    <t>Ofertas</t>
  </si>
  <si>
    <t>Fragancias</t>
  </si>
  <si>
    <t>Cuidado facial</t>
  </si>
  <si>
    <t>Femeninas</t>
  </si>
  <si>
    <t>Labios</t>
  </si>
  <si>
    <t>Cuidado Capilar</t>
  </si>
  <si>
    <t>Pañales</t>
  </si>
  <si>
    <t>Cocina</t>
  </si>
  <si>
    <t>Maquinas de Corte Cabello y Barba</t>
  </si>
  <si>
    <t>Limpieza facial</t>
  </si>
  <si>
    <t>Cremas Corporales</t>
  </si>
  <si>
    <t>Faciales</t>
  </si>
  <si>
    <t>Premium</t>
  </si>
  <si>
    <t>Labiales Liquidos</t>
  </si>
  <si>
    <t>Mascaras de pestañas</t>
  </si>
  <si>
    <t>Bases de Maquillaje</t>
  </si>
  <si>
    <t>Esmaltes</t>
  </si>
  <si>
    <t>Brochas y Pinceles</t>
  </si>
  <si>
    <t>Shampoo</t>
  </si>
  <si>
    <t>Desodorantes</t>
  </si>
  <si>
    <t>Pastas Dentales</t>
  </si>
  <si>
    <t>Toallitas</t>
  </si>
  <si>
    <t>Toallas humedas</t>
  </si>
  <si>
    <t>Protectores Mamarios</t>
  </si>
  <si>
    <t>Detergentes</t>
  </si>
  <si>
    <t>Desinfectantes</t>
  </si>
  <si>
    <t>Lavandina</t>
  </si>
  <si>
    <t>Aerosoles</t>
  </si>
  <si>
    <t>Jabones Liquidos</t>
  </si>
  <si>
    <t>Brillos Limpiadores</t>
  </si>
  <si>
    <t>Aromatizantes</t>
  </si>
  <si>
    <t>⚠ Una fila por variante. "producto_padre_id" debe coincidir con el "ID Original" de la hoja Productos. Columnas C e I son calculadas automáticamente.</t>
  </si>
  <si>
    <t>Pañuelos</t>
  </si>
  <si>
    <t>Mopas</t>
  </si>
  <si>
    <t>Blanco</t>
  </si>
  <si>
    <t>⚠ Exportación generada el 17/7/2026, 06:35:10 — 218 productos. Las columnas Sección, Categoría, Subcategoría y Tipo tienen listas desplegables en cascada.</t>
  </si>
  <si>
    <t>Hogar</t>
  </si>
  <si>
    <t>Dermocosmetica</t>
  </si>
  <si>
    <t>Maquillaje</t>
  </si>
  <si>
    <t>Cuidado Corporal</t>
  </si>
  <si>
    <t>Masculinos</t>
  </si>
  <si>
    <t>Ojos</t>
  </si>
  <si>
    <t>Higiene Corporal</t>
  </si>
  <si>
    <t>Higiene del Bebe</t>
  </si>
  <si>
    <t>Baño</t>
  </si>
  <si>
    <t>Planchas y Rizadores</t>
  </si>
  <si>
    <t>Exfoliantes y Mascarillas</t>
  </si>
  <si>
    <t>Cremas de manos</t>
  </si>
  <si>
    <t>Corporales</t>
  </si>
  <si>
    <t>Sets</t>
  </si>
  <si>
    <t>Labiales en Barra</t>
  </si>
  <si>
    <t>Sombras</t>
  </si>
  <si>
    <t>Correctores de Ojeras</t>
  </si>
  <si>
    <t>Quita esmaltes</t>
  </si>
  <si>
    <t>Esponjas</t>
  </si>
  <si>
    <t>Acondicionadores</t>
  </si>
  <si>
    <t>Depilacion</t>
  </si>
  <si>
    <t>Cepillos de dientes</t>
  </si>
  <si>
    <t>Protectores diarios</t>
  </si>
  <si>
    <t>Oleos y algodón</t>
  </si>
  <si>
    <t>Cuidado de piel</t>
  </si>
  <si>
    <t>Lava Vajillas</t>
  </si>
  <si>
    <t>Pastillas de inodoro</t>
  </si>
  <si>
    <t>Repelentes</t>
  </si>
  <si>
    <t>Suavizantes</t>
  </si>
  <si>
    <t>Pomadas</t>
  </si>
  <si>
    <t>Papel Higienico</t>
  </si>
  <si>
    <t>Escobas</t>
  </si>
  <si>
    <t>Negro</t>
  </si>
  <si>
    <t>Solares</t>
  </si>
  <si>
    <t>ID Variante *</t>
  </si>
  <si>
    <t>Bebés y niños</t>
  </si>
  <si>
    <t>ID Original *</t>
  </si>
  <si>
    <t>Rostro</t>
  </si>
  <si>
    <t>Higiene Oral</t>
  </si>
  <si>
    <t>Jabones</t>
  </si>
  <si>
    <t>Pisos y Muebles</t>
  </si>
  <si>
    <t>Secadores de Pelo</t>
  </si>
  <si>
    <t>Tónicos</t>
  </si>
  <si>
    <t>Cremas para masajes</t>
  </si>
  <si>
    <t>Autobronceantes</t>
  </si>
  <si>
    <t>Semi selectivos</t>
  </si>
  <si>
    <t>Nacionales</t>
  </si>
  <si>
    <t>Bálsamos Labiales</t>
  </si>
  <si>
    <t>ID Producto Padre *</t>
  </si>
  <si>
    <t>Delineadores en Lapiz</t>
  </si>
  <si>
    <t>Polvos</t>
  </si>
  <si>
    <t>Tratamientos</t>
  </si>
  <si>
    <t>Tratamientos Capilares</t>
  </si>
  <si>
    <t>Afeitado</t>
  </si>
  <si>
    <t>Hilos dentales</t>
  </si>
  <si>
    <t>Salud intima</t>
  </si>
  <si>
    <t>Talcos y Aceites</t>
  </si>
  <si>
    <t>Nombre Producto Padre 🔒</t>
  </si>
  <si>
    <t>Limpieza de Superficies</t>
  </si>
  <si>
    <t>Aparatos y cebos</t>
  </si>
  <si>
    <t>Rollos de Cocina</t>
  </si>
  <si>
    <t>Gris</t>
  </si>
  <si>
    <t>Cuidado Personal</t>
  </si>
  <si>
    <t>Uñas</t>
  </si>
  <si>
    <t>SKU / EAN</t>
  </si>
  <si>
    <t>Cuidado Intimo</t>
  </si>
  <si>
    <t>Colonias</t>
  </si>
  <si>
    <t>Insecticida y Repelentes</t>
  </si>
  <si>
    <t>Depilación</t>
  </si>
  <si>
    <t>Cremas Faciales</t>
  </si>
  <si>
    <t>Nombre *</t>
  </si>
  <si>
    <t>Exfoliantes</t>
  </si>
  <si>
    <t>Post Solares</t>
  </si>
  <si>
    <t>Body Splash y Colonias</t>
  </si>
  <si>
    <t>Brillos Labiales</t>
  </si>
  <si>
    <t>Marca</t>
  </si>
  <si>
    <t>Delineadores Liquidos</t>
  </si>
  <si>
    <t>Bronzer</t>
  </si>
  <si>
    <t>Coloración</t>
  </si>
  <si>
    <t>Jabones de Tocador</t>
  </si>
  <si>
    <t>Volumen / Tamaño</t>
  </si>
  <si>
    <t>Enjuagues bucales</t>
  </si>
  <si>
    <t>Incontinencia</t>
  </si>
  <si>
    <t>Sección *</t>
  </si>
  <si>
    <t>Lustramuebles</t>
  </si>
  <si>
    <t>Servilletas</t>
  </si>
  <si>
    <t>Guantes</t>
  </si>
  <si>
    <t>Rojo</t>
  </si>
  <si>
    <t>Stock</t>
  </si>
  <si>
    <t>Accesorios</t>
  </si>
  <si>
    <t>Ropa</t>
  </si>
  <si>
    <t>Precio *</t>
  </si>
  <si>
    <t>Masajeadores</t>
  </si>
  <si>
    <t>Serums</t>
  </si>
  <si>
    <t>Categoría</t>
  </si>
  <si>
    <t>Precio Oferta</t>
  </si>
  <si>
    <t>Delineadores</t>
  </si>
  <si>
    <t>Cejas</t>
  </si>
  <si>
    <t>Iluminadores</t>
  </si>
  <si>
    <t>Gel y Fijadores</t>
  </si>
  <si>
    <t>Algodones e hisopos</t>
  </si>
  <si>
    <t>Subcategoría</t>
  </si>
  <si>
    <t>Ceras y Autobrillos</t>
  </si>
  <si>
    <t>Palas y Cabos</t>
  </si>
  <si>
    <t>% Descuento 🔒</t>
  </si>
  <si>
    <t>Rosa</t>
  </si>
  <si>
    <t>Niños y Bebés</t>
  </si>
  <si>
    <t>Limpieza del hogar</t>
  </si>
  <si>
    <t>Tipo</t>
  </si>
  <si>
    <t>Calzado</t>
  </si>
  <si>
    <t>Publicado</t>
  </si>
  <si>
    <t>Cabinas y Tornos de Uñas</t>
  </si>
  <si>
    <t>Contornos de ojos y labios</t>
  </si>
  <si>
    <t>Rubores</t>
  </si>
  <si>
    <t>Cepillos y Peines</t>
  </si>
  <si>
    <t>Talcos</t>
  </si>
  <si>
    <t>Envío</t>
  </si>
  <si>
    <t>Descripción</t>
  </si>
  <si>
    <t>Trapos de Piso y Paños Multiuso</t>
  </si>
  <si>
    <t>Fucsia</t>
  </si>
  <si>
    <t>Cuidado materno</t>
  </si>
  <si>
    <t>Especificaciones</t>
  </si>
  <si>
    <t>Desodorante de Ambiente</t>
  </si>
  <si>
    <t>🎨 Color</t>
  </si>
  <si>
    <t>Fijadores</t>
  </si>
  <si>
    <t>Nude</t>
  </si>
  <si>
    <t>Proveedor</t>
  </si>
  <si>
    <t>Electro belleza</t>
  </si>
  <si>
    <t>Cremas y cepillos dentales</t>
  </si>
  <si>
    <t>Papeles</t>
  </si>
  <si>
    <t>Primer</t>
  </si>
  <si>
    <t>Beige</t>
  </si>
  <si>
    <t>Lanzamientos</t>
  </si>
  <si>
    <t>Accesorios de Limpieza</t>
  </si>
  <si>
    <t>13900</t>
  </si>
  <si>
    <t>Marrón</t>
  </si>
  <si>
    <t>Destacado</t>
  </si>
  <si>
    <t>Capilares</t>
  </si>
  <si>
    <t>Azul</t>
  </si>
  <si>
    <t>Celeste</t>
  </si>
  <si>
    <t>Verde</t>
  </si>
  <si>
    <t>4752</t>
  </si>
  <si>
    <t>Características</t>
  </si>
  <si>
    <t>Amarillo</t>
  </si>
  <si>
    <t>Naranja</t>
  </si>
  <si>
    <t>Violeta</t>
  </si>
  <si>
    <t>Lila</t>
  </si>
  <si>
    <t>Dorado</t>
  </si>
  <si>
    <t>Plateado</t>
  </si>
  <si>
    <t>Cobre</t>
  </si>
  <si>
    <t>Transparente</t>
  </si>
  <si>
    <t>3274872495852</t>
  </si>
  <si>
    <t>KENZO INDIGO POUR HOMME EDP</t>
  </si>
  <si>
    <t>Kenzo</t>
  </si>
  <si>
    <t>60 ml</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</si>
  <si>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</si>
  <si>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</si>
  <si>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FALSE</t>
  </si>
  <si>
    <t>TRUE</t>
  </si>
  <si>
    <t>1</t>
  </si>
  <si>
    <t>ARS</t>
  </si>
  <si>
    <t>13901</t>
  </si>
  <si>
    <t>3274872490529</t>
  </si>
  <si>
    <t>110 ml</t>
  </si>
  <si>
    <t>4754</t>
  </si>
  <si>
    <t>3274872357129</t>
  </si>
  <si>
    <t>KENZO AQUA FEMME EDT</t>
  </si>
  <si>
    <t>13905</t>
  </si>
  <si>
    <t>Notas de salida: Hojas de frambuesa, mandarina y limón.</t>
  </si>
  <si>
    <t>30 ml</t>
  </si>
  <si>
    <t>4755</t>
  </si>
  <si>
    <t>3274872357228</t>
  </si>
  <si>
    <t>KENZO AQUA HOMME EDT</t>
  </si>
  <si>
    <t>13906</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</si>
  <si>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</si>
  <si>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3274872357143</t>
  </si>
  <si>
    <t>100 ml</t>
  </si>
  <si>
    <t>4756</t>
  </si>
  <si>
    <t>3274872430587</t>
  </si>
  <si>
    <t>KENZO D ETE</t>
  </si>
  <si>
    <t>13907</t>
  </si>
  <si>
    <t>Familia olfativa Floral Verde. Se lanzó en 2002. La Nariz detrás de esta fragrancia es Antoine Lie. Notas de Salida : lirio de los valles (muguete) y notas verdes; Notas de Corazón : jacinto, jazmín y peonía; Notas de Fondo :almizcle blanco y sándalo.</t>
  </si>
  <si>
    <t>3274872357136</t>
  </si>
  <si>
    <t>50 ml</t>
  </si>
  <si>
    <t>4757</t>
  </si>
  <si>
    <t>3274872406216</t>
  </si>
  <si>
    <t>KENZO FLOWER POPPY BOUQUET EDP</t>
  </si>
  <si>
    <t>13908</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</si>
  <si>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</si>
  <si>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</si>
  <si>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</si>
  <si>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</si>
  <si>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13909</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</si>
  <si>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</si>
  <si>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3274872357204</t>
  </si>
  <si>
    <t>13910</t>
  </si>
  <si>
    <t>4759</t>
  </si>
  <si>
    <t>3274872441798</t>
  </si>
  <si>
    <t>KENZO FLOWER L ABSOLUE EDP</t>
  </si>
  <si>
    <t>3274872357211</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</si>
  <si>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</si>
  <si>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</si>
  <si>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13911</t>
  </si>
  <si>
    <t>3274872480452</t>
  </si>
  <si>
    <t>KENZO FLOWER CHERRY POPPY EDP</t>
  </si>
  <si>
    <t>75</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</si>
  <si>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</si>
  <si>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13912</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</si>
  <si>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</si>
  <si>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</si>
  <si>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</si>
  <si>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</si>
  <si>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13913</t>
  </si>
  <si>
    <t>3274872406193</t>
  </si>
  <si>
    <t>4762</t>
  </si>
  <si>
    <t>3274872454590</t>
  </si>
  <si>
    <t>KENZO FLOWER EDP X 100 + CREMA CUERPO + CREMA MANOS</t>
  </si>
  <si>
    <t>13914</t>
  </si>
  <si>
    <t>3274872406209</t>
  </si>
  <si>
    <t>4763</t>
  </si>
  <si>
    <t>3274872481336</t>
  </si>
  <si>
    <t>KENZO FLOWER EDP X 100 + CREMA CUERPO + EDP</t>
  </si>
  <si>
    <t>13915</t>
  </si>
  <si>
    <t>3274872462281</t>
  </si>
  <si>
    <t>13916</t>
  </si>
  <si>
    <t>4764</t>
  </si>
  <si>
    <t>3274872427211</t>
  </si>
  <si>
    <t>3274872462298</t>
  </si>
  <si>
    <t>KENZO FLOWER EDP X 200 ml TUBO RECARGA</t>
  </si>
  <si>
    <t>13917</t>
  </si>
  <si>
    <t>4765</t>
  </si>
  <si>
    <t>3274872404175</t>
  </si>
  <si>
    <t>KENZO FLOWER EDP</t>
  </si>
  <si>
    <t>13918</t>
  </si>
  <si>
    <t>4766</t>
  </si>
  <si>
    <t>3274872497733</t>
  </si>
  <si>
    <t>KENZO FLOWER EDP X 50 ml + CREMA CUERPO + EDP</t>
  </si>
  <si>
    <t>13919</t>
  </si>
  <si>
    <t>3274872441774</t>
  </si>
  <si>
    <t>13920</t>
  </si>
  <si>
    <t>4767</t>
  </si>
  <si>
    <t>3274872420359</t>
  </si>
  <si>
    <t>KENZO FLOWER EDT</t>
  </si>
  <si>
    <t>3274872441781</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</si>
  <si>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</si>
  <si>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13921</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</si>
  <si>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</si>
  <si>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</si>
  <si>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</si>
  <si>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</si>
  <si>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13922</t>
  </si>
  <si>
    <t>3274872480476</t>
  </si>
  <si>
    <t>4769</t>
  </si>
  <si>
    <t>3274872454460</t>
  </si>
  <si>
    <t>KENZO FLOWER IKEBANA EDP</t>
  </si>
  <si>
    <t>13923</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</si>
  <si>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</si>
  <si>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3274872480469</t>
  </si>
  <si>
    <t>4770</t>
  </si>
  <si>
    <t>3274872464117</t>
  </si>
  <si>
    <t>KENZO FLOWER IKEBANA EDP X 75 ml + EDP</t>
  </si>
  <si>
    <t>13924</t>
  </si>
  <si>
    <t>13925</t>
  </si>
  <si>
    <t>4771</t>
  </si>
  <si>
    <t>3274872467552</t>
  </si>
  <si>
    <t>KENZO FLOWER IKEBANA EDP X 75 ml + CREMA CUERPO + EDP</t>
  </si>
  <si>
    <t>13926</t>
  </si>
  <si>
    <t>4772</t>
  </si>
  <si>
    <t>3274872480711</t>
  </si>
  <si>
    <t>KENZO FLOWER IKEBANA INDIGO EDP</t>
  </si>
  <si>
    <t>10 ml</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</si>
  <si>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</si>
  <si>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13927</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</si>
  <si>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</si>
  <si>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</si>
  <si>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</si>
  <si>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</si>
  <si>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13928</t>
  </si>
  <si>
    <t>4774</t>
  </si>
  <si>
    <t>3274872423398</t>
  </si>
  <si>
    <t>KENZO HOMME EDP</t>
  </si>
  <si>
    <t>13929</t>
  </si>
  <si>
    <t>4775</t>
  </si>
  <si>
    <t>3274872421554</t>
  </si>
  <si>
    <t>KENZO HOMME INTENSE EDT</t>
  </si>
  <si>
    <t>3274872404113</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</si>
  <si>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</si>
  <si>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13930</t>
  </si>
  <si>
    <t>4776</t>
  </si>
  <si>
    <t>3274872464155</t>
  </si>
  <si>
    <t>KENZO HOMME INTENSE EDT X 110 + GEL DUCHA + EDT</t>
  </si>
  <si>
    <t>13931</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</si>
  <si>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</si>
  <si>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</si>
  <si>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</si>
  <si>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</si>
  <si>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13932</t>
  </si>
  <si>
    <t>3274872420342</t>
  </si>
  <si>
    <t>4778</t>
  </si>
  <si>
    <t>3274872289994</t>
  </si>
  <si>
    <t>KENZO JUNGLE FEMME EDP</t>
  </si>
  <si>
    <t>13933</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</si>
  <si>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</si>
  <si>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40 ml</t>
  </si>
  <si>
    <t>13934</t>
  </si>
  <si>
    <t>4779</t>
  </si>
  <si>
    <t>3274872444584</t>
  </si>
  <si>
    <t>KENZO L EAU POUR HOMME EDT</t>
  </si>
  <si>
    <t>3274872469372</t>
  </si>
  <si>
    <t>75 ml</t>
  </si>
  <si>
    <t>13935</t>
  </si>
  <si>
    <t>4780</t>
  </si>
  <si>
    <t>3274872505759</t>
  </si>
  <si>
    <t>KENZO LE ROUGE FLOWER</t>
  </si>
  <si>
    <t>13936</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</si>
  <si>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</si>
  <si>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3274872454477</t>
  </si>
  <si>
    <t>4781</t>
  </si>
  <si>
    <t>3274872497801</t>
  </si>
  <si>
    <t>KENZO HOMME INTENSE EDT X 110 + GEL DUCHA + EDT INT</t>
  </si>
  <si>
    <t>13937</t>
  </si>
  <si>
    <t>4782</t>
  </si>
  <si>
    <t>3274872423329</t>
  </si>
  <si>
    <t>KENZO HOMME EDT</t>
  </si>
  <si>
    <t>13938</t>
  </si>
  <si>
    <t>Fragancia de la familia olfativa Amaderada Acuática .Se lanzó en 2022.  Notas de Salida : notas marinas, Calipsone y nuez moscada; Notas de Corazón : pino y pachulí;  Notas de Fondo ; sándalo y cedro.</t>
  </si>
  <si>
    <t>13939</t>
  </si>
  <si>
    <t>4783</t>
  </si>
  <si>
    <t>3274872466982</t>
  </si>
  <si>
    <t>KENZO HOMME EDT X 110 + GEL DUCHA + EDT</t>
  </si>
  <si>
    <t>13940</t>
  </si>
  <si>
    <t>4784</t>
  </si>
  <si>
    <t>3274872438088</t>
  </si>
  <si>
    <t>KENZO HOMME MARINE EDT</t>
  </si>
  <si>
    <t>3274872480728</t>
  </si>
  <si>
    <t>Fragancia de la familia olfativa Amaderada Acuática .Se lanzó en 2023. La Nariz detrás de esta fragrancia es Quentin Bisch. Nota de Salida : notas marinas; Nota de Corazón : ylang-ylang;  Notas de Fondo : sándalo y almizcle.</t>
  </si>
  <si>
    <t>13941</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</si>
  <si>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</si>
  <si>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</si>
  <si>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</si>
  <si>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</si>
  <si>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13942</t>
  </si>
  <si>
    <t>4786</t>
  </si>
  <si>
    <t>3274872440999</t>
  </si>
  <si>
    <t>KENZO L EAU FEMME EDT X 100 ml ( RECARGABLE )</t>
  </si>
  <si>
    <t>3274872467361</t>
  </si>
  <si>
    <t>13943</t>
  </si>
  <si>
    <t>4787</t>
  </si>
  <si>
    <t>3274872390669</t>
  </si>
  <si>
    <t>KENZO L EAU FEMME EDT</t>
  </si>
  <si>
    <t>Fagancia de la familia olfativa acuatica. Se lanzó en 1996. Nota de Salida : menta;  Nota de Corazón : durazno (melocotón);  Notas de Fondo : flor de loto y absoluto de vainilla.</t>
  </si>
  <si>
    <t>13944</t>
  </si>
  <si>
    <t>4788</t>
  </si>
  <si>
    <t>3274872438422</t>
  </si>
  <si>
    <t>KENZO L EAU FEMME FLORALE EDT</t>
  </si>
  <si>
    <t>3274872423381</t>
  </si>
  <si>
    <t>Familia olfativa Floral . Se lanzó en 2022. La Nariz detrás de esta fragrancia es Olivier Cresp. Nota de Salida : peonía; Nota de Corazón: rosa;  Nota de Fondo : cedro.</t>
  </si>
  <si>
    <t>13945</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</si>
  <si>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</si>
  <si>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</si>
  <si>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</si>
  <si>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</si>
  <si>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13946</t>
  </si>
  <si>
    <t>3274872421547</t>
  </si>
  <si>
    <t>4790</t>
  </si>
  <si>
    <t>3274872390737</t>
  </si>
  <si>
    <t>KENZO L EAU HOMME EDT</t>
  </si>
  <si>
    <t>13947</t>
  </si>
  <si>
    <t>3274872421530</t>
  </si>
  <si>
    <t>4791</t>
  </si>
  <si>
    <t>3274872438460</t>
  </si>
  <si>
    <t>KENZO L EAU HOMME BOISSE EDT</t>
  </si>
  <si>
    <t>13948</t>
  </si>
  <si>
    <t>Familia olfativa Amaderada Especiada para Hombres. Se lanzó en 2022. La Nariz detrás de esta fragrancia es Aurélien Guichard. Nota de Salida : limón (lima ácida);  Nota de Corazón : jengibre; Nota de Fondo : notas amaderadas.</t>
  </si>
  <si>
    <t>4792</t>
  </si>
  <si>
    <t>3274872452534</t>
  </si>
  <si>
    <t>13949</t>
  </si>
  <si>
    <t>KENZO L EAU HOMME SUNLIGHT EDT</t>
  </si>
  <si>
    <t>3274872481374</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</si>
  <si>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</si>
  <si>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</si>
  <si>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</si>
  <si>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13950</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</si>
  <si>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</si>
  <si>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</si>
  <si>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</si>
  <si>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</si>
  <si>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</si>
  <si>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13951</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</si>
  <si>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</si>
  <si>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</si>
  <si>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</si>
  <si>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</si>
  <si>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13952</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</si>
  <si>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</si>
  <si>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</si>
  <si>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13953</t>
  </si>
  <si>
    <t>3274872505438</t>
  </si>
  <si>
    <t>KENZO L EAU PURE EDP X 50 ml + EDT</t>
  </si>
  <si>
    <t>100ml</t>
  </si>
  <si>
    <t>13954</t>
  </si>
  <si>
    <t>4797</t>
  </si>
  <si>
    <t>3274872473874</t>
  </si>
  <si>
    <t>KENZO L EAU HOMME GLACEE EDT</t>
  </si>
  <si>
    <t>3274872505742</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</si>
  <si>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</si>
  <si>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</si>
  <si>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</si>
  <si>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</si>
  <si>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13955</t>
  </si>
  <si>
    <t>4800</t>
  </si>
  <si>
    <t>7790416011167</t>
  </si>
  <si>
    <t>CUTEX BASE PROTECTORA DE UÑAS</t>
  </si>
  <si>
    <t>Cutex</t>
  </si>
  <si>
    <t>3274872505735</t>
  </si>
  <si>
    <t>13956</t>
  </si>
  <si>
    <t>4801</t>
  </si>
  <si>
    <t>7790416019897</t>
  </si>
  <si>
    <t>CUTEX BASE TOP COAT PARA UÑAS</t>
  </si>
  <si>
    <t>13957</t>
  </si>
  <si>
    <t>4802</t>
  </si>
  <si>
    <t>7790416011792</t>
  </si>
  <si>
    <t>CUTEX CALCIO PARA UÑAS ROSA 001</t>
  </si>
  <si>
    <t>13958</t>
  </si>
  <si>
    <t>3274872423336</t>
  </si>
  <si>
    <t>13959</t>
  </si>
  <si>
    <t>4803</t>
  </si>
  <si>
    <t>7790416016278</t>
  </si>
  <si>
    <t>CUTEX CAPA PROTECTORA BRILLO MAXIMO</t>
  </si>
  <si>
    <t>3274872423312</t>
  </si>
  <si>
    <t>13960</t>
  </si>
  <si>
    <t>4804</t>
  </si>
  <si>
    <t>7790416027236</t>
  </si>
  <si>
    <t>CUTEX ESMALTE DUO PACK</t>
  </si>
  <si>
    <t>13961</t>
  </si>
  <si>
    <t>4805</t>
  </si>
  <si>
    <t>3274872464148</t>
  </si>
  <si>
    <t>7790416640107</t>
  </si>
  <si>
    <t>CUTEX ESMALTE</t>
  </si>
  <si>
    <t>13962</t>
  </si>
  <si>
    <t>4806</t>
  </si>
  <si>
    <t>7790416021357</t>
  </si>
  <si>
    <t>CUTEX FORTALECEDOR UNAS CON CANNABIDIOL</t>
  </si>
  <si>
    <t>13963</t>
  </si>
  <si>
    <t>3274872438071</t>
  </si>
  <si>
    <t>4807</t>
  </si>
  <si>
    <t>7790416016261</t>
  </si>
  <si>
    <t>CUTEX FORTALECEDOR UNAS</t>
  </si>
  <si>
    <t>13964</t>
  </si>
  <si>
    <t>4808</t>
  </si>
  <si>
    <t>7790416016230</t>
  </si>
  <si>
    <t>CUTEX QUICK DRY UNAS</t>
  </si>
  <si>
    <t>13965</t>
  </si>
  <si>
    <t>3274872323490</t>
  </si>
  <si>
    <t>4809</t>
  </si>
  <si>
    <t>7790416019880</t>
  </si>
  <si>
    <t>CUTEX FORTALECEDOR UNAS 8 EN 1</t>
  </si>
  <si>
    <t>13966</t>
  </si>
  <si>
    <t>4810</t>
  </si>
  <si>
    <t>7790416024983</t>
  </si>
  <si>
    <t>CUTEX FORTALECEDOR UNAS ARGAN</t>
  </si>
  <si>
    <t>13967</t>
  </si>
  <si>
    <t>4811</t>
  </si>
  <si>
    <t>REVLON BASE AGE 3X</t>
  </si>
  <si>
    <t>Revlon</t>
  </si>
  <si>
    <t>13968</t>
  </si>
  <si>
    <t>3274872390676</t>
  </si>
  <si>
    <t>4812</t>
  </si>
  <si>
    <t>13969</t>
  </si>
  <si>
    <t>309970278885</t>
  </si>
  <si>
    <t>REVLON AGE DEFYING 3X FUNDATION SPF 25</t>
  </si>
  <si>
    <t>3274872421516</t>
  </si>
  <si>
    <t>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</si>
  <si>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13970</t>
  </si>
  <si>
    <t>4813</t>
  </si>
  <si>
    <t>REVLON BASE COL LIG</t>
  </si>
  <si>
    <t>3274872440975</t>
  </si>
  <si>
    <t>13971</t>
  </si>
  <si>
    <t>4814</t>
  </si>
  <si>
    <t>3274872440982</t>
  </si>
  <si>
    <t>309974677035</t>
  </si>
  <si>
    <t>REVLON COLORSTAY LONGWEAR MAKEUP SPF 15 NORMAL-SECA</t>
  </si>
  <si>
    <t>Base de maquillaje líquida ,dura hasta por 24 horas sin importar lo que te depare la vida y por eso la llamamos "la base que te acompaña todo el día"</t>
  </si>
  <si>
    <t>13972</t>
  </si>
  <si>
    <t>4815</t>
  </si>
  <si>
    <t>309974700030</t>
  </si>
  <si>
    <t>REVLON COLORSTAY LONGWEAR MAKEUP SPF 15 COMBINADA GRASA</t>
  </si>
  <si>
    <t>13973</t>
  </si>
  <si>
    <t>Base de maquillaje líquida, dura hasta por 24 horas sin importar lo que te depare la vida y por eso la llamamos "la base que te acompaña todo el día"</t>
  </si>
  <si>
    <t>4816</t>
  </si>
  <si>
    <t>309970174842</t>
  </si>
  <si>
    <t>REVLON COLORSTAY SEMI-PERMANENT BROW INK BLONDE</t>
  </si>
  <si>
    <t>13974</t>
  </si>
  <si>
    <t>OFRECE UN ESTILO DE CEJAS CON CALIDAD DE SALÓN EN CASA QUE DURA 3 DÍAS.</t>
  </si>
  <si>
    <t>50ml</t>
  </si>
  <si>
    <t>13975</t>
  </si>
  <si>
    <t>4817</t>
  </si>
  <si>
    <t>309970174866</t>
  </si>
  <si>
    <t>REVLON COLORSTAY SEMI-PERMANENT BROW INK SOFT BROWN</t>
  </si>
  <si>
    <t>3274872444560</t>
  </si>
  <si>
    <t>TECNOLOGÍA DE CEJAS SEMIPERMANENTE EXCLUSIVA</t>
  </si>
  <si>
    <t>13976</t>
  </si>
  <si>
    <t>4818</t>
  </si>
  <si>
    <t>309970127275</t>
  </si>
  <si>
    <t>REVLON PHOTOREADY ROSE GLOW MIST BRUMA</t>
  </si>
  <si>
    <t>CREA LOOKS DE CEJAS NATURAL, MÁS LLENOS Y DEFINIDOS</t>
  </si>
  <si>
    <t>13977</t>
  </si>
  <si>
    <t>4819</t>
  </si>
  <si>
    <t>REVLON CANDID FOND DE TEINT</t>
  </si>
  <si>
    <t>13978</t>
  </si>
  <si>
    <t>UNA ALTERNATIVA AL TEÑIDO DE CEJAS, LAMINACIÓN Y MICROBLANDING</t>
  </si>
  <si>
    <t>4820</t>
  </si>
  <si>
    <t>REVLON COL ANTI CONC</t>
  </si>
  <si>
    <t>13979</t>
  </si>
  <si>
    <t>IMPERMEABLE, A PRUEBA DE TRANSFERENCIAS, A PRUEBA DE MANCHAS</t>
  </si>
  <si>
    <t>4821</t>
  </si>
  <si>
    <t>309970050580</t>
  </si>
  <si>
    <t>REVLON COLORSTAY BROW FIBER FILLER GEL TRANSPARENTE</t>
  </si>
  <si>
    <t>13980</t>
  </si>
  <si>
    <t>3274872511934</t>
  </si>
  <si>
    <t>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</si>
  <si>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13981</t>
  </si>
  <si>
    <t>4822</t>
  </si>
  <si>
    <t>309970101411</t>
  </si>
  <si>
    <t>REVLON COLORSTAY CREME EYE SHADOW</t>
  </si>
  <si>
    <t>3274872511941</t>
  </si>
  <si>
    <t>CREMAS MANOS Y CUERPO</t>
  </si>
  <si>
    <t>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</si>
  <si>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13982</t>
  </si>
  <si>
    <t>4823</t>
  </si>
  <si>
    <t>REVLON COL SHADOW CRE</t>
  </si>
  <si>
    <t>MAQUILLAJE</t>
  </si>
  <si>
    <t>13983</t>
  </si>
  <si>
    <t>3274872480629</t>
  </si>
  <si>
    <t>4824</t>
  </si>
  <si>
    <t>309970165123</t>
  </si>
  <si>
    <t>REVLON COLORSTAY BLOT SETTING MATTE POWDER</t>
  </si>
  <si>
    <t>13984</t>
  </si>
  <si>
    <t>3274872480636</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</si>
  <si>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</si>
  <si>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13985</t>
  </si>
  <si>
    <t>4825</t>
  </si>
  <si>
    <t>REVLON COLORSTAY GRIP MATTE PRIMER</t>
  </si>
  <si>
    <t>10ml</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</si>
  <si>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</si>
  <si>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13986</t>
  </si>
  <si>
    <t>4826</t>
  </si>
  <si>
    <t>REVLON COLORSTAY LINE CREATOR</t>
  </si>
  <si>
    <t>13987</t>
  </si>
  <si>
    <t>4827</t>
  </si>
  <si>
    <t>309978430025</t>
  </si>
  <si>
    <t>REVLON COLORSTAY PRESSED POWDER</t>
  </si>
  <si>
    <t>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</si>
  <si>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13989</t>
  </si>
  <si>
    <t>4828</t>
  </si>
  <si>
    <t>7790416018951</t>
  </si>
  <si>
    <t>REVLON COLORSTAY SUEDE INK LIPSTICK</t>
  </si>
  <si>
    <t>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</si>
  <si>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</si>
  <si>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13990</t>
  </si>
  <si>
    <t>309970166052</t>
  </si>
  <si>
    <t>REVLON COLORSTAY CONCEALER SKIN AWAKEN 5 IN 1</t>
  </si>
  <si>
    <t>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</si>
  <si>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</si>
  <si>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13991</t>
  </si>
  <si>
    <t>REVLON CORR PHOTO</t>
  </si>
  <si>
    <t>13992</t>
  </si>
  <si>
    <t>4831</t>
  </si>
  <si>
    <t>309970175078</t>
  </si>
  <si>
    <t>REVLON COLORSTAY MATTE LIT CRAYON LIPSTICK</t>
  </si>
  <si>
    <t>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</si>
  <si>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13993</t>
  </si>
  <si>
    <t>4832</t>
  </si>
  <si>
    <t>7790416022057</t>
  </si>
  <si>
    <t>REVLON CREME SHADOW 705 CREME BRULEE</t>
  </si>
  <si>
    <t>13994</t>
  </si>
  <si>
    <t>4833</t>
  </si>
  <si>
    <t>7790416020725</t>
  </si>
  <si>
    <t>7790416102773</t>
  </si>
  <si>
    <t>REVLON CREME SHADOW 710 CARAMEL</t>
  </si>
  <si>
    <t>13995</t>
  </si>
  <si>
    <t>7790416020718</t>
  </si>
  <si>
    <t>4834</t>
  </si>
  <si>
    <t>309970217112</t>
  </si>
  <si>
    <t>REVLON COLORSTAY MULTI PLAYER DELINEADOR</t>
  </si>
  <si>
    <t>13996</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</si>
  <si>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</si>
  <si>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7790416020763</t>
  </si>
  <si>
    <t>4835</t>
  </si>
  <si>
    <t>7790416020220</t>
  </si>
  <si>
    <t>REVLON COLORSTAY DAY TO NIGHT EYESHADOW QUAD</t>
  </si>
  <si>
    <t>13997</t>
  </si>
  <si>
    <t>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</si>
  <si>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7790416021777</t>
  </si>
  <si>
    <t>4836</t>
  </si>
  <si>
    <t>13998</t>
  </si>
  <si>
    <t>REVLON DEL CEJAS COL</t>
  </si>
  <si>
    <t>7790416021746</t>
  </si>
  <si>
    <t>13999</t>
  </si>
  <si>
    <t>4837</t>
  </si>
  <si>
    <t>309970050566</t>
  </si>
  <si>
    <t>REVLON COLORSTAY BROW FIBER FILLER DARK BROWN</t>
  </si>
  <si>
    <t>7790416021753</t>
  </si>
  <si>
    <t>14000</t>
  </si>
  <si>
    <t>7790416021760</t>
  </si>
  <si>
    <t>4838</t>
  </si>
  <si>
    <t>309970050559</t>
  </si>
  <si>
    <t>REVLON COLORSTAY BROW FIBER FILLER MEDIUM BROWN</t>
  </si>
  <si>
    <t>14001</t>
  </si>
  <si>
    <t>7790416018470</t>
  </si>
  <si>
    <t>14002</t>
  </si>
  <si>
    <t>4839</t>
  </si>
  <si>
    <t>7790416018463</t>
  </si>
  <si>
    <t>REVLON DEL CEJAS MOUS SOFT BR</t>
  </si>
  <si>
    <t>14003</t>
  </si>
  <si>
    <t>14004</t>
  </si>
  <si>
    <t>4840</t>
  </si>
  <si>
    <t>309975822267</t>
  </si>
  <si>
    <t>REVLON COLORSTAY LONGWEAR LIP LINER NATURAL</t>
  </si>
  <si>
    <t>7790416021609</t>
  </si>
  <si>
    <t>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</si>
  <si>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14005</t>
  </si>
  <si>
    <t>7790416021616</t>
  </si>
  <si>
    <t>4841</t>
  </si>
  <si>
    <t>309974172011</t>
  </si>
  <si>
    <t>REVLON COLORSTAY LONGWEAR LIP LINER NUDE</t>
  </si>
  <si>
    <t>14006</t>
  </si>
  <si>
    <t>7790416640145</t>
  </si>
  <si>
    <t>14007</t>
  </si>
  <si>
    <t>4842</t>
  </si>
  <si>
    <t>309974172134</t>
  </si>
  <si>
    <t>7790416640169</t>
  </si>
  <si>
    <t>REVLON COLORSTAY LONGWEAR LIP LINER PLUM</t>
  </si>
  <si>
    <t>14008</t>
  </si>
  <si>
    <t>7790416640244</t>
  </si>
  <si>
    <t>4843</t>
  </si>
  <si>
    <t>14009</t>
  </si>
  <si>
    <t>309974172226</t>
  </si>
  <si>
    <t>REVLON COLORSTAY LONGWEAR LIP LINER RED</t>
  </si>
  <si>
    <t>7790416640329</t>
  </si>
  <si>
    <t>14010</t>
  </si>
  <si>
    <t>7790416640336</t>
  </si>
  <si>
    <t>4844</t>
  </si>
  <si>
    <t>309975822243</t>
  </si>
  <si>
    <t>REVLON COLORSTAY LONGWEAR LIP LINER ROSE FARD</t>
  </si>
  <si>
    <t>14011</t>
  </si>
  <si>
    <t>7790416640367</t>
  </si>
  <si>
    <t>4845</t>
  </si>
  <si>
    <t>309974172073</t>
  </si>
  <si>
    <t>14012</t>
  </si>
  <si>
    <t>REVLON COLORSTAY LONGWEAR LIP LINER SIENA</t>
  </si>
  <si>
    <t>7790416640398</t>
  </si>
  <si>
    <t>14013</t>
  </si>
  <si>
    <t>4846</t>
  </si>
  <si>
    <t>REVLON DEL LIQ</t>
  </si>
  <si>
    <t>7790416640459</t>
  </si>
  <si>
    <t>14014</t>
  </si>
  <si>
    <t>7790416640480</t>
  </si>
  <si>
    <t>4847</t>
  </si>
  <si>
    <t>309974209014</t>
  </si>
  <si>
    <t>REVLON COLORSTAY LIQUID EYELINER</t>
  </si>
  <si>
    <t>14015</t>
  </si>
  <si>
    <t>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</si>
  <si>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7790416640497</t>
  </si>
  <si>
    <t>4848</t>
  </si>
  <si>
    <t>309970206093</t>
  </si>
  <si>
    <t>REVLON COLORSTAY MICRO LINER EASY PRECISION MARRON</t>
  </si>
  <si>
    <t>14016</t>
  </si>
  <si>
    <t>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</si>
  <si>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7790416021579</t>
  </si>
  <si>
    <t>4849</t>
  </si>
  <si>
    <t>14017</t>
  </si>
  <si>
    <t>309970206079</t>
  </si>
  <si>
    <t>REVLON COLORSTAY MICRO LINER EASY PRECISION NEGRO</t>
  </si>
  <si>
    <t>7790416021586</t>
  </si>
  <si>
    <t>14018</t>
  </si>
  <si>
    <t>4850</t>
  </si>
  <si>
    <t>REVLON DEL LIQ OJ EXAC MERM</t>
  </si>
  <si>
    <t>7790416021593</t>
  </si>
  <si>
    <t>14019</t>
  </si>
  <si>
    <t>4851</t>
  </si>
  <si>
    <t>7790416019057</t>
  </si>
  <si>
    <t>309975717037</t>
  </si>
  <si>
    <t>REVLON DEL LIQ OJ EXAC MULB</t>
  </si>
  <si>
    <t>14020</t>
  </si>
  <si>
    <t>7790416016292</t>
  </si>
  <si>
    <t>4852</t>
  </si>
  <si>
    <t>REVLON DEL LIQ SO F BRONZAGE</t>
  </si>
  <si>
    <t>14021</t>
  </si>
  <si>
    <t>7790416019040</t>
  </si>
  <si>
    <t>4853</t>
  </si>
  <si>
    <t>309970135003</t>
  </si>
  <si>
    <t>REVLON DEL LIQ SO F GUNMETAL</t>
  </si>
  <si>
    <t>14022</t>
  </si>
  <si>
    <t>4854</t>
  </si>
  <si>
    <t>REVLON DEL OJ 2 EN 1</t>
  </si>
  <si>
    <t>7790416016339</t>
  </si>
  <si>
    <t>4855</t>
  </si>
  <si>
    <t>14023</t>
  </si>
  <si>
    <t>309976790015</t>
  </si>
  <si>
    <t>REVLON COLORSTAY EYELINER RETRACTIL BLACK</t>
  </si>
  <si>
    <t>7790416011174</t>
  </si>
  <si>
    <t>Delineador para ojos con punta redondeada retráctil de larga duración.
 Fórmula cremosa resistente al agua.
 Oftalmológicamente comprobado.
Incluye difuminador y sacapuntas.
 Resistente al agua.
 Duración hasta por 16 horas</t>
  </si>
  <si>
    <t>14024</t>
  </si>
  <si>
    <t>4856</t>
  </si>
  <si>
    <t>REVLON DEL OJ COL LIQ</t>
  </si>
  <si>
    <t>7790416016285</t>
  </si>
  <si>
    <t>14025</t>
  </si>
  <si>
    <t>4857</t>
  </si>
  <si>
    <t>7790416011778</t>
  </si>
  <si>
    <t>REVLON DEL OJ SO FIERCE</t>
  </si>
  <si>
    <t>14026</t>
  </si>
  <si>
    <t>4858</t>
  </si>
  <si>
    <t>7790416011785</t>
  </si>
  <si>
    <t>REVLON DEL OJOS MICRO GEL NEGRO</t>
  </si>
  <si>
    <t>14027</t>
  </si>
  <si>
    <t>7790416011815</t>
  </si>
  <si>
    <t>4859</t>
  </si>
  <si>
    <t>309972273635</t>
  </si>
  <si>
    <t>REVLON SUPER LUSTROUS NAIL ENAMEL ESMATE</t>
  </si>
  <si>
    <t>14028</t>
  </si>
  <si>
    <t>Esmalte para uñas que contiene proteínas de seda y tecnología Shade Lock, lo que preserva el color del esmalte. 5 free. Con proteínas de seda. 5 Free (Tolueno, Formaldehido, DBP, Resina de Formaldehido, Alcanfor). Hidratante</t>
  </si>
  <si>
    <t>7790416011273</t>
  </si>
  <si>
    <t>4860</t>
  </si>
  <si>
    <t>REVLON ESM COL GEL 010N</t>
  </si>
  <si>
    <t>14029</t>
  </si>
  <si>
    <t>7790416011266</t>
  </si>
  <si>
    <t>4861</t>
  </si>
  <si>
    <t>14030</t>
  </si>
  <si>
    <t>REVLON ESM COL GEL</t>
  </si>
  <si>
    <t>7790416011839</t>
  </si>
  <si>
    <t>14031</t>
  </si>
  <si>
    <t>4862</t>
  </si>
  <si>
    <t>309970136284</t>
  </si>
  <si>
    <t>REVLON ULTRA HD SNAP ESMALTE BLUE MY MIND</t>
  </si>
  <si>
    <t>7790416011808</t>
  </si>
  <si>
    <t>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</si>
  <si>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14032</t>
  </si>
  <si>
    <t>4863</t>
  </si>
  <si>
    <t>7790416011181</t>
  </si>
  <si>
    <t>309970136277</t>
  </si>
  <si>
    <t>REVLON ULTRA HD SNAP ESMALTE BRIGHT SIDE</t>
  </si>
  <si>
    <t>14033</t>
  </si>
  <si>
    <t>7790416011198</t>
  </si>
  <si>
    <t>4864</t>
  </si>
  <si>
    <t>309970139551</t>
  </si>
  <si>
    <t>REVLON ULTRA HD SNAP ESMALTE DAREDEVIL</t>
  </si>
  <si>
    <t>14034</t>
  </si>
  <si>
    <t>7790416013833</t>
  </si>
  <si>
    <t>4865</t>
  </si>
  <si>
    <t>14035</t>
  </si>
  <si>
    <t>309970136239</t>
  </si>
  <si>
    <t>REVLON ULTRA HD SNAP ESMALTE</t>
  </si>
  <si>
    <t>7790416018494</t>
  </si>
  <si>
    <t>14036</t>
  </si>
  <si>
    <t>4866</t>
  </si>
  <si>
    <t>309970136376</t>
  </si>
  <si>
    <t>7790416018517</t>
  </si>
  <si>
    <t>REVLON ULTRA HD SNAP ESMALTE NO DRAMA</t>
  </si>
  <si>
    <t>14037</t>
  </si>
  <si>
    <t>7790416018524</t>
  </si>
  <si>
    <t>4867</t>
  </si>
  <si>
    <t>309970139629</t>
  </si>
  <si>
    <t>REVLON ULTRA HD SNAP ESMALTE RULE THE WORLD</t>
  </si>
  <si>
    <t>14038</t>
  </si>
  <si>
    <t>7790416018531</t>
  </si>
  <si>
    <t>14039</t>
  </si>
  <si>
    <t>4868</t>
  </si>
  <si>
    <t>309970275709</t>
  </si>
  <si>
    <t>REVLON COLORSTAY FACE + BODY GLOW LOTION</t>
  </si>
  <si>
    <t>7790416018579</t>
  </si>
  <si>
    <t>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</si>
  <si>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14040</t>
  </si>
  <si>
    <t>4869</t>
  </si>
  <si>
    <t>7790416020053</t>
  </si>
  <si>
    <t>309970001148</t>
  </si>
  <si>
    <t>REVLON FACIAL ROLLER PIEDRA JADE</t>
  </si>
  <si>
    <t>ACCESORIOS</t>
  </si>
  <si>
    <t>14041</t>
  </si>
  <si>
    <t>7790416020060</t>
  </si>
  <si>
    <t>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</si>
  <si>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14042</t>
  </si>
  <si>
    <t>4870</t>
  </si>
  <si>
    <t>309970213404</t>
  </si>
  <si>
    <t>7790416020077</t>
  </si>
  <si>
    <t>REVLON COLORSTAY FLEX WEAR FULL COVER CONCEALER</t>
  </si>
  <si>
    <t>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</si>
  <si>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14043</t>
  </si>
  <si>
    <t>7790416020084</t>
  </si>
  <si>
    <t>4871</t>
  </si>
  <si>
    <t>309970174125</t>
  </si>
  <si>
    <t>REVLON SUPER LUSTROUS GLIMMER GLOSS</t>
  </si>
  <si>
    <t>14044</t>
  </si>
  <si>
    <t>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</si>
  <si>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7790416020091</t>
  </si>
  <si>
    <t>4872</t>
  </si>
  <si>
    <t>309970275839</t>
  </si>
  <si>
    <t>REVLON GLIMMER BRIGTENING CONCEALER</t>
  </si>
  <si>
    <t>14045</t>
  </si>
  <si>
    <t>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</si>
  <si>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7790416020107</t>
  </si>
  <si>
    <t>14046</t>
  </si>
  <si>
    <t>4873</t>
  </si>
  <si>
    <t>7790416022828</t>
  </si>
  <si>
    <t>REVLON GLIMMER GLOSS</t>
  </si>
  <si>
    <t>7790416025492</t>
  </si>
  <si>
    <t>14047</t>
  </si>
  <si>
    <t>4874</t>
  </si>
  <si>
    <t>309970270896</t>
  </si>
  <si>
    <t>REVLON GLIMMER LIP TREAT BALM + MASK</t>
  </si>
  <si>
    <t>7790416025508</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</si>
  <si>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</si>
  <si>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14048</t>
  </si>
  <si>
    <t>7790416025515</t>
  </si>
  <si>
    <t>4875</t>
  </si>
  <si>
    <t>REVLON GLITTER GLOSS</t>
  </si>
  <si>
    <t>14049</t>
  </si>
  <si>
    <t>7790416025522</t>
  </si>
  <si>
    <t>4876</t>
  </si>
  <si>
    <t>REVLON ILLUMINANCE FLUID</t>
  </si>
  <si>
    <t>14050</t>
  </si>
  <si>
    <t>7790416025539</t>
  </si>
  <si>
    <t>4877</t>
  </si>
  <si>
    <t>309970208837</t>
  </si>
  <si>
    <t>REVLON ILLUMINANCE FOND DE TEINT</t>
  </si>
  <si>
    <t>14051</t>
  </si>
  <si>
    <t>7790416016353</t>
  </si>
  <si>
    <t>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</si>
  <si>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14052</t>
  </si>
  <si>
    <t>4878</t>
  </si>
  <si>
    <t>309970223731</t>
  </si>
  <si>
    <t>REVLON ILLUMINANCE GEL SERUM BLUSH POMO</t>
  </si>
  <si>
    <t>7790416016308</t>
  </si>
  <si>
    <t>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</si>
  <si>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14053</t>
  </si>
  <si>
    <t>4879</t>
  </si>
  <si>
    <t>309970254827</t>
  </si>
  <si>
    <t>7790416016315</t>
  </si>
  <si>
    <t>REVLON ILLUMINANCE PRIMER CORRECT + BRIGHTEN</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</si>
  <si>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</si>
  <si>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14054</t>
  </si>
  <si>
    <t>7790416023788</t>
  </si>
  <si>
    <t>4880</t>
  </si>
  <si>
    <t>REVLON ILLUMINANCE PRIMER CORRECT</t>
  </si>
  <si>
    <t>14055</t>
  </si>
  <si>
    <t>7790416016537</t>
  </si>
  <si>
    <t>4881</t>
  </si>
  <si>
    <t>REVLON ILLUMINANCE PRIMER PROTECT</t>
  </si>
  <si>
    <t>14056</t>
  </si>
  <si>
    <t>7790416025225</t>
  </si>
  <si>
    <t>14057</t>
  </si>
  <si>
    <t>4882</t>
  </si>
  <si>
    <t>309970262518</t>
  </si>
  <si>
    <t>REVLON ILLUMINANCE PRIMER PROTECT + MOISTURIZE SPF25</t>
  </si>
  <si>
    <t>7790416016384</t>
  </si>
  <si>
    <t>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</si>
  <si>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14058</t>
  </si>
  <si>
    <t>4883</t>
  </si>
  <si>
    <t>309970254834</t>
  </si>
  <si>
    <t>7790416023801</t>
  </si>
  <si>
    <t>REVLON ILLUMINANCE PRIMER SMOOTH + HIDRATE</t>
  </si>
  <si>
    <t>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</si>
  <si>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14059</t>
  </si>
  <si>
    <t>7790416020770</t>
  </si>
  <si>
    <t>4884</t>
  </si>
  <si>
    <t>309970225124</t>
  </si>
  <si>
    <t>REVLON ILLUMINANCE SERUM TINT</t>
  </si>
  <si>
    <t>14060</t>
  </si>
  <si>
    <t>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</si>
  <si>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7790416016490</t>
  </si>
  <si>
    <t>4885</t>
  </si>
  <si>
    <t>309971879104</t>
  </si>
  <si>
    <t>REVLON KISS BALM</t>
  </si>
  <si>
    <t>14061</t>
  </si>
  <si>
    <t>7790416016360</t>
  </si>
  <si>
    <t>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</si>
  <si>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14062</t>
  </si>
  <si>
    <t>4886</t>
  </si>
  <si>
    <t>309974378017</t>
  </si>
  <si>
    <t>REVLON KISS EXFOLIATING LIP BALM</t>
  </si>
  <si>
    <t>7790416016469</t>
  </si>
  <si>
    <t>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</si>
  <si>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14063</t>
  </si>
  <si>
    <t>7790416016483</t>
  </si>
  <si>
    <t>4887</t>
  </si>
  <si>
    <t>7790416023641</t>
  </si>
  <si>
    <t>REVLON KIT INFALTABLES</t>
  </si>
  <si>
    <t>14064</t>
  </si>
  <si>
    <t>7790416016643</t>
  </si>
  <si>
    <t>4888</t>
  </si>
  <si>
    <t>7790416027120</t>
  </si>
  <si>
    <t>REVLON KIT PERFECT LIPS DELINEADOR BALSAMO GLIMMER</t>
  </si>
  <si>
    <t>14065</t>
  </si>
  <si>
    <t>7790416016650</t>
  </si>
  <si>
    <t>14066</t>
  </si>
  <si>
    <t>4889</t>
  </si>
  <si>
    <t>7790416024600</t>
  </si>
  <si>
    <t>REVLON KIT READY TO SHINE</t>
  </si>
  <si>
    <t>7790416016667</t>
  </si>
  <si>
    <t>14067</t>
  </si>
  <si>
    <t>4890</t>
  </si>
  <si>
    <t>7790416027113</t>
  </si>
  <si>
    <t>7790416023764</t>
  </si>
  <si>
    <t>REVLON KIT SEDUCTION DELINEADOR BALSAMO GLIMMER</t>
  </si>
  <si>
    <t>14068</t>
  </si>
  <si>
    <t>4891</t>
  </si>
  <si>
    <t>7790416016476</t>
  </si>
  <si>
    <t>REVLON LAB KISS CLOUD</t>
  </si>
  <si>
    <t>14069</t>
  </si>
  <si>
    <t>7790416016438</t>
  </si>
  <si>
    <t>4892</t>
  </si>
  <si>
    <t>309970215750</t>
  </si>
  <si>
    <t>REVLON COLORSTAY LIMITLESS MATTE LIQUID LIPSTICK</t>
  </si>
  <si>
    <t>14070</t>
  </si>
  <si>
    <t>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</si>
  <si>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7790416023795</t>
  </si>
  <si>
    <t>4893</t>
  </si>
  <si>
    <t>309970226558</t>
  </si>
  <si>
    <t>14071</t>
  </si>
  <si>
    <t>REVLON SUPER LUSTROUS CREME</t>
  </si>
  <si>
    <t>7790416016452</t>
  </si>
  <si>
    <t>Este icónico lápiz de labios es la combinación perfecta de color de alto impacto en una fórmula super humectante Acabado cremoso
Humectante
Ahora su fórmula también promete cuidado: gracias a su vitamina E y aceite de palta, garantiza la humectación de los labios.</t>
  </si>
  <si>
    <t>14072</t>
  </si>
  <si>
    <t>4894</t>
  </si>
  <si>
    <t>309970226541</t>
  </si>
  <si>
    <t>REVLON SUPER LUSTROUS PEARL</t>
  </si>
  <si>
    <t>7790416016346</t>
  </si>
  <si>
    <t>14073</t>
  </si>
  <si>
    <t>4895</t>
  </si>
  <si>
    <t>309971415067</t>
  </si>
  <si>
    <t>7790416016377</t>
  </si>
  <si>
    <t>REVLON SUPER LUSTROUS</t>
  </si>
  <si>
    <t>14074</t>
  </si>
  <si>
    <t>7798419016849</t>
  </si>
  <si>
    <t>4896</t>
  </si>
  <si>
    <t>REVLON LABIAL 029 CHA</t>
  </si>
  <si>
    <t>14075</t>
  </si>
  <si>
    <t>7790416016414</t>
  </si>
  <si>
    <t>4897</t>
  </si>
  <si>
    <t>14076</t>
  </si>
  <si>
    <t>REVLON LABIAL 730 N</t>
  </si>
  <si>
    <t>7790416016322</t>
  </si>
  <si>
    <t>14077</t>
  </si>
  <si>
    <t>4898</t>
  </si>
  <si>
    <t>REVLON LABIAL COL</t>
  </si>
  <si>
    <t>7790416016513</t>
  </si>
  <si>
    <t>14078</t>
  </si>
  <si>
    <t>7790416016421</t>
  </si>
  <si>
    <t>4899</t>
  </si>
  <si>
    <t>REVLON LABIAL LIQ MAT</t>
  </si>
  <si>
    <t>14079</t>
  </si>
  <si>
    <t>7790416023771</t>
  </si>
  <si>
    <t>4900</t>
  </si>
  <si>
    <t>309970093693</t>
  </si>
  <si>
    <t>REVLON SUPER LUSTROUS MATTE</t>
  </si>
  <si>
    <t>14080</t>
  </si>
  <si>
    <t>7790416020732</t>
  </si>
  <si>
    <t>4901</t>
  </si>
  <si>
    <t>309970117023</t>
  </si>
  <si>
    <t>14081</t>
  </si>
  <si>
    <t>REVLON COLORSTAY SATIN INK</t>
  </si>
  <si>
    <t>7790416020756</t>
  </si>
  <si>
    <t>14082</t>
  </si>
  <si>
    <t>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</si>
  <si>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14083</t>
  </si>
  <si>
    <t>4902</t>
  </si>
  <si>
    <t>REVLON LABIAL ULT HD</t>
  </si>
  <si>
    <t>14084</t>
  </si>
  <si>
    <t>14085</t>
  </si>
  <si>
    <t>4903</t>
  </si>
  <si>
    <t>REVLON LASH SERUM   LINER LIQUID BLACK</t>
  </si>
  <si>
    <t>14086</t>
  </si>
  <si>
    <t>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</si>
  <si>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14087</t>
  </si>
  <si>
    <t>4904</t>
  </si>
  <si>
    <t>REVLON LIGHT COVER FOUNDATION</t>
  </si>
  <si>
    <t>14088</t>
  </si>
  <si>
    <t>4905</t>
  </si>
  <si>
    <t>309974015141</t>
  </si>
  <si>
    <t>REVLON LIQ QUICK DRY</t>
  </si>
  <si>
    <t>14089</t>
  </si>
  <si>
    <t>309970278892</t>
  </si>
  <si>
    <t>4906</t>
  </si>
  <si>
    <t>309970282028</t>
  </si>
  <si>
    <t>REVLON GLIMMER LIQUID SHADOW</t>
  </si>
  <si>
    <t>14090</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</si>
  <si>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</si>
  <si>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309970278908</t>
  </si>
  <si>
    <t>4907</t>
  </si>
  <si>
    <t>309970126476</t>
  </si>
  <si>
    <t>REVLON SO FIERCE BIG BAD LASH MASCARA</t>
  </si>
  <si>
    <t>14091</t>
  </si>
  <si>
    <t>309970278878</t>
  </si>
  <si>
    <t>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</si>
  <si>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14092</t>
  </si>
  <si>
    <t>309970278922</t>
  </si>
  <si>
    <t>4908</t>
  </si>
  <si>
    <t>309970126483</t>
  </si>
  <si>
    <t>REVLON SO FIERCE BIG BAD LASH WATHER PROOF</t>
  </si>
  <si>
    <t>14093</t>
  </si>
  <si>
    <t>4909</t>
  </si>
  <si>
    <t>309970211752</t>
  </si>
  <si>
    <t>14094</t>
  </si>
  <si>
    <t>REVLON COLORSTAY FULL TIME MASCARA MARRON</t>
  </si>
  <si>
    <t>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</si>
  <si>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14095</t>
  </si>
  <si>
    <t>309974677066</t>
  </si>
  <si>
    <t>4910</t>
  </si>
  <si>
    <t>309970211745</t>
  </si>
  <si>
    <t>REVLON COLORSTAY FULL TIME MASCARA NEGRO INTENSO</t>
  </si>
  <si>
    <t>14096</t>
  </si>
  <si>
    <t>309974677080</t>
  </si>
  <si>
    <t>14097</t>
  </si>
  <si>
    <t>4911</t>
  </si>
  <si>
    <t>309970211776</t>
  </si>
  <si>
    <t>REVLON COLORSTAY FULL TIME MASCARA NEGRO INTENSO WATHER PROOF</t>
  </si>
  <si>
    <t>309974677097</t>
  </si>
  <si>
    <t>14098</t>
  </si>
  <si>
    <t>4912</t>
  </si>
  <si>
    <t>309977563014</t>
  </si>
  <si>
    <t>REVLON SO FIERCE MASCARA BLACK</t>
  </si>
  <si>
    <t>309974677059</t>
  </si>
  <si>
    <t>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</si>
  <si>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14099</t>
  </si>
  <si>
    <t>4913</t>
  </si>
  <si>
    <t>309977563038</t>
  </si>
  <si>
    <t>REVLON SO FIERCE MASCARA BROWN</t>
  </si>
  <si>
    <t>14100</t>
  </si>
  <si>
    <t>309974700061</t>
  </si>
  <si>
    <t>4914</t>
  </si>
  <si>
    <t>REVLON MASC VOL LEN BLACK</t>
  </si>
  <si>
    <t>14101</t>
  </si>
  <si>
    <t>309974700108</t>
  </si>
  <si>
    <t>4915</t>
  </si>
  <si>
    <t>REVLON MASC VOLUMAZING</t>
  </si>
  <si>
    <t>14102</t>
  </si>
  <si>
    <t>309974700139</t>
  </si>
  <si>
    <t>4916</t>
  </si>
  <si>
    <t>309970194116</t>
  </si>
  <si>
    <t>REVLON COLORSTAY XTENSIONNAIRE MASCARA BLACK</t>
  </si>
  <si>
    <t>14103</t>
  </si>
  <si>
    <t>309974700054</t>
  </si>
  <si>
    <t>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</si>
  <si>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14104</t>
  </si>
  <si>
    <t>4917</t>
  </si>
  <si>
    <t>309970194147</t>
  </si>
  <si>
    <t>REVLON COLORSTAY XTENSIONNAIRE MASCARA BLACK WATHER PROOF</t>
  </si>
  <si>
    <t>14105</t>
  </si>
  <si>
    <t>4918</t>
  </si>
  <si>
    <t>309970194130</t>
  </si>
  <si>
    <t>REVLON COLORSTAY XTENSIONNAIRE MASCARA BROWN</t>
  </si>
  <si>
    <t>14106</t>
  </si>
  <si>
    <t>4919</t>
  </si>
  <si>
    <t>REVLON MATTE LITE CRAYON 011 LIFTED</t>
  </si>
  <si>
    <t>14107</t>
  </si>
  <si>
    <t>4920</t>
  </si>
  <si>
    <t>REVLON MULTI PLAYER  DELINEADOR OJOS</t>
  </si>
  <si>
    <t>14108</t>
  </si>
  <si>
    <t>4921</t>
  </si>
  <si>
    <t>14109</t>
  </si>
  <si>
    <t>REVLON MULTI PLAYER 406 DELINEADOR OJOS</t>
  </si>
  <si>
    <t>14110</t>
  </si>
  <si>
    <t>4922</t>
  </si>
  <si>
    <t>309970169466</t>
  </si>
  <si>
    <t>REVLON SUPER LUSTROUS NAIL ENAMEL 570 VIXEN</t>
  </si>
  <si>
    <t>14111</t>
  </si>
  <si>
    <t>4923</t>
  </si>
  <si>
    <t>309970169411</t>
  </si>
  <si>
    <t>REVLON SUPER LUSTROUS NAIL ENAMEL</t>
  </si>
  <si>
    <t>14112</t>
  </si>
  <si>
    <t>4924</t>
  </si>
  <si>
    <t>309970039028</t>
  </si>
  <si>
    <t>REVLON COLORSTAY EYESHADOW PALETTE X 8 ENIGMA</t>
  </si>
  <si>
    <t>14113</t>
  </si>
  <si>
    <t>Tonos altamente pigmentados.</t>
  </si>
  <si>
    <t>309970101428</t>
  </si>
  <si>
    <t>4925</t>
  </si>
  <si>
    <t>309970039042</t>
  </si>
  <si>
    <t>REVLON COLORSTAY EYESHADOW PALETTE X 8 ORIGINAL</t>
  </si>
  <si>
    <t>14114</t>
  </si>
  <si>
    <t>309970095802</t>
  </si>
  <si>
    <t>Color intenso en una sola pasada.</t>
  </si>
  <si>
    <t>14115</t>
  </si>
  <si>
    <t>4926</t>
  </si>
  <si>
    <t>309970039011</t>
  </si>
  <si>
    <t>REVLON COLORSTAY EYESHADOW PALETTE X 8 MAVERICK</t>
  </si>
  <si>
    <t>Cada paleta incluye 8 tonos.</t>
  </si>
  <si>
    <t>14116</t>
  </si>
  <si>
    <t>4927</t>
  </si>
  <si>
    <t>309970039059</t>
  </si>
  <si>
    <t>REVLON COLORSTAY EYESHADOW PALETTE X 8 INSIDER</t>
  </si>
  <si>
    <t>Dura hasta por 24hs</t>
  </si>
  <si>
    <t>14117</t>
  </si>
  <si>
    <t>4928</t>
  </si>
  <si>
    <t>309970086640</t>
  </si>
  <si>
    <t>REVLON COLORSTAY EYESHADOW PALETTE X 8 DRAMER</t>
  </si>
  <si>
    <t>14118</t>
  </si>
  <si>
    <t>4929</t>
  </si>
  <si>
    <t>309970086633</t>
  </si>
  <si>
    <t>REVLON COLORSTAY EYESHADOW PALETTE X 8 ROCKER</t>
  </si>
  <si>
    <t>14119</t>
  </si>
  <si>
    <t>4930</t>
  </si>
  <si>
    <t>14120</t>
  </si>
  <si>
    <t>309970077921</t>
  </si>
  <si>
    <t>REVLON PHOTOREADY CONCEALER BARRA 02N</t>
  </si>
  <si>
    <t>Cobertura total e imperceptible
Los pigmentos fotocromáticos desvían y reflejan la luz para ayudar a eliminar todos los defectos</t>
  </si>
  <si>
    <t>14121</t>
  </si>
  <si>
    <t>4931</t>
  </si>
  <si>
    <t>REVLON PLUMPING LIP</t>
  </si>
  <si>
    <t>309976047027</t>
  </si>
  <si>
    <t>14122</t>
  </si>
  <si>
    <t>309976047034</t>
  </si>
  <si>
    <t>4932</t>
  </si>
  <si>
    <t>REVLON POLV BRON SKIN LIGHTS</t>
  </si>
  <si>
    <t>14123</t>
  </si>
  <si>
    <t>309976047041</t>
  </si>
  <si>
    <t>4933</t>
  </si>
  <si>
    <t>309974784146</t>
  </si>
  <si>
    <t>REVLON POWDER BLUSH</t>
  </si>
  <si>
    <t>14124</t>
  </si>
  <si>
    <t>Ultrafino y modulable, en tonos perfectos que se ven frescos todo el día.Brinda un toque de color natural a las mejillas
Destaca los pómulos al instante
Color graduable</t>
  </si>
  <si>
    <t>4934</t>
  </si>
  <si>
    <t>309974784191</t>
  </si>
  <si>
    <t>14125</t>
  </si>
  <si>
    <t>REVLON POWDER BLUSH 02 N</t>
  </si>
  <si>
    <t>7790416018968</t>
  </si>
  <si>
    <t>14126</t>
  </si>
  <si>
    <t>4935</t>
  </si>
  <si>
    <t>REVLON PRIME PLUS BRIGTENING</t>
  </si>
  <si>
    <t>7790416018975</t>
  </si>
  <si>
    <t>14127</t>
  </si>
  <si>
    <t>4936</t>
  </si>
  <si>
    <t>REVLON PRIME PLUS BRIGTENING NUEVO</t>
  </si>
  <si>
    <t>309970187040</t>
  </si>
  <si>
    <t>14128</t>
  </si>
  <si>
    <t>309970187057</t>
  </si>
  <si>
    <t>4937</t>
  </si>
  <si>
    <t>REVLON PRIME PLUS PERFECTING</t>
  </si>
  <si>
    <t>14129</t>
  </si>
  <si>
    <t>309970187064</t>
  </si>
  <si>
    <t>4938</t>
  </si>
  <si>
    <t>REVLON PRIMER ROSE GLOW</t>
  </si>
  <si>
    <t>14130</t>
  </si>
  <si>
    <t>309970187071</t>
  </si>
  <si>
    <t>14131</t>
  </si>
  <si>
    <t>4939</t>
  </si>
  <si>
    <t>309970075583</t>
  </si>
  <si>
    <t>REVLON ROLLER VOLCANIC OIL ABSORBING</t>
  </si>
  <si>
    <t>309970187095</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</si>
  <si>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</si>
  <si>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14132</t>
  </si>
  <si>
    <t>4940</t>
  </si>
  <si>
    <t>309970193058</t>
  </si>
  <si>
    <t>REVLON ROLLER CUARZO ROSA REVIVING</t>
  </si>
  <si>
    <t>309970187118</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</si>
  <si>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</si>
  <si>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14133</t>
  </si>
  <si>
    <t>309970187132</t>
  </si>
  <si>
    <t>4941</t>
  </si>
  <si>
    <t>309970544430</t>
  </si>
  <si>
    <t>REVLON SACAPUNTAS DOBLE</t>
  </si>
  <si>
    <t>ACCESORIOS PERF</t>
  </si>
  <si>
    <t>14134</t>
  </si>
  <si>
    <t>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</si>
  <si>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309970187149</t>
  </si>
  <si>
    <t>4942</t>
  </si>
  <si>
    <t>REVLON SET DIA DE LA MADRE</t>
  </si>
  <si>
    <t>14135</t>
  </si>
  <si>
    <t>309970187170</t>
  </si>
  <si>
    <t>4943</t>
  </si>
  <si>
    <t>14136</t>
  </si>
  <si>
    <t>REVLON SET LIP COMBO</t>
  </si>
  <si>
    <t>309970187187</t>
  </si>
  <si>
    <t>14137</t>
  </si>
  <si>
    <t>4944</t>
  </si>
  <si>
    <t>REVLON SET MIRADA PERFECTA</t>
  </si>
  <si>
    <t>309970187194</t>
  </si>
  <si>
    <t>14138</t>
  </si>
  <si>
    <t>309970187217</t>
  </si>
  <si>
    <t>4945</t>
  </si>
  <si>
    <t>REVLON SET READY TO SHINE</t>
  </si>
  <si>
    <t>14139</t>
  </si>
  <si>
    <t>309970187224</t>
  </si>
  <si>
    <t>4946</t>
  </si>
  <si>
    <t>REVLON SET TUS INFALTABLES</t>
  </si>
  <si>
    <t>14140</t>
  </si>
  <si>
    <t>4947</t>
  </si>
  <si>
    <t>14141</t>
  </si>
  <si>
    <t>REVLON SIKIN AWAKEN 5 IN 1</t>
  </si>
  <si>
    <t>309970166076</t>
  </si>
  <si>
    <t>14142</t>
  </si>
  <si>
    <t>4948</t>
  </si>
  <si>
    <t>REVLON SKIN LIGH ILUM NACAR</t>
  </si>
  <si>
    <t>309970166083</t>
  </si>
  <si>
    <t>14143</t>
  </si>
  <si>
    <t>4949</t>
  </si>
  <si>
    <t>REVLON SO FIERCE BIG BAD MASCARA PESTANAS</t>
  </si>
  <si>
    <t>309970166069</t>
  </si>
  <si>
    <t>14144</t>
  </si>
  <si>
    <t>4950</t>
  </si>
  <si>
    <t>309970166120</t>
  </si>
  <si>
    <t>REVLON SO FIERCE MASCARA PESTANAS</t>
  </si>
  <si>
    <t>14145</t>
  </si>
  <si>
    <t>4951</t>
  </si>
  <si>
    <t>7790416018944</t>
  </si>
  <si>
    <t>REVLON SO FIERCE PRISMATIC EYESHADOW PALETTE</t>
  </si>
  <si>
    <t>14146</t>
  </si>
  <si>
    <t>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</si>
  <si>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14147</t>
  </si>
  <si>
    <t>4952</t>
  </si>
  <si>
    <t>309970175146</t>
  </si>
  <si>
    <t>309970116415</t>
  </si>
  <si>
    <t>REVLON SO FIERCE PRISMATIC EYESHADOW PALETTE BIG BANG</t>
  </si>
  <si>
    <t>14148</t>
  </si>
  <si>
    <t>309970175177</t>
  </si>
  <si>
    <t>4953</t>
  </si>
  <si>
    <t>309970116316</t>
  </si>
  <si>
    <t>REVLON SO FIERCE PRISMATIC EYESHADOW PALETTE DUB</t>
  </si>
  <si>
    <t>14149</t>
  </si>
  <si>
    <t>309970175184</t>
  </si>
  <si>
    <t>4954</t>
  </si>
  <si>
    <t>309970116392</t>
  </si>
  <si>
    <t>14150</t>
  </si>
  <si>
    <t>REVLON SO FIERCE PRISMATIC EYESHADOW PALETTE FULLY</t>
  </si>
  <si>
    <t>14151</t>
  </si>
  <si>
    <t>4955</t>
  </si>
  <si>
    <t>309970116330</t>
  </si>
  <si>
    <t>REVLON SO FIERCE PRISMATIC EYESHADOW PALETTE TANTRUM</t>
  </si>
  <si>
    <t>14152</t>
  </si>
  <si>
    <t>4956</t>
  </si>
  <si>
    <t>309978535010</t>
  </si>
  <si>
    <t>REVLON COLORSTAY DAY TO NIGHT EYESHADOW QUAD 500 ADDICTIVE</t>
  </si>
  <si>
    <t>14153</t>
  </si>
  <si>
    <t>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</si>
  <si>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309970215118</t>
  </si>
  <si>
    <t>14154</t>
  </si>
  <si>
    <t>4957</t>
  </si>
  <si>
    <t>309978535027</t>
  </si>
  <si>
    <t>REVLON COLORSTAY DAY TO NIGHT EYESHADOW QUAD 505 DECADENT</t>
  </si>
  <si>
    <t>309970215125</t>
  </si>
  <si>
    <t>14155</t>
  </si>
  <si>
    <t>4958</t>
  </si>
  <si>
    <t>309978535072</t>
  </si>
  <si>
    <t>REVLON COLORSTAY DAY TO NIGHT EYESHADOW QUAD 530 SEDUCTIVE</t>
  </si>
  <si>
    <t>309970215132</t>
  </si>
  <si>
    <t>14156</t>
  </si>
  <si>
    <t>4959</t>
  </si>
  <si>
    <t>309970157289</t>
  </si>
  <si>
    <t>REVLON COLORSTAY DAY TO NIGHT EYESHADOW QUAD 560 STYLISH</t>
  </si>
  <si>
    <t>309970215149</t>
  </si>
  <si>
    <t>14157</t>
  </si>
  <si>
    <t>4960</t>
  </si>
  <si>
    <t>309970157296</t>
  </si>
  <si>
    <t>309970215156</t>
  </si>
  <si>
    <t>REVLON COLORSTAY DAY TO NIGHT EYESHADOW QUAD 565 PRETTY</t>
  </si>
  <si>
    <t>14158</t>
  </si>
  <si>
    <t>4961</t>
  </si>
  <si>
    <t>309970157302</t>
  </si>
  <si>
    <t>REVLON COLORSTAY DAY TO NIGHT EYESHADOW QUAD 570 STUNNING</t>
  </si>
  <si>
    <t>14159</t>
  </si>
  <si>
    <t>4962</t>
  </si>
  <si>
    <t>7790416020442</t>
  </si>
  <si>
    <t>REVLON SUPERLUSTROUS 006 REALLY RED</t>
  </si>
  <si>
    <t>14160</t>
  </si>
  <si>
    <t>4963</t>
  </si>
  <si>
    <t>14161</t>
  </si>
  <si>
    <t>309970136253</t>
  </si>
  <si>
    <t>REVLON ULTRA HD SNAP 002 MAKIN THE MOST</t>
  </si>
  <si>
    <t>14162</t>
  </si>
  <si>
    <t>4964</t>
  </si>
  <si>
    <t>309970139452</t>
  </si>
  <si>
    <t>REVLON ULTRA HD SNAP 013 BASIC</t>
  </si>
  <si>
    <t>14163</t>
  </si>
  <si>
    <t>4965</t>
  </si>
  <si>
    <t>309970139469</t>
  </si>
  <si>
    <t>REVLON ULTRA HD SNAP 014 RED AND REAL</t>
  </si>
  <si>
    <t>14164</t>
  </si>
  <si>
    <t>4966</t>
  </si>
  <si>
    <t>309970139483</t>
  </si>
  <si>
    <t>REVLON ULTRA HD SNAP 016 GET REAL</t>
  </si>
  <si>
    <t>14165</t>
  </si>
  <si>
    <t>4967</t>
  </si>
  <si>
    <t>309970223724</t>
  </si>
  <si>
    <t>RVLON ILUMINANCE GEL SERUM BLUSH POMO 110</t>
  </si>
  <si>
    <t>14166</t>
  </si>
  <si>
    <t>4968</t>
  </si>
  <si>
    <t>309976790039</t>
  </si>
  <si>
    <t>REVLON COLORSTAY EYE LINER BROWN</t>
  </si>
  <si>
    <t>14167</t>
  </si>
  <si>
    <t>14168</t>
  </si>
  <si>
    <t>4969</t>
  </si>
  <si>
    <t>309976790046</t>
  </si>
  <si>
    <t>REVLON COLORSTAY EYE LINER CHARCOAL</t>
  </si>
  <si>
    <t>14169</t>
  </si>
  <si>
    <t>4753</t>
  </si>
  <si>
    <t>3274872420625</t>
  </si>
  <si>
    <t>KENZO AMOUR EDP</t>
  </si>
  <si>
    <t>FRAG IMPORTADAS FEM</t>
  </si>
  <si>
    <t>14170</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</si>
  <si>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</si>
  <si>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</si>
  <si>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</si>
  <si>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</si>
  <si>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</si>
  <si>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</si>
  <si>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</si>
  <si>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</si>
  <si>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</si>
  <si>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</si>
  <si>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</si>
  <si>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</si>
  <si>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</si>
  <si>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</si>
  <si>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</si>
  <si>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</si>
  <si>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</si>
  <si>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</si>
  <si>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</si>
  <si>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</si>
  <si>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</si>
  <si>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</si>
  <si>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</si>
  <si>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</si>
  <si>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</si>
  <si>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</si>
  <si>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</si>
  <si>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</si>
  <si>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</si>
  <si>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</si>
  <si>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</si>
  <si>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</si>
  <si>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</si>
  <si>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309970136420</t>
  </si>
  <si>
    <t>14200</t>
  </si>
  <si>
    <t>309970139506</t>
  </si>
  <si>
    <t>14201</t>
  </si>
  <si>
    <t>309970139568</t>
  </si>
  <si>
    <t>14202</t>
  </si>
  <si>
    <t>309970139582</t>
  </si>
  <si>
    <t>14203</t>
  </si>
  <si>
    <t>309970139605</t>
  </si>
  <si>
    <t>14204</t>
  </si>
  <si>
    <t>309970139612</t>
  </si>
  <si>
    <t>14205</t>
  </si>
  <si>
    <t>14206</t>
  </si>
  <si>
    <t>14207</t>
  </si>
  <si>
    <t>14208</t>
  </si>
  <si>
    <t>309970275716</t>
  </si>
  <si>
    <t>14209</t>
  </si>
  <si>
    <t>309970275723</t>
  </si>
  <si>
    <t>14210</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</si>
  <si>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</si>
  <si>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</si>
  <si>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</si>
  <si>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</si>
  <si>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</si>
  <si>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</si>
  <si>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</si>
  <si>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</si>
  <si>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</si>
  <si>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</si>
  <si>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</si>
  <si>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</si>
  <si>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</si>
  <si>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</si>
  <si>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</si>
  <si>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</si>
  <si>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</si>
  <si>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</si>
  <si>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</si>
  <si>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</si>
  <si>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</si>
  <si>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</si>
  <si>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</si>
  <si>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</si>
  <si>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</si>
  <si>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14225</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</si>
  <si>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</si>
  <si>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</si>
  <si>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</si>
  <si>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</si>
  <si>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</si>
  <si>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</si>
  <si>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</si>
  <si>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</si>
  <si>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</si>
  <si>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</si>
  <si>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</si>
  <si>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</si>
  <si>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</si>
  <si>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</si>
  <si>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</si>
  <si>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</si>
  <si>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</si>
  <si>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</si>
  <si>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</si>
  <si>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</si>
  <si>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</si>
  <si>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</si>
  <si>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</si>
  <si>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</si>
  <si>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</si>
  <si>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</si>
  <si>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</si>
  <si>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14244</t>
  </si>
  <si>
    <t>14245</t>
  </si>
  <si>
    <t>14246</t>
  </si>
  <si>
    <t>14247</t>
  </si>
  <si>
    <t>14248</t>
  </si>
  <si>
    <t>14249</t>
  </si>
  <si>
    <t>14250</t>
  </si>
  <si>
    <t>309970225148</t>
  </si>
  <si>
    <t>14251</t>
  </si>
  <si>
    <t>309970225155</t>
  </si>
  <si>
    <t>14252</t>
  </si>
  <si>
    <t>309970225186</t>
  </si>
  <si>
    <t>14253</t>
  </si>
  <si>
    <t>309970225193</t>
  </si>
  <si>
    <t>14254</t>
  </si>
  <si>
    <t>14255</t>
  </si>
  <si>
    <t>309971879159</t>
  </si>
  <si>
    <t>14256</t>
  </si>
  <si>
    <t>309971879203</t>
  </si>
  <si>
    <t>14257</t>
  </si>
  <si>
    <t>14258</t>
  </si>
  <si>
    <t>14259</t>
  </si>
  <si>
    <t>14260</t>
  </si>
  <si>
    <t>14261</t>
  </si>
  <si>
    <t>14262</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</si>
  <si>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</si>
  <si>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</si>
  <si>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</si>
  <si>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</si>
  <si>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</si>
  <si>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</si>
  <si>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</si>
  <si>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</si>
  <si>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</si>
  <si>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</si>
  <si>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</si>
  <si>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</si>
  <si>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</si>
  <si>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</si>
  <si>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</si>
  <si>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</si>
  <si>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</si>
  <si>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</si>
  <si>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</si>
  <si>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</si>
  <si>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</si>
  <si>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</si>
  <si>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</si>
  <si>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</si>
  <si>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</si>
  <si>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</si>
  <si>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</si>
  <si>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</si>
  <si>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</si>
  <si>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</si>
  <si>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</si>
  <si>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</si>
  <si>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</si>
  <si>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</si>
  <si>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</si>
  <si>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</si>
  <si>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</si>
  <si>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</si>
  <si>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</si>
  <si>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</si>
  <si>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</si>
  <si>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</si>
  <si>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</si>
  <si>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</si>
  <si>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</si>
  <si>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</si>
  <si>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</si>
  <si>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</si>
  <si>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</si>
  <si>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</si>
  <si>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</si>
  <si>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</si>
  <si>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</si>
  <si>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</si>
  <si>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</si>
  <si>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</si>
  <si>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14293</t>
  </si>
  <si>
    <t>14294</t>
  </si>
  <si>
    <t>14295</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</si>
  <si>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</si>
  <si>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</si>
  <si>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</si>
  <si>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</si>
  <si>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</si>
  <si>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</si>
  <si>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</si>
  <si>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</si>
  <si>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</si>
  <si>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</si>
  <si>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</si>
  <si>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</si>
  <si>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</si>
  <si>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</si>
  <si>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</si>
  <si>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</si>
  <si>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</si>
  <si>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</si>
  <si>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</si>
  <si>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</si>
  <si>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</si>
  <si>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</si>
  <si>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</si>
  <si>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</si>
  <si>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</si>
  <si>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</si>
  <si>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</si>
  <si>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</si>
  <si>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</si>
  <si>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</si>
  <si>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</si>
  <si>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</si>
  <si>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</si>
  <si>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14315</t>
  </si>
  <si>
    <t>14316</t>
  </si>
  <si>
    <t>14317</t>
  </si>
  <si>
    <t>14318</t>
  </si>
  <si>
    <t>14319</t>
  </si>
  <si>
    <t>14320</t>
  </si>
  <si>
    <t>309970282042</t>
  </si>
  <si>
    <t>14321</t>
  </si>
  <si>
    <t>309970282059</t>
  </si>
  <si>
    <t>14322</t>
  </si>
  <si>
    <t>309970282073</t>
  </si>
  <si>
    <t>14323</t>
  </si>
  <si>
    <t>309970282097</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</si>
  <si>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</si>
  <si>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</si>
  <si>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</si>
  <si>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</si>
  <si>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</si>
  <si>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</si>
  <si>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</si>
  <si>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</si>
  <si>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</si>
  <si>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</si>
  <si>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</si>
  <si>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</si>
  <si>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</si>
  <si>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</si>
  <si>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</si>
  <si>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</si>
  <si>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</si>
  <si>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</si>
  <si>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</si>
  <si>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</si>
  <si>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</si>
  <si>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</si>
  <si>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</si>
  <si>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</si>
  <si>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</si>
  <si>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</si>
  <si>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</si>
  <si>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</si>
  <si>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309974784184</t>
  </si>
  <si>
    <t>14352</t>
  </si>
  <si>
    <t>309974784030</t>
  </si>
  <si>
    <t>14353</t>
  </si>
  <si>
    <t>309974784160</t>
  </si>
  <si>
    <t>14354</t>
  </si>
  <si>
    <t>309974784061</t>
  </si>
  <si>
    <t>14355</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</si>
  <si>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</si>
  <si>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</si>
  <si>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</si>
  <si>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</si>
  <si>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</si>
  <si>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</si>
  <si>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</si>
  <si>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</si>
  <si>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</si>
  <si>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</si>
  <si>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</si>
  <si>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</si>
  <si>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</si>
  <si>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</si>
  <si>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</si>
  <si>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</si>
  <si>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</si>
  <si>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</si>
  <si>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</si>
  <si>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</si>
  <si>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</si>
  <si>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</si>
  <si>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</si>
  <si>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</si>
  <si>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</si>
  <si>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</si>
  <si>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</si>
  <si>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</si>
  <si>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</si>
  <si>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</si>
  <si>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</si>
  <si>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</si>
  <si>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</si>
  <si>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</si>
  <si>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</si>
  <si>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</si>
  <si>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Castaño Oscuro</t>
  </si>
  <si>
    <t>14392</t>
  </si>
  <si>
    <t>14393</t>
  </si>
  <si>
    <t>30ml</t>
  </si>
  <si>
    <t>0</t>
  </si>
  <si>
    <t>Turquesa</t>
  </si>
  <si>
    <t>13902</t>
  </si>
  <si>
    <t>13903</t>
  </si>
  <si>
    <t>3274872420601</t>
  </si>
  <si>
    <t>13904</t>
  </si>
  <si>
    <t>3274872420618</t>
  </si>
  <si>
    <t>13988</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</si>
</sst>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color theme="1"/>
      <name val="Calibri"/>
      <scheme val="minor"/>
    </font>
    <font>
      <b/>
      <sz val="14.0"/>
      <color rgb="FFFFFFFF"/>
      <name val="Calibri"/>
    </font>
    <font/>
    <font>
      <i/>
      <sz val="9.0"/>
      <color rgb="FF92400E"/>
      <name val="Calibri"/>
    </font>
    <font>
      <b/>
      <sz val="10.0"/>
      <color rgb="FFFFFFFF"/>
      <name val="Calibri"/>
    </font>
    <font>
      <sz val="10.0"/>
      <color rgb="FF1E1B4B"/>
      <name val="Calibri"/>
    </font>
    <font>
      <sz val="10.0"/>
      <color rgb="FF065F46"/>
      <name val="Calibri"/>
    </font>
    <font>
      <sz val="10.0"/>
      <color rgb="FF1E3A5F"/>
      <name val="Calibri"/>
    </font>
    <font>
      <b/>
      <sz val="10.0"/>
      <color rgb="FF1E1B4B"/>
      <name val="Calibri"/>
    </font>
    <font>
      <i/>
      <sz val="10.0"/>
      <color rgb="FF065F46"/>
      <name val="Calibri"/>
    </font>
    <font>
      <b/>
      <sz val="10.0"/>
      <color rgb="FFEF4444"/>
      <name val="Calibri"/>
      <scheme val="minor"/>
    </font>
    <font>
      <b/>
      <sz val="10.0"/>
      <color rgb="FF16A34A"/>
      <name val="Calibri"/>
      <scheme val="minor"/>
    </font>
    <font>
      <b/>
      <sz val="10.0"/>
      <color rgb="FF065F46"/>
      <name val="Calibri"/>
    </font>
  </fonts>
  <fills count="16">
    <fill>
      <patternFill patternType="none"/>
    </fill>
    <fill>
      <patternFill patternType="lightGray"/>
    </fill>
    <fill>
      <patternFill patternType="solid">
        <fgColor rgb="FF7C3AED"/>
        <bgColor rgb="FF7C3AED"/>
      </patternFill>
    </fill>
    <fill>
      <patternFill patternType="solid">
        <fgColor rgb="FF1E1B4B"/>
        <bgColor rgb="FF1E1B4B"/>
      </patternFill>
    </fill>
    <fill>
      <patternFill patternType="solid">
        <fgColor rgb="FFFEF3C7"/>
        <bgColor rgb="FFFEF3C7"/>
      </patternFill>
    </fill>
    <fill>
      <patternFill patternType="solid">
        <fgColor rgb="FFF77C6A"/>
        <bgColor rgb="FFF77C6A"/>
      </patternFill>
    </fill>
    <fill>
      <patternFill patternType="solid">
        <fgColor rgb="FF7C6AF7"/>
        <bgColor rgb="FF7C6AF7"/>
      </patternFill>
    </fill>
    <fill>
      <patternFill patternType="solid">
        <fgColor rgb="FF22C55E"/>
        <bgColor rgb="FF22C55E"/>
      </patternFill>
    </fill>
    <fill>
      <patternFill patternType="solid">
        <fgColor rgb="FF3B82F6"/>
        <bgColor rgb="FF3B82F6"/>
      </patternFill>
    </fill>
    <fill>
      <patternFill patternType="solid">
        <fgColor rgb="FFFFA500"/>
        <bgColor rgb="FFFFA500"/>
      </patternFill>
    </fill>
    <fill>
      <patternFill patternType="solid">
        <fgColor rgb="FFFFFFFF"/>
        <bgColor rgb="FFFFFFFF"/>
      </patternFill>
    </fill>
    <fill>
      <patternFill patternType="solid">
        <fgColor rgb="FFD1FAE5"/>
        <bgColor rgb="FFD1FAE5"/>
      </patternFill>
    </fill>
    <fill>
      <patternFill patternType="solid">
        <fgColor rgb="FFDBEAFE"/>
        <bgColor rgb="FFDBEAFE"/>
      </patternFill>
    </fill>
    <fill>
      <patternFill patternType="solid">
        <fgColor rgb="FFFFF7ED"/>
        <bgColor rgb="FFFFF7ED"/>
      </patternFill>
    </fill>
    <fill>
      <patternFill patternType="solid">
        <fgColor rgb="FFF8F7FF"/>
        <bgColor rgb="FFF8F7FF"/>
      </patternFill>
    </fill>
    <fill>
      <patternFill patternType="solid">
        <fgColor rgb="FFBFDBFE"/>
        <bgColor rgb="FFBFDBFE"/>
      </patternFill>
    </fill>
  </fills>
  <borders count="6">
    <border/>
    <border>
      <left/>
      <top/>
      <bottom/>
    </border>
    <border>
      <top/>
      <bottom/>
    </border>
    <border>
      <right/>
      <top/>
      <bottom/>
    </border>
    <border>
      <left style="thin">
        <color rgb="FFD4D4D4"/>
      </left>
      <right style="thin">
        <color rgb="FFD4D4D4"/>
      </right>
      <top style="thin">
        <color rgb="FFD4D4D4"/>
      </top>
      <bottom style="thin">
        <color rgb="FFD4D4D4"/>
      </bottom>
    </border>
    <border>
      <left style="hair">
        <color rgb="FFE5E7EB"/>
      </left>
      <right style="hair">
        <color rgb="FFE5E7EB"/>
      </right>
      <top style="hair">
        <color rgb="FFE5E7EB"/>
      </top>
      <bottom style="hair">
        <color rgb="FFE5E7EB"/>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1" fillId="3" fontId="2" numFmtId="0" xfId="0" applyAlignment="1" applyBorder="1" applyFill="1" applyFont="1">
      <alignment horizontal="center" vertical="center"/>
    </xf>
    <xf borderId="2" fillId="0" fontId="3" numFmtId="0" xfId="0" applyBorder="1" applyFont="1"/>
    <xf borderId="3" fillId="0" fontId="3" numFmtId="0" xfId="0" applyBorder="1" applyFont="1"/>
    <xf borderId="1" fillId="4" fontId="4" numFmtId="0" xfId="0" applyAlignment="1" applyBorder="1" applyFill="1" applyFont="1">
      <alignment shrinkToFit="0" vertical="center" wrapText="1"/>
    </xf>
    <xf borderId="4" fillId="5" fontId="5" numFmtId="0" xfId="0" applyAlignment="1" applyBorder="1" applyFill="1" applyFont="1">
      <alignment horizontal="center" shrinkToFit="0" vertical="center" wrapText="1"/>
    </xf>
    <xf borderId="4" fillId="6" fontId="5" numFmtId="0" xfId="0" applyAlignment="1" applyBorder="1" applyFill="1" applyFont="1">
      <alignment horizontal="center" shrinkToFit="0" vertical="center" wrapText="1"/>
    </xf>
    <xf borderId="4" fillId="7" fontId="5" numFmtId="0" xfId="0" applyAlignment="1" applyBorder="1" applyFill="1" applyFont="1">
      <alignment horizontal="center" shrinkToFit="0" vertical="center" wrapText="1"/>
    </xf>
    <xf borderId="4" fillId="3" fontId="5" numFmtId="0" xfId="0" applyAlignment="1" applyBorder="1" applyFont="1">
      <alignment horizontal="center" shrinkToFit="0" vertical="center" wrapText="1"/>
    </xf>
    <xf borderId="4" fillId="8" fontId="5" numFmtId="0" xfId="0" applyAlignment="1" applyBorder="1" applyFill="1" applyFont="1">
      <alignment horizontal="center" shrinkToFit="0" vertical="center" wrapText="1"/>
    </xf>
    <xf borderId="4" fillId="9" fontId="5" numFmtId="0" xfId="0" applyAlignment="1" applyBorder="1" applyFill="1" applyFont="1">
      <alignment horizontal="center" shrinkToFit="0" vertical="center" wrapText="1"/>
    </xf>
    <xf borderId="5" fillId="10" fontId="6" numFmtId="0" xfId="0" applyAlignment="1" applyBorder="1" applyFill="1" applyFont="1">
      <alignment shrinkToFit="0" vertical="center" wrapText="1"/>
    </xf>
    <xf borderId="5" fillId="11" fontId="7" numFmtId="0" xfId="0" applyAlignment="1" applyBorder="1" applyFill="1" applyFont="1">
      <alignment horizontal="center" vertical="center"/>
    </xf>
    <xf borderId="5" fillId="12" fontId="8" numFmtId="0" xfId="0" applyAlignment="1" applyBorder="1" applyFill="1" applyFont="1">
      <alignment shrinkToFit="0" vertical="center" wrapText="1"/>
    </xf>
    <xf borderId="5" fillId="10" fontId="6" numFmtId="0" xfId="0" applyAlignment="1" applyBorder="1" applyFont="1">
      <alignment horizontal="center" vertical="center"/>
    </xf>
    <xf borderId="5" fillId="10" fontId="9" numFmtId="0" xfId="0" applyAlignment="1" applyBorder="1" applyFont="1">
      <alignment shrinkToFit="0" vertical="center" wrapText="1"/>
    </xf>
    <xf borderId="5" fillId="10" fontId="9" numFmtId="0" xfId="0" applyAlignment="1" applyBorder="1" applyFont="1">
      <alignment horizontal="right" vertical="center"/>
    </xf>
    <xf borderId="5" fillId="12" fontId="8" numFmtId="0" xfId="0" applyAlignment="1" applyBorder="1" applyFont="1">
      <alignment readingOrder="0" shrinkToFit="0" vertical="center" wrapText="1"/>
    </xf>
    <xf borderId="5" fillId="11" fontId="10" numFmtId="0" xfId="0" applyAlignment="1" applyBorder="1" applyFont="1">
      <alignment horizontal="center" vertical="center"/>
    </xf>
    <xf borderId="5" fillId="10" fontId="11" numFmtId="0" xfId="0" applyAlignment="1" applyBorder="1" applyFont="1">
      <alignment shrinkToFit="0" vertical="center" wrapText="1"/>
    </xf>
    <xf borderId="5" fillId="10" fontId="12" numFmtId="0" xfId="0" applyAlignment="1" applyBorder="1" applyFont="1">
      <alignment vertical="center"/>
    </xf>
    <xf borderId="5" fillId="10" fontId="12" numFmtId="0" xfId="0" applyAlignment="1" applyBorder="1" applyFont="1">
      <alignment shrinkToFit="0" vertical="center" wrapText="1"/>
    </xf>
    <xf borderId="5" fillId="11" fontId="13" numFmtId="0" xfId="0" applyAlignment="1" applyBorder="1" applyFont="1">
      <alignment horizontal="right" vertical="center"/>
    </xf>
    <xf borderId="5" fillId="13" fontId="6" numFmtId="0" xfId="0" applyAlignment="1" applyBorder="1" applyFill="1" applyFont="1">
      <alignment shrinkToFit="0" vertical="center" wrapText="1"/>
    </xf>
    <xf borderId="5" fillId="13" fontId="6" numFmtId="0" xfId="0" applyAlignment="1" applyBorder="1" applyFont="1">
      <alignment horizontal="center" vertical="center"/>
    </xf>
    <xf borderId="5" fillId="13" fontId="9" numFmtId="0" xfId="0" applyAlignment="1" applyBorder="1" applyFont="1">
      <alignment shrinkToFit="0" vertical="center" wrapText="1"/>
    </xf>
    <xf borderId="5" fillId="14" fontId="6" numFmtId="0" xfId="0" applyAlignment="1" applyBorder="1" applyFill="1" applyFont="1">
      <alignment shrinkToFit="0" vertical="center" wrapText="1"/>
    </xf>
    <xf borderId="5" fillId="13" fontId="9" numFmtId="0" xfId="0" applyAlignment="1" applyBorder="1" applyFont="1">
      <alignment horizontal="right" vertical="center"/>
    </xf>
    <xf borderId="5" fillId="15" fontId="8" numFmtId="0" xfId="0" applyAlignment="1" applyBorder="1" applyFill="1" applyFont="1">
      <alignment shrinkToFit="0" vertical="center" wrapText="1"/>
    </xf>
    <xf borderId="5" fillId="13" fontId="12" numFmtId="0" xfId="0" applyAlignment="1" applyBorder="1" applyFont="1">
      <alignment vertical="center"/>
    </xf>
    <xf borderId="5" fillId="14" fontId="11" numFmtId="0" xfId="0" applyAlignment="1" applyBorder="1" applyFont="1">
      <alignment shrinkToFit="0" vertical="center" wrapText="1"/>
    </xf>
    <xf borderId="5" fillId="14" fontId="12" numFmtId="0" xfId="0" applyAlignment="1" applyBorder="1" applyFont="1">
      <alignment shrinkToFit="0" vertical="center" wrapText="1"/>
    </xf>
    <xf borderId="5" fillId="14" fontId="6"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8" width="8.71"/>
  </cols>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row>
    <row r="2">
      <c r="A2" s="1" t="s">
        <v>40</v>
      </c>
      <c r="B2" s="1" t="s">
        <v>41</v>
      </c>
      <c r="C2" s="1" t="s">
        <v>42</v>
      </c>
      <c r="D2" s="1" t="s">
        <v>43</v>
      </c>
      <c r="E2" s="1" t="s">
        <v>44</v>
      </c>
      <c r="F2" s="1" t="s">
        <v>45</v>
      </c>
      <c r="G2" s="1" t="s">
        <v>46</v>
      </c>
      <c r="H2" s="1" t="s">
        <v>47</v>
      </c>
      <c r="I2" s="1" t="s">
        <v>48</v>
      </c>
      <c r="J2" s="1" t="s">
        <v>49</v>
      </c>
      <c r="K2" s="1" t="s">
        <v>50</v>
      </c>
      <c r="L2" s="1" t="s">
        <v>51</v>
      </c>
      <c r="M2" s="1" t="s">
        <v>52</v>
      </c>
      <c r="N2" s="1" t="s">
        <v>53</v>
      </c>
      <c r="O2" s="1" t="s">
        <v>53</v>
      </c>
      <c r="P2" s="1" t="s">
        <v>53</v>
      </c>
      <c r="Q2" s="1" t="s">
        <v>54</v>
      </c>
      <c r="R2" s="1" t="s">
        <v>55</v>
      </c>
      <c r="S2" s="1" t="s">
        <v>56</v>
      </c>
      <c r="T2" s="1" t="s">
        <v>57</v>
      </c>
      <c r="U2" s="1" t="s">
        <v>58</v>
      </c>
      <c r="V2" s="1" t="s">
        <v>59</v>
      </c>
      <c r="W2" s="1" t="s">
        <v>60</v>
      </c>
      <c r="X2" s="1" t="s">
        <v>61</v>
      </c>
      <c r="Y2" s="1" t="s">
        <v>62</v>
      </c>
      <c r="Z2" s="1" t="s">
        <v>63</v>
      </c>
      <c r="AA2" s="1" t="s">
        <v>64</v>
      </c>
      <c r="AB2" s="1" t="s">
        <v>59</v>
      </c>
      <c r="AC2" s="1" t="s">
        <v>65</v>
      </c>
      <c r="AD2" s="1" t="s">
        <v>66</v>
      </c>
      <c r="AE2" s="1" t="s">
        <v>67</v>
      </c>
      <c r="AF2" s="1" t="s">
        <v>68</v>
      </c>
      <c r="AG2" s="1" t="s">
        <v>69</v>
      </c>
      <c r="AH2" s="1" t="s">
        <v>70</v>
      </c>
      <c r="AI2" s="1" t="s">
        <v>71</v>
      </c>
      <c r="AJ2" s="1" t="s">
        <v>73</v>
      </c>
      <c r="AK2" s="1" t="s">
        <v>74</v>
      </c>
      <c r="AL2" s="1" t="s">
        <v>75</v>
      </c>
    </row>
    <row r="3">
      <c r="A3" s="1" t="s">
        <v>77</v>
      </c>
      <c r="B3" s="1" t="s">
        <v>78</v>
      </c>
      <c r="C3" s="1" t="s">
        <v>79</v>
      </c>
      <c r="D3" s="1" t="s">
        <v>80</v>
      </c>
      <c r="E3" s="1" t="s">
        <v>81</v>
      </c>
      <c r="F3" s="1" t="s">
        <v>82</v>
      </c>
      <c r="G3" s="1" t="s">
        <v>83</v>
      </c>
      <c r="H3" s="1" t="s">
        <v>84</v>
      </c>
      <c r="I3" s="1" t="s">
        <v>85</v>
      </c>
      <c r="J3" s="1" t="s">
        <v>86</v>
      </c>
      <c r="K3" s="1" t="s">
        <v>87</v>
      </c>
      <c r="L3" s="1" t="s">
        <v>88</v>
      </c>
      <c r="M3" s="1" t="s">
        <v>89</v>
      </c>
      <c r="N3" s="1" t="s">
        <v>90</v>
      </c>
      <c r="O3" s="1" t="s">
        <v>90</v>
      </c>
      <c r="P3" s="1" t="s">
        <v>90</v>
      </c>
      <c r="Q3" s="1" t="s">
        <v>91</v>
      </c>
      <c r="R3" s="1" t="s">
        <v>92</v>
      </c>
      <c r="S3" s="1" t="s">
        <v>93</v>
      </c>
      <c r="T3" s="1" t="s">
        <v>94</v>
      </c>
      <c r="U3" s="1" t="s">
        <v>95</v>
      </c>
      <c r="V3" s="1" t="s">
        <v>96</v>
      </c>
      <c r="W3" s="1" t="s">
        <v>97</v>
      </c>
      <c r="X3" s="1" t="s">
        <v>98</v>
      </c>
      <c r="Y3" s="1" t="s">
        <v>99</v>
      </c>
      <c r="Z3" s="1" t="s">
        <v>100</v>
      </c>
      <c r="AA3" s="1" t="s">
        <v>101</v>
      </c>
      <c r="AB3" s="1" t="s">
        <v>96</v>
      </c>
      <c r="AC3" s="1" t="s">
        <v>102</v>
      </c>
      <c r="AD3" s="1" t="s">
        <v>103</v>
      </c>
      <c r="AE3" s="1" t="s">
        <v>66</v>
      </c>
      <c r="AF3" s="1" t="s">
        <v>104</v>
      </c>
      <c r="AG3" s="1" t="s">
        <v>105</v>
      </c>
      <c r="AH3" s="1" t="s">
        <v>106</v>
      </c>
      <c r="AI3" s="1" t="s">
        <v>66</v>
      </c>
      <c r="AJ3" s="1" t="s">
        <v>107</v>
      </c>
      <c r="AK3" s="1" t="s">
        <v>108</v>
      </c>
      <c r="AL3" s="1" t="s">
        <v>109</v>
      </c>
    </row>
    <row r="4">
      <c r="B4" s="1" t="s">
        <v>42</v>
      </c>
      <c r="C4" s="1" t="s">
        <v>78</v>
      </c>
      <c r="D4" s="1" t="s">
        <v>110</v>
      </c>
      <c r="E4" s="1" t="s">
        <v>112</v>
      </c>
      <c r="F4" s="1" t="s">
        <v>114</v>
      </c>
      <c r="G4" s="1" t="s">
        <v>115</v>
      </c>
      <c r="H4" s="1" t="s">
        <v>116</v>
      </c>
      <c r="I4" s="1" t="s">
        <v>117</v>
      </c>
      <c r="J4" s="1" t="s">
        <v>118</v>
      </c>
      <c r="K4" s="1" t="s">
        <v>119</v>
      </c>
      <c r="L4" s="1" t="s">
        <v>120</v>
      </c>
      <c r="M4" s="1" t="s">
        <v>121</v>
      </c>
      <c r="N4" s="1" t="s">
        <v>122</v>
      </c>
      <c r="O4" s="1" t="s">
        <v>122</v>
      </c>
      <c r="P4" s="1" t="s">
        <v>123</v>
      </c>
      <c r="Q4" s="1" t="s">
        <v>124</v>
      </c>
      <c r="R4" s="1" t="s">
        <v>126</v>
      </c>
      <c r="S4" s="1" t="s">
        <v>127</v>
      </c>
      <c r="T4" s="1" t="s">
        <v>128</v>
      </c>
      <c r="V4" s="1" t="s">
        <v>129</v>
      </c>
      <c r="W4" s="1" t="s">
        <v>130</v>
      </c>
      <c r="X4" s="1" t="s">
        <v>131</v>
      </c>
      <c r="Y4" s="1" t="s">
        <v>132</v>
      </c>
      <c r="Z4" s="1" t="s">
        <v>133</v>
      </c>
      <c r="AB4" s="1" t="s">
        <v>128</v>
      </c>
      <c r="AC4" s="1" t="s">
        <v>135</v>
      </c>
      <c r="AE4" s="1" t="s">
        <v>71</v>
      </c>
      <c r="AF4" s="1" t="s">
        <v>136</v>
      </c>
      <c r="AJ4" s="1" t="s">
        <v>137</v>
      </c>
      <c r="AK4" s="1" t="s">
        <v>95</v>
      </c>
      <c r="AL4" s="1" t="s">
        <v>138</v>
      </c>
    </row>
    <row r="5">
      <c r="B5" s="1" t="s">
        <v>79</v>
      </c>
      <c r="C5" s="1" t="s">
        <v>139</v>
      </c>
      <c r="F5" s="1" t="s">
        <v>140</v>
      </c>
      <c r="G5" s="1" t="s">
        <v>142</v>
      </c>
      <c r="H5" s="1" t="s">
        <v>143</v>
      </c>
      <c r="I5" s="1" t="s">
        <v>144</v>
      </c>
      <c r="J5" s="1" t="s">
        <v>145</v>
      </c>
      <c r="K5" s="1" t="s">
        <v>146</v>
      </c>
      <c r="L5" s="1" t="s">
        <v>148</v>
      </c>
      <c r="M5" s="1" t="s">
        <v>149</v>
      </c>
      <c r="N5" s="1" t="s">
        <v>123</v>
      </c>
      <c r="O5" s="1" t="s">
        <v>123</v>
      </c>
      <c r="P5" s="1" t="s">
        <v>150</v>
      </c>
      <c r="Q5" s="1" t="s">
        <v>151</v>
      </c>
      <c r="R5" s="1" t="s">
        <v>153</v>
      </c>
      <c r="S5" s="1" t="s">
        <v>154</v>
      </c>
      <c r="V5" s="1" t="s">
        <v>155</v>
      </c>
      <c r="W5" s="1" t="s">
        <v>156</v>
      </c>
      <c r="X5" s="1" t="s">
        <v>158</v>
      </c>
      <c r="Y5" s="1" t="s">
        <v>159</v>
      </c>
      <c r="AE5" s="1" t="s">
        <v>161</v>
      </c>
      <c r="AJ5" s="1" t="s">
        <v>162</v>
      </c>
      <c r="AK5" s="1" t="s">
        <v>163</v>
      </c>
      <c r="AL5" s="1" t="s">
        <v>164</v>
      </c>
    </row>
    <row r="6">
      <c r="B6" s="1" t="s">
        <v>139</v>
      </c>
      <c r="C6" s="1" t="s">
        <v>112</v>
      </c>
      <c r="F6" s="1" t="s">
        <v>166</v>
      </c>
      <c r="G6" s="1" t="s">
        <v>166</v>
      </c>
      <c r="H6" s="1" t="s">
        <v>42</v>
      </c>
      <c r="I6" s="1" t="s">
        <v>167</v>
      </c>
      <c r="J6" s="1" t="s">
        <v>169</v>
      </c>
      <c r="K6" s="1" t="s">
        <v>170</v>
      </c>
      <c r="L6" s="1" t="s">
        <v>166</v>
      </c>
      <c r="M6" s="1" t="s">
        <v>166</v>
      </c>
      <c r="N6" s="1" t="s">
        <v>150</v>
      </c>
      <c r="O6" s="1" t="s">
        <v>150</v>
      </c>
      <c r="Q6" s="1" t="s">
        <v>173</v>
      </c>
      <c r="R6" s="1" t="s">
        <v>174</v>
      </c>
      <c r="S6" s="1" t="s">
        <v>175</v>
      </c>
      <c r="V6" s="1" t="s">
        <v>176</v>
      </c>
      <c r="W6" s="1" t="s">
        <v>177</v>
      </c>
      <c r="AE6" s="1" t="s">
        <v>179</v>
      </c>
      <c r="AK6" s="1" t="s">
        <v>180</v>
      </c>
      <c r="AL6" s="1" t="s">
        <v>182</v>
      </c>
    </row>
    <row r="7">
      <c r="B7" s="1" t="s">
        <v>183</v>
      </c>
      <c r="C7" s="1" t="s">
        <v>184</v>
      </c>
      <c r="H7" s="1" t="s">
        <v>60</v>
      </c>
      <c r="I7" s="1" t="s">
        <v>186</v>
      </c>
      <c r="J7" s="1" t="s">
        <v>188</v>
      </c>
      <c r="K7" s="1" t="s">
        <v>189</v>
      </c>
      <c r="S7" s="1" t="s">
        <v>190</v>
      </c>
      <c r="V7" s="1" t="s">
        <v>191</v>
      </c>
      <c r="W7" s="1" t="s">
        <v>192</v>
      </c>
      <c r="AK7" s="1" t="s">
        <v>195</v>
      </c>
      <c r="AL7" s="1" t="s">
        <v>196</v>
      </c>
    </row>
    <row r="8">
      <c r="B8" s="1" t="s">
        <v>184</v>
      </c>
      <c r="H8" s="1" t="s">
        <v>197</v>
      </c>
      <c r="I8" s="1" t="s">
        <v>199</v>
      </c>
      <c r="K8" s="1" t="s">
        <v>166</v>
      </c>
      <c r="S8" s="1" t="s">
        <v>201</v>
      </c>
      <c r="AL8" s="1" t="s">
        <v>202</v>
      </c>
    </row>
    <row r="9">
      <c r="B9" s="1" t="s">
        <v>204</v>
      </c>
      <c r="H9" s="1" t="s">
        <v>205</v>
      </c>
      <c r="I9" s="1" t="s">
        <v>206</v>
      </c>
      <c r="S9" s="1" t="s">
        <v>207</v>
      </c>
      <c r="AL9" s="1" t="s">
        <v>208</v>
      </c>
    </row>
    <row r="10">
      <c r="B10" s="1" t="s">
        <v>209</v>
      </c>
      <c r="H10" s="1" t="s">
        <v>110</v>
      </c>
      <c r="I10" s="1" t="s">
        <v>210</v>
      </c>
      <c r="AL10" s="1" t="s">
        <v>212</v>
      </c>
    </row>
    <row r="11">
      <c r="H11" s="1" t="s">
        <v>214</v>
      </c>
      <c r="AL11" s="1" t="s">
        <v>215</v>
      </c>
    </row>
    <row r="12">
      <c r="AL12" s="1" t="s">
        <v>216</v>
      </c>
    </row>
    <row r="13">
      <c r="AL13" s="1" t="s">
        <v>217</v>
      </c>
    </row>
    <row r="14">
      <c r="AL14" s="1" t="s">
        <v>220</v>
      </c>
    </row>
    <row r="15">
      <c r="AL15" s="1" t="s">
        <v>221</v>
      </c>
    </row>
    <row r="16">
      <c r="AL16" s="1" t="s">
        <v>222</v>
      </c>
    </row>
    <row r="17">
      <c r="AL17" s="1" t="s">
        <v>223</v>
      </c>
    </row>
    <row r="18">
      <c r="AL18" s="1" t="s">
        <v>224</v>
      </c>
    </row>
    <row r="19">
      <c r="AL19" s="1" t="s">
        <v>225</v>
      </c>
    </row>
    <row r="20">
      <c r="AL20" s="1" t="s">
        <v>226</v>
      </c>
    </row>
    <row r="21" ht="15.75" customHeight="1">
      <c r="AL21" s="1" t="s">
        <v>227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6AF7"/>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4.0"/>
    <col customWidth="1" min="2" max="2" width="18.0"/>
    <col customWidth="1" min="3" max="3" width="40.0"/>
    <col customWidth="1" min="4" max="5" width="16.0"/>
    <col customWidth="1" min="6" max="8" width="22.0"/>
    <col customWidth="1" min="9" max="9" width="60.0"/>
    <col customWidth="1" min="10" max="10" width="50.0"/>
    <col customWidth="1" min="11" max="11" width="28.0"/>
    <col customWidth="1" min="12" max="14" width="12.0"/>
    <col customWidth="1" min="15" max="15" width="40.0"/>
    <col customWidth="1" min="16" max="17" width="16.0"/>
    <col customWidth="1" min="18" max="18" width="14.0"/>
    <col customWidth="1" min="19" max="26" width="8.71"/>
    <col customWidth="1" hidden="1" min="27" max="28" width="9.0"/>
  </cols>
  <sheetData>
    <row r="1" ht="36.0" customHeight="1">
      <c r="A1" s="3" t="s">
        <v>1</v>
      </c>
      <c r="B1" s="4"/>
      <c r="C1" s="4"/>
      <c r="D1" s="4"/>
      <c r="E1" s="4"/>
      <c r="F1" s="4"/>
      <c r="G1" s="4"/>
      <c r="H1" s="4"/>
      <c r="I1" s="4"/>
      <c r="J1" s="4"/>
      <c r="K1" s="4"/>
      <c r="L1" s="4"/>
      <c r="M1" s="4"/>
      <c r="N1" s="4"/>
      <c r="O1" s="4"/>
      <c r="P1" s="4"/>
      <c r="Q1" s="4"/>
      <c r="R1" s="5"/>
    </row>
    <row r="2" ht="27.75" customHeight="1">
      <c r="A2" s="6" t="s">
        <v>76</v>
      </c>
      <c r="B2" s="4"/>
      <c r="C2" s="4"/>
      <c r="D2" s="4"/>
      <c r="E2" s="4"/>
      <c r="F2" s="4"/>
      <c r="G2" s="4"/>
      <c r="H2" s="4"/>
      <c r="I2" s="4"/>
      <c r="J2" s="4"/>
      <c r="K2" s="4"/>
      <c r="L2" s="4"/>
      <c r="M2" s="4"/>
      <c r="N2" s="4"/>
      <c r="O2" s="4"/>
      <c r="P2" s="4"/>
      <c r="Q2" s="4"/>
      <c r="R2" s="5"/>
    </row>
    <row r="3" ht="30.0" customHeight="1">
      <c r="A3" s="8" t="s">
        <v>113</v>
      </c>
      <c r="B3" s="8" t="s">
        <v>141</v>
      </c>
      <c r="C3" s="8" t="s">
        <v>147</v>
      </c>
      <c r="D3" s="8" t="s">
        <v>152</v>
      </c>
      <c r="E3" s="11" t="s">
        <v>160</v>
      </c>
      <c r="F3" s="11" t="s">
        <v>171</v>
      </c>
      <c r="G3" s="11" t="s">
        <v>178</v>
      </c>
      <c r="H3" s="11" t="s">
        <v>185</v>
      </c>
      <c r="I3" s="10" t="s">
        <v>194</v>
      </c>
      <c r="J3" s="10" t="s">
        <v>198</v>
      </c>
      <c r="K3" s="10" t="s">
        <v>203</v>
      </c>
      <c r="L3" s="10" t="s">
        <v>187</v>
      </c>
      <c r="M3" s="10" t="s">
        <v>213</v>
      </c>
      <c r="N3" s="10" t="s">
        <v>165</v>
      </c>
      <c r="O3" s="10" t="s">
        <v>219</v>
      </c>
      <c r="P3" s="9" t="s">
        <v>168</v>
      </c>
      <c r="Q3" s="9" t="s">
        <v>172</v>
      </c>
      <c r="R3" s="9" t="s">
        <v>181</v>
      </c>
    </row>
    <row r="4" ht="19.5" customHeight="1">
      <c r="A4" s="13" t="s">
        <v>218</v>
      </c>
      <c r="B4" s="13" t="s">
        <v>228</v>
      </c>
      <c r="C4" s="13" t="s">
        <v>229</v>
      </c>
      <c r="D4" s="13" t="s">
        <v>230</v>
      </c>
      <c r="E4" s="15" t="s">
        <v>40</v>
      </c>
      <c r="F4" s="19" t="s">
        <v>42</v>
      </c>
      <c r="G4" s="15" t="s">
        <v>232</v>
      </c>
      <c r="H4" s="15" t="s">
        <v>232</v>
      </c>
      <c r="I4" s="13" t="s">
        <v>229</v>
      </c>
      <c r="J4" s="13" t="s">
        <v>233</v>
      </c>
      <c r="K4" s="13" t="s">
        <v>232</v>
      </c>
      <c r="L4" s="21" t="s">
        <v>234</v>
      </c>
      <c r="M4" s="23" t="s">
        <v>235</v>
      </c>
      <c r="N4" s="16">
        <v>0.0</v>
      </c>
      <c r="O4" s="13" t="s">
        <v>237</v>
      </c>
      <c r="P4" s="24"/>
      <c r="Q4" s="24"/>
      <c r="R4" s="20">
        <f t="shared" ref="R4:R221" si="1">IF(AND(P4&gt;0,Q4&gt;0),ROUND((1-Q4/P4)*100,0),0)</f>
        <v>0</v>
      </c>
      <c r="AA4" s="1" t="str">
        <f t="shared" ref="AA4:AA521" si="2">SUBSTITUTE(F4, " ", "_")</f>
        <v>Fragancias</v>
      </c>
      <c r="AB4" s="1" t="str">
        <f t="shared" ref="AB4:AB521" si="3">SUBSTITUTE(F4&amp;"_"&amp;G4, " ", "_")</f>
        <v>Fragancias_</v>
      </c>
    </row>
    <row r="5" ht="19.5" customHeight="1">
      <c r="A5" s="28" t="s">
        <v>241</v>
      </c>
      <c r="B5" s="28" t="s">
        <v>242</v>
      </c>
      <c r="C5" s="28" t="s">
        <v>243</v>
      </c>
      <c r="D5" s="28" t="s">
        <v>230</v>
      </c>
      <c r="E5" s="30" t="s">
        <v>40</v>
      </c>
      <c r="F5" s="19" t="s">
        <v>42</v>
      </c>
      <c r="G5" s="30" t="s">
        <v>232</v>
      </c>
      <c r="H5" s="30" t="s">
        <v>232</v>
      </c>
      <c r="I5" s="28" t="s">
        <v>243</v>
      </c>
      <c r="J5" s="28" t="s">
        <v>245</v>
      </c>
      <c r="K5" s="28" t="s">
        <v>232</v>
      </c>
      <c r="L5" s="32" t="s">
        <v>234</v>
      </c>
      <c r="M5" s="33" t="s">
        <v>235</v>
      </c>
      <c r="N5" s="34">
        <v>0.0</v>
      </c>
      <c r="O5" s="28" t="s">
        <v>237</v>
      </c>
      <c r="P5" s="24"/>
      <c r="Q5" s="24"/>
      <c r="R5" s="20">
        <f t="shared" si="1"/>
        <v>0</v>
      </c>
      <c r="AA5" s="1" t="str">
        <f t="shared" si="2"/>
        <v>Fragancias</v>
      </c>
      <c r="AB5" s="1" t="str">
        <f t="shared" si="3"/>
        <v>Fragancias_</v>
      </c>
    </row>
    <row r="6" ht="19.5" customHeight="1">
      <c r="A6" s="13" t="s">
        <v>247</v>
      </c>
      <c r="B6" s="13" t="s">
        <v>248</v>
      </c>
      <c r="C6" s="13" t="s">
        <v>249</v>
      </c>
      <c r="D6" s="13" t="s">
        <v>230</v>
      </c>
      <c r="E6" s="15" t="s">
        <v>40</v>
      </c>
      <c r="F6" s="19" t="s">
        <v>42</v>
      </c>
      <c r="G6" s="15" t="s">
        <v>232</v>
      </c>
      <c r="H6" s="15" t="s">
        <v>232</v>
      </c>
      <c r="I6" s="13" t="s">
        <v>249</v>
      </c>
      <c r="J6" s="13" t="s">
        <v>251</v>
      </c>
      <c r="K6" s="13" t="s">
        <v>232</v>
      </c>
      <c r="L6" s="21" t="s">
        <v>234</v>
      </c>
      <c r="M6" s="23" t="s">
        <v>235</v>
      </c>
      <c r="N6" s="16">
        <v>0.0</v>
      </c>
      <c r="O6" s="13" t="s">
        <v>237</v>
      </c>
      <c r="P6" s="24"/>
      <c r="Q6" s="24"/>
      <c r="R6" s="20">
        <f t="shared" si="1"/>
        <v>0</v>
      </c>
      <c r="AA6" s="1" t="str">
        <f t="shared" si="2"/>
        <v>Fragancias</v>
      </c>
      <c r="AB6" s="1" t="str">
        <f t="shared" si="3"/>
        <v>Fragancias_</v>
      </c>
    </row>
    <row r="7" ht="19.5" customHeight="1">
      <c r="A7" s="28" t="s">
        <v>254</v>
      </c>
      <c r="B7" s="28" t="s">
        <v>255</v>
      </c>
      <c r="C7" s="28" t="s">
        <v>256</v>
      </c>
      <c r="D7" s="28" t="s">
        <v>230</v>
      </c>
      <c r="E7" s="30" t="s">
        <v>40</v>
      </c>
      <c r="F7" s="19" t="s">
        <v>42</v>
      </c>
      <c r="G7" s="30" t="s">
        <v>232</v>
      </c>
      <c r="H7" s="30" t="s">
        <v>232</v>
      </c>
      <c r="I7" s="28" t="s">
        <v>256</v>
      </c>
      <c r="J7" s="28" t="s">
        <v>258</v>
      </c>
      <c r="K7" s="28" t="s">
        <v>232</v>
      </c>
      <c r="L7" s="32" t="s">
        <v>234</v>
      </c>
      <c r="M7" s="33" t="s">
        <v>235</v>
      </c>
      <c r="N7" s="34">
        <v>0.0</v>
      </c>
      <c r="O7" s="28" t="s">
        <v>237</v>
      </c>
      <c r="P7" s="24"/>
      <c r="Q7" s="24"/>
      <c r="R7" s="20">
        <f t="shared" si="1"/>
        <v>0</v>
      </c>
      <c r="AA7" s="1" t="str">
        <f t="shared" si="2"/>
        <v>Fragancias</v>
      </c>
      <c r="AB7" s="1" t="str">
        <f t="shared" si="3"/>
        <v>Fragancias_</v>
      </c>
    </row>
    <row r="8" ht="19.5" customHeight="1">
      <c r="A8" s="13" t="s">
        <v>261</v>
      </c>
      <c r="B8" s="13" t="s">
        <v>262</v>
      </c>
      <c r="C8" s="13" t="s">
        <v>263</v>
      </c>
      <c r="D8" s="13" t="s">
        <v>230</v>
      </c>
      <c r="E8" s="15" t="s">
        <v>40</v>
      </c>
      <c r="F8" s="19" t="s">
        <v>42</v>
      </c>
      <c r="G8" s="15" t="s">
        <v>232</v>
      </c>
      <c r="H8" s="15" t="s">
        <v>232</v>
      </c>
      <c r="I8" s="13" t="s">
        <v>263</v>
      </c>
      <c r="J8" s="13" t="s">
        <v>265</v>
      </c>
      <c r="K8" s="13" t="s">
        <v>232</v>
      </c>
      <c r="L8" s="21" t="s">
        <v>234</v>
      </c>
      <c r="M8" s="23" t="s">
        <v>235</v>
      </c>
      <c r="N8" s="16">
        <v>0.0</v>
      </c>
      <c r="O8" s="13" t="s">
        <v>237</v>
      </c>
      <c r="P8" s="24"/>
      <c r="Q8" s="24"/>
      <c r="R8" s="20">
        <f t="shared" si="1"/>
        <v>0</v>
      </c>
      <c r="AA8" s="1" t="str">
        <f t="shared" si="2"/>
        <v>Fragancias</v>
      </c>
      <c r="AB8" s="1" t="str">
        <f t="shared" si="3"/>
        <v>Fragancias_</v>
      </c>
    </row>
    <row r="9" ht="19.5" customHeight="1">
      <c r="A9" s="28" t="s">
        <v>266</v>
      </c>
      <c r="B9" s="28" t="s">
        <v>267</v>
      </c>
      <c r="C9" s="28" t="s">
        <v>268</v>
      </c>
      <c r="D9" s="28" t="s">
        <v>230</v>
      </c>
      <c r="E9" s="30" t="s">
        <v>40</v>
      </c>
      <c r="F9" s="19" t="s">
        <v>42</v>
      </c>
      <c r="G9" s="30" t="s">
        <v>232</v>
      </c>
      <c r="H9" s="30" t="s">
        <v>232</v>
      </c>
      <c r="I9" s="28" t="s">
        <v>268</v>
      </c>
      <c r="J9" s="28" t="s">
        <v>270</v>
      </c>
      <c r="K9" s="28" t="s">
        <v>232</v>
      </c>
      <c r="L9" s="32" t="s">
        <v>234</v>
      </c>
      <c r="M9" s="33" t="s">
        <v>235</v>
      </c>
      <c r="N9" s="34">
        <v>0.0</v>
      </c>
      <c r="O9" s="28" t="s">
        <v>237</v>
      </c>
      <c r="P9" s="24"/>
      <c r="Q9" s="24"/>
      <c r="R9" s="20">
        <f t="shared" si="1"/>
        <v>0</v>
      </c>
      <c r="AA9" s="1" t="str">
        <f t="shared" si="2"/>
        <v>Fragancias</v>
      </c>
      <c r="AB9" s="1" t="str">
        <f t="shared" si="3"/>
        <v>Fragancias_</v>
      </c>
    </row>
    <row r="10" ht="19.5" customHeight="1">
      <c r="A10" s="13" t="s">
        <v>273</v>
      </c>
      <c r="B10" s="13" t="s">
        <v>274</v>
      </c>
      <c r="C10" s="13" t="s">
        <v>275</v>
      </c>
      <c r="D10" s="13" t="s">
        <v>230</v>
      </c>
      <c r="E10" s="15" t="s">
        <v>40</v>
      </c>
      <c r="F10" s="19" t="s">
        <v>42</v>
      </c>
      <c r="G10" s="15" t="s">
        <v>232</v>
      </c>
      <c r="H10" s="15" t="s">
        <v>232</v>
      </c>
      <c r="I10" s="13" t="s">
        <v>275</v>
      </c>
      <c r="J10" s="13" t="s">
        <v>277</v>
      </c>
      <c r="K10" s="13" t="s">
        <v>232</v>
      </c>
      <c r="L10" s="21" t="s">
        <v>234</v>
      </c>
      <c r="M10" s="23" t="s">
        <v>235</v>
      </c>
      <c r="N10" s="16">
        <v>0.0</v>
      </c>
      <c r="O10" s="13" t="s">
        <v>237</v>
      </c>
      <c r="P10" s="24"/>
      <c r="Q10" s="24"/>
      <c r="R10" s="20">
        <f t="shared" si="1"/>
        <v>0</v>
      </c>
      <c r="AA10" s="1" t="str">
        <f t="shared" si="2"/>
        <v>Fragancias</v>
      </c>
      <c r="AB10" s="1" t="str">
        <f t="shared" si="3"/>
        <v>Fragancias_</v>
      </c>
    </row>
    <row r="11" ht="19.5" customHeight="1">
      <c r="A11" s="28" t="s">
        <v>278</v>
      </c>
      <c r="B11" s="28" t="s">
        <v>280</v>
      </c>
      <c r="C11" s="28" t="s">
        <v>281</v>
      </c>
      <c r="D11" s="28" t="s">
        <v>230</v>
      </c>
      <c r="E11" s="30" t="s">
        <v>40</v>
      </c>
      <c r="F11" s="19" t="s">
        <v>42</v>
      </c>
      <c r="G11" s="30" t="s">
        <v>232</v>
      </c>
      <c r="H11" s="30" t="s">
        <v>232</v>
      </c>
      <c r="I11" s="28" t="s">
        <v>281</v>
      </c>
      <c r="J11" s="28" t="s">
        <v>283</v>
      </c>
      <c r="K11" s="28" t="s">
        <v>232</v>
      </c>
      <c r="L11" s="32" t="s">
        <v>234</v>
      </c>
      <c r="M11" s="33" t="s">
        <v>235</v>
      </c>
      <c r="N11" s="34">
        <v>0.0</v>
      </c>
      <c r="O11" s="28" t="s">
        <v>237</v>
      </c>
      <c r="P11" s="24"/>
      <c r="Q11" s="24"/>
      <c r="R11" s="20">
        <f t="shared" si="1"/>
        <v>0</v>
      </c>
      <c r="AA11" s="1" t="str">
        <f t="shared" si="2"/>
        <v>Fragancias</v>
      </c>
      <c r="AB11" s="1" t="str">
        <f t="shared" si="3"/>
        <v>Fragancias_</v>
      </c>
    </row>
    <row r="12" ht="19.5" customHeight="1">
      <c r="A12" s="13" t="s">
        <v>285</v>
      </c>
      <c r="B12" s="13" t="s">
        <v>286</v>
      </c>
      <c r="C12" s="13" t="s">
        <v>287</v>
      </c>
      <c r="D12" s="13" t="s">
        <v>230</v>
      </c>
      <c r="E12" s="15" t="s">
        <v>40</v>
      </c>
      <c r="F12" s="19" t="s">
        <v>42</v>
      </c>
      <c r="G12" s="15" t="s">
        <v>232</v>
      </c>
      <c r="H12" s="15" t="s">
        <v>232</v>
      </c>
      <c r="I12" s="13" t="s">
        <v>287</v>
      </c>
      <c r="J12" s="13" t="s">
        <v>288</v>
      </c>
      <c r="K12" s="13" t="s">
        <v>232</v>
      </c>
      <c r="L12" s="21" t="s">
        <v>234</v>
      </c>
      <c r="M12" s="23" t="s">
        <v>235</v>
      </c>
      <c r="N12" s="16">
        <v>0.0</v>
      </c>
      <c r="O12" s="13" t="s">
        <v>237</v>
      </c>
      <c r="P12" s="24"/>
      <c r="Q12" s="24"/>
      <c r="R12" s="20">
        <f t="shared" si="1"/>
        <v>0</v>
      </c>
      <c r="AA12" s="1" t="str">
        <f t="shared" si="2"/>
        <v>Fragancias</v>
      </c>
      <c r="AB12" s="1" t="str">
        <f t="shared" si="3"/>
        <v>Fragancias_</v>
      </c>
    </row>
    <row r="13" ht="19.5" customHeight="1">
      <c r="A13" s="28" t="s">
        <v>291</v>
      </c>
      <c r="B13" s="28" t="s">
        <v>292</v>
      </c>
      <c r="C13" s="28" t="s">
        <v>293</v>
      </c>
      <c r="D13" s="28" t="s">
        <v>230</v>
      </c>
      <c r="E13" s="30" t="s">
        <v>40</v>
      </c>
      <c r="F13" s="19" t="s">
        <v>42</v>
      </c>
      <c r="G13" s="30" t="s">
        <v>232</v>
      </c>
      <c r="H13" s="30" t="s">
        <v>232</v>
      </c>
      <c r="I13" s="28" t="s">
        <v>293</v>
      </c>
      <c r="J13" s="28" t="s">
        <v>232</v>
      </c>
      <c r="K13" s="28" t="s">
        <v>232</v>
      </c>
      <c r="L13" s="32" t="s">
        <v>234</v>
      </c>
      <c r="M13" s="33" t="s">
        <v>235</v>
      </c>
      <c r="N13" s="34">
        <v>0.0</v>
      </c>
      <c r="O13" s="28" t="s">
        <v>237</v>
      </c>
      <c r="P13" s="24"/>
      <c r="Q13" s="24"/>
      <c r="R13" s="20">
        <f t="shared" si="1"/>
        <v>0</v>
      </c>
      <c r="AA13" s="1" t="str">
        <f t="shared" si="2"/>
        <v>Fragancias</v>
      </c>
      <c r="AB13" s="1" t="str">
        <f t="shared" si="3"/>
        <v>Fragancias_</v>
      </c>
    </row>
    <row r="14" ht="19.5" customHeight="1">
      <c r="A14" s="13" t="s">
        <v>296</v>
      </c>
      <c r="B14" s="13" t="s">
        <v>297</v>
      </c>
      <c r="C14" s="13" t="s">
        <v>298</v>
      </c>
      <c r="D14" s="13" t="s">
        <v>230</v>
      </c>
      <c r="E14" s="15" t="s">
        <v>40</v>
      </c>
      <c r="F14" s="19" t="s">
        <v>42</v>
      </c>
      <c r="G14" s="15" t="s">
        <v>232</v>
      </c>
      <c r="H14" s="15" t="s">
        <v>232</v>
      </c>
      <c r="I14" s="13" t="s">
        <v>298</v>
      </c>
      <c r="J14" s="13" t="s">
        <v>232</v>
      </c>
      <c r="K14" s="13" t="s">
        <v>232</v>
      </c>
      <c r="L14" s="21" t="s">
        <v>234</v>
      </c>
      <c r="M14" s="23" t="s">
        <v>235</v>
      </c>
      <c r="N14" s="16">
        <v>0.0</v>
      </c>
      <c r="O14" s="13" t="s">
        <v>237</v>
      </c>
      <c r="P14" s="24"/>
      <c r="Q14" s="24"/>
      <c r="R14" s="20">
        <f t="shared" si="1"/>
        <v>0</v>
      </c>
      <c r="AA14" s="1" t="str">
        <f t="shared" si="2"/>
        <v>Fragancias</v>
      </c>
      <c r="AB14" s="1" t="str">
        <f t="shared" si="3"/>
        <v>Fragancias_</v>
      </c>
    </row>
    <row r="15" ht="19.5" customHeight="1">
      <c r="A15" s="28" t="s">
        <v>302</v>
      </c>
      <c r="B15" s="28" t="s">
        <v>303</v>
      </c>
      <c r="C15" s="28" t="s">
        <v>305</v>
      </c>
      <c r="D15" s="28" t="s">
        <v>230</v>
      </c>
      <c r="E15" s="30" t="s">
        <v>40</v>
      </c>
      <c r="F15" s="19" t="s">
        <v>42</v>
      </c>
      <c r="G15" s="30" t="s">
        <v>232</v>
      </c>
      <c r="H15" s="30" t="s">
        <v>232</v>
      </c>
      <c r="I15" s="28" t="s">
        <v>305</v>
      </c>
      <c r="J15" s="28" t="s">
        <v>232</v>
      </c>
      <c r="K15" s="28" t="s">
        <v>232</v>
      </c>
      <c r="L15" s="32" t="s">
        <v>234</v>
      </c>
      <c r="M15" s="33" t="s">
        <v>235</v>
      </c>
      <c r="N15" s="34">
        <v>0.0</v>
      </c>
      <c r="O15" s="28" t="s">
        <v>237</v>
      </c>
      <c r="P15" s="24"/>
      <c r="Q15" s="24"/>
      <c r="R15" s="20">
        <f t="shared" si="1"/>
        <v>0</v>
      </c>
      <c r="AA15" s="1" t="str">
        <f t="shared" si="2"/>
        <v>Fragancias</v>
      </c>
      <c r="AB15" s="1" t="str">
        <f t="shared" si="3"/>
        <v>Fragancias_</v>
      </c>
    </row>
    <row r="16" ht="19.5" customHeight="1">
      <c r="A16" s="13" t="s">
        <v>307</v>
      </c>
      <c r="B16" s="13" t="s">
        <v>308</v>
      </c>
      <c r="C16" s="13" t="s">
        <v>309</v>
      </c>
      <c r="D16" s="13" t="s">
        <v>230</v>
      </c>
      <c r="E16" s="15" t="s">
        <v>40</v>
      </c>
      <c r="F16" s="19" t="s">
        <v>42</v>
      </c>
      <c r="G16" s="15" t="s">
        <v>232</v>
      </c>
      <c r="H16" s="15" t="s">
        <v>232</v>
      </c>
      <c r="I16" s="13" t="s">
        <v>309</v>
      </c>
      <c r="J16" s="13" t="s">
        <v>232</v>
      </c>
      <c r="K16" s="13" t="s">
        <v>232</v>
      </c>
      <c r="L16" s="21" t="s">
        <v>234</v>
      </c>
      <c r="M16" s="23" t="s">
        <v>235</v>
      </c>
      <c r="N16" s="16">
        <v>0.0</v>
      </c>
      <c r="O16" s="13" t="s">
        <v>237</v>
      </c>
      <c r="P16" s="24"/>
      <c r="Q16" s="24"/>
      <c r="R16" s="20">
        <f t="shared" si="1"/>
        <v>0</v>
      </c>
      <c r="AA16" s="1" t="str">
        <f t="shared" si="2"/>
        <v>Fragancias</v>
      </c>
      <c r="AB16" s="1" t="str">
        <f t="shared" si="3"/>
        <v>Fragancias_</v>
      </c>
    </row>
    <row r="17" ht="19.5" customHeight="1">
      <c r="A17" s="28" t="s">
        <v>311</v>
      </c>
      <c r="B17" s="28" t="s">
        <v>312</v>
      </c>
      <c r="C17" s="28" t="s">
        <v>313</v>
      </c>
      <c r="D17" s="28" t="s">
        <v>230</v>
      </c>
      <c r="E17" s="30" t="s">
        <v>40</v>
      </c>
      <c r="F17" s="19" t="s">
        <v>42</v>
      </c>
      <c r="G17" s="30" t="s">
        <v>232</v>
      </c>
      <c r="H17" s="30" t="s">
        <v>232</v>
      </c>
      <c r="I17" s="28" t="s">
        <v>313</v>
      </c>
      <c r="J17" s="28" t="s">
        <v>232</v>
      </c>
      <c r="K17" s="28" t="s">
        <v>232</v>
      </c>
      <c r="L17" s="32" t="s">
        <v>234</v>
      </c>
      <c r="M17" s="33" t="s">
        <v>235</v>
      </c>
      <c r="N17" s="34">
        <v>0.0</v>
      </c>
      <c r="O17" s="28" t="s">
        <v>237</v>
      </c>
      <c r="P17" s="24"/>
      <c r="Q17" s="24"/>
      <c r="R17" s="20">
        <f t="shared" si="1"/>
        <v>0</v>
      </c>
      <c r="AA17" s="1" t="str">
        <f t="shared" si="2"/>
        <v>Fragancias</v>
      </c>
      <c r="AB17" s="1" t="str">
        <f t="shared" si="3"/>
        <v>Fragancias_</v>
      </c>
    </row>
    <row r="18" ht="19.5" customHeight="1">
      <c r="A18" s="13" t="s">
        <v>317</v>
      </c>
      <c r="B18" s="13" t="s">
        <v>318</v>
      </c>
      <c r="C18" s="13" t="s">
        <v>319</v>
      </c>
      <c r="D18" s="13" t="s">
        <v>230</v>
      </c>
      <c r="E18" s="15" t="s">
        <v>40</v>
      </c>
      <c r="F18" s="19" t="s">
        <v>42</v>
      </c>
      <c r="G18" s="15" t="s">
        <v>232</v>
      </c>
      <c r="H18" s="15" t="s">
        <v>232</v>
      </c>
      <c r="I18" s="13" t="s">
        <v>319</v>
      </c>
      <c r="J18" s="13" t="s">
        <v>321</v>
      </c>
      <c r="K18" s="13" t="s">
        <v>232</v>
      </c>
      <c r="L18" s="21" t="s">
        <v>234</v>
      </c>
      <c r="M18" s="23" t="s">
        <v>235</v>
      </c>
      <c r="N18" s="16">
        <v>0.0</v>
      </c>
      <c r="O18" s="13" t="s">
        <v>237</v>
      </c>
      <c r="P18" s="24"/>
      <c r="Q18" s="24"/>
      <c r="R18" s="20">
        <f t="shared" si="1"/>
        <v>0</v>
      </c>
      <c r="AA18" s="1" t="str">
        <f t="shared" si="2"/>
        <v>Fragancias</v>
      </c>
      <c r="AB18" s="1" t="str">
        <f t="shared" si="3"/>
        <v>Fragancias_</v>
      </c>
    </row>
    <row r="19" ht="19.5" customHeight="1">
      <c r="A19" s="28" t="s">
        <v>323</v>
      </c>
      <c r="B19" s="28" t="s">
        <v>324</v>
      </c>
      <c r="C19" s="28" t="s">
        <v>325</v>
      </c>
      <c r="D19" s="28" t="s">
        <v>230</v>
      </c>
      <c r="E19" s="30" t="s">
        <v>40</v>
      </c>
      <c r="F19" s="19" t="s">
        <v>42</v>
      </c>
      <c r="G19" s="30" t="s">
        <v>232</v>
      </c>
      <c r="H19" s="30" t="s">
        <v>232</v>
      </c>
      <c r="I19" s="28" t="s">
        <v>325</v>
      </c>
      <c r="J19" s="28" t="s">
        <v>326</v>
      </c>
      <c r="K19" s="28" t="s">
        <v>232</v>
      </c>
      <c r="L19" s="32" t="s">
        <v>234</v>
      </c>
      <c r="M19" s="33" t="s">
        <v>235</v>
      </c>
      <c r="N19" s="34">
        <v>0.0</v>
      </c>
      <c r="O19" s="28" t="s">
        <v>237</v>
      </c>
      <c r="P19" s="24"/>
      <c r="Q19" s="24"/>
      <c r="R19" s="20">
        <f t="shared" si="1"/>
        <v>0</v>
      </c>
      <c r="AA19" s="1" t="str">
        <f t="shared" si="2"/>
        <v>Fragancias</v>
      </c>
      <c r="AB19" s="1" t="str">
        <f t="shared" si="3"/>
        <v>Fragancias_</v>
      </c>
    </row>
    <row r="20" ht="19.5" customHeight="1">
      <c r="A20" s="13" t="s">
        <v>329</v>
      </c>
      <c r="B20" s="13" t="s">
        <v>330</v>
      </c>
      <c r="C20" s="13" t="s">
        <v>331</v>
      </c>
      <c r="D20" s="13" t="s">
        <v>230</v>
      </c>
      <c r="E20" s="15" t="s">
        <v>40</v>
      </c>
      <c r="F20" s="19" t="s">
        <v>42</v>
      </c>
      <c r="G20" s="15" t="s">
        <v>232</v>
      </c>
      <c r="H20" s="15" t="s">
        <v>232</v>
      </c>
      <c r="I20" s="13" t="s">
        <v>331</v>
      </c>
      <c r="J20" s="13" t="s">
        <v>333</v>
      </c>
      <c r="K20" s="13" t="s">
        <v>232</v>
      </c>
      <c r="L20" s="21" t="s">
        <v>234</v>
      </c>
      <c r="M20" s="23" t="s">
        <v>235</v>
      </c>
      <c r="N20" s="16">
        <v>0.0</v>
      </c>
      <c r="O20" s="13" t="s">
        <v>237</v>
      </c>
      <c r="P20" s="24"/>
      <c r="Q20" s="24"/>
      <c r="R20" s="20">
        <f t="shared" si="1"/>
        <v>0</v>
      </c>
      <c r="AA20" s="1" t="str">
        <f t="shared" si="2"/>
        <v>Fragancias</v>
      </c>
      <c r="AB20" s="1" t="str">
        <f t="shared" si="3"/>
        <v>Fragancias_</v>
      </c>
    </row>
    <row r="21" ht="19.5" customHeight="1">
      <c r="A21" s="28" t="s">
        <v>335</v>
      </c>
      <c r="B21" s="28" t="s">
        <v>336</v>
      </c>
      <c r="C21" s="28" t="s">
        <v>337</v>
      </c>
      <c r="D21" s="28" t="s">
        <v>230</v>
      </c>
      <c r="E21" s="30" t="s">
        <v>40</v>
      </c>
      <c r="F21" s="19" t="s">
        <v>42</v>
      </c>
      <c r="G21" s="30" t="s">
        <v>232</v>
      </c>
      <c r="H21" s="30" t="s">
        <v>232</v>
      </c>
      <c r="I21" s="28" t="s">
        <v>337</v>
      </c>
      <c r="J21" s="28" t="s">
        <v>232</v>
      </c>
      <c r="K21" s="28" t="s">
        <v>232</v>
      </c>
      <c r="L21" s="32" t="s">
        <v>234</v>
      </c>
      <c r="M21" s="33" t="s">
        <v>235</v>
      </c>
      <c r="N21" s="34">
        <v>0.0</v>
      </c>
      <c r="O21" s="28" t="s">
        <v>237</v>
      </c>
      <c r="P21" s="24"/>
      <c r="Q21" s="24"/>
      <c r="R21" s="20">
        <f t="shared" si="1"/>
        <v>0</v>
      </c>
      <c r="AA21" s="1" t="str">
        <f t="shared" si="2"/>
        <v>Fragancias</v>
      </c>
      <c r="AB21" s="1" t="str">
        <f t="shared" si="3"/>
        <v>Fragancias_</v>
      </c>
    </row>
    <row r="22" ht="19.5" customHeight="1">
      <c r="A22" s="13" t="s">
        <v>340</v>
      </c>
      <c r="B22" s="13" t="s">
        <v>341</v>
      </c>
      <c r="C22" s="13" t="s">
        <v>342</v>
      </c>
      <c r="D22" s="13" t="s">
        <v>230</v>
      </c>
      <c r="E22" s="15" t="s">
        <v>40</v>
      </c>
      <c r="F22" s="19" t="s">
        <v>42</v>
      </c>
      <c r="G22" s="15" t="s">
        <v>232</v>
      </c>
      <c r="H22" s="15" t="s">
        <v>232</v>
      </c>
      <c r="I22" s="13" t="s">
        <v>342</v>
      </c>
      <c r="J22" s="13" t="s">
        <v>232</v>
      </c>
      <c r="K22" s="13" t="s">
        <v>232</v>
      </c>
      <c r="L22" s="21" t="s">
        <v>234</v>
      </c>
      <c r="M22" s="23" t="s">
        <v>235</v>
      </c>
      <c r="N22" s="16">
        <v>0.0</v>
      </c>
      <c r="O22" s="13" t="s">
        <v>237</v>
      </c>
      <c r="P22" s="24"/>
      <c r="Q22" s="24"/>
      <c r="R22" s="20">
        <f t="shared" si="1"/>
        <v>0</v>
      </c>
      <c r="AA22" s="1" t="str">
        <f t="shared" si="2"/>
        <v>Fragancias</v>
      </c>
      <c r="AB22" s="1" t="str">
        <f t="shared" si="3"/>
        <v>Fragancias_</v>
      </c>
    </row>
    <row r="23" ht="19.5" customHeight="1">
      <c r="A23" s="28" t="s">
        <v>344</v>
      </c>
      <c r="B23" s="28" t="s">
        <v>345</v>
      </c>
      <c r="C23" s="28" t="s">
        <v>346</v>
      </c>
      <c r="D23" s="28" t="s">
        <v>230</v>
      </c>
      <c r="E23" s="30" t="s">
        <v>40</v>
      </c>
      <c r="F23" s="19" t="s">
        <v>42</v>
      </c>
      <c r="G23" s="30" t="s">
        <v>232</v>
      </c>
      <c r="H23" s="30" t="s">
        <v>232</v>
      </c>
      <c r="I23" s="28" t="s">
        <v>346</v>
      </c>
      <c r="J23" s="28" t="s">
        <v>348</v>
      </c>
      <c r="K23" s="28" t="s">
        <v>232</v>
      </c>
      <c r="L23" s="32" t="s">
        <v>234</v>
      </c>
      <c r="M23" s="33" t="s">
        <v>235</v>
      </c>
      <c r="N23" s="34">
        <v>0.0</v>
      </c>
      <c r="O23" s="28" t="s">
        <v>237</v>
      </c>
      <c r="P23" s="24"/>
      <c r="Q23" s="24"/>
      <c r="R23" s="20">
        <f t="shared" si="1"/>
        <v>0</v>
      </c>
      <c r="AA23" s="1" t="str">
        <f t="shared" si="2"/>
        <v>Fragancias</v>
      </c>
      <c r="AB23" s="1" t="str">
        <f t="shared" si="3"/>
        <v>Fragancias_</v>
      </c>
    </row>
    <row r="24" ht="19.5" customHeight="1">
      <c r="A24" s="13" t="s">
        <v>350</v>
      </c>
      <c r="B24" s="13" t="s">
        <v>351</v>
      </c>
      <c r="C24" s="13" t="s">
        <v>352</v>
      </c>
      <c r="D24" s="13" t="s">
        <v>230</v>
      </c>
      <c r="E24" s="15" t="s">
        <v>40</v>
      </c>
      <c r="F24" s="19" t="s">
        <v>42</v>
      </c>
      <c r="G24" s="15" t="s">
        <v>232</v>
      </c>
      <c r="H24" s="15" t="s">
        <v>232</v>
      </c>
      <c r="I24" s="13" t="s">
        <v>352</v>
      </c>
      <c r="J24" s="13" t="s">
        <v>353</v>
      </c>
      <c r="K24" s="13" t="s">
        <v>232</v>
      </c>
      <c r="L24" s="21" t="s">
        <v>234</v>
      </c>
      <c r="M24" s="23" t="s">
        <v>235</v>
      </c>
      <c r="N24" s="16">
        <v>0.0</v>
      </c>
      <c r="O24" s="13" t="s">
        <v>237</v>
      </c>
      <c r="P24" s="24"/>
      <c r="Q24" s="24"/>
      <c r="R24" s="20">
        <f t="shared" si="1"/>
        <v>0</v>
      </c>
      <c r="AA24" s="1" t="str">
        <f t="shared" si="2"/>
        <v>Fragancias</v>
      </c>
      <c r="AB24" s="1" t="str">
        <f t="shared" si="3"/>
        <v>Fragancias_</v>
      </c>
    </row>
    <row r="25" ht="19.5" customHeight="1">
      <c r="A25" s="28" t="s">
        <v>355</v>
      </c>
      <c r="B25" s="28" t="s">
        <v>356</v>
      </c>
      <c r="C25" s="28" t="s">
        <v>357</v>
      </c>
      <c r="D25" s="28" t="s">
        <v>230</v>
      </c>
      <c r="E25" s="30" t="s">
        <v>40</v>
      </c>
      <c r="F25" s="19" t="s">
        <v>42</v>
      </c>
      <c r="G25" s="30" t="s">
        <v>232</v>
      </c>
      <c r="H25" s="30" t="s">
        <v>232</v>
      </c>
      <c r="I25" s="28" t="s">
        <v>357</v>
      </c>
      <c r="J25" s="28" t="s">
        <v>232</v>
      </c>
      <c r="K25" s="28" t="s">
        <v>232</v>
      </c>
      <c r="L25" s="32" t="s">
        <v>234</v>
      </c>
      <c r="M25" s="33" t="s">
        <v>235</v>
      </c>
      <c r="N25" s="34">
        <v>0.0</v>
      </c>
      <c r="O25" s="28" t="s">
        <v>237</v>
      </c>
      <c r="P25" s="24"/>
      <c r="Q25" s="24"/>
      <c r="R25" s="20">
        <f t="shared" si="1"/>
        <v>0</v>
      </c>
      <c r="AA25" s="1" t="str">
        <f t="shared" si="2"/>
        <v>Fragancias</v>
      </c>
      <c r="AB25" s="1" t="str">
        <f t="shared" si="3"/>
        <v>Fragancias_</v>
      </c>
    </row>
    <row r="26" ht="19.5" customHeight="1">
      <c r="A26" s="13" t="s">
        <v>359</v>
      </c>
      <c r="B26" s="13" t="s">
        <v>360</v>
      </c>
      <c r="C26" s="13" t="s">
        <v>361</v>
      </c>
      <c r="D26" s="13" t="s">
        <v>230</v>
      </c>
      <c r="E26" s="15" t="s">
        <v>40</v>
      </c>
      <c r="F26" s="19" t="s">
        <v>42</v>
      </c>
      <c r="G26" s="15" t="s">
        <v>232</v>
      </c>
      <c r="H26" s="15" t="s">
        <v>232</v>
      </c>
      <c r="I26" s="13" t="s">
        <v>361</v>
      </c>
      <c r="J26" s="13" t="s">
        <v>363</v>
      </c>
      <c r="K26" s="13" t="s">
        <v>232</v>
      </c>
      <c r="L26" s="21" t="s">
        <v>234</v>
      </c>
      <c r="M26" s="23" t="s">
        <v>235</v>
      </c>
      <c r="N26" s="16">
        <v>0.0</v>
      </c>
      <c r="O26" s="13" t="s">
        <v>237</v>
      </c>
      <c r="P26" s="24"/>
      <c r="Q26" s="24"/>
      <c r="R26" s="20">
        <f t="shared" si="1"/>
        <v>0</v>
      </c>
      <c r="AA26" s="1" t="str">
        <f t="shared" si="2"/>
        <v>Fragancias</v>
      </c>
      <c r="AB26" s="1" t="str">
        <f t="shared" si="3"/>
        <v>Fragancias_</v>
      </c>
    </row>
    <row r="27" ht="19.5" customHeight="1">
      <c r="A27" s="28" t="s">
        <v>365</v>
      </c>
      <c r="B27" s="28" t="s">
        <v>366</v>
      </c>
      <c r="C27" s="28" t="s">
        <v>367</v>
      </c>
      <c r="D27" s="28" t="s">
        <v>230</v>
      </c>
      <c r="E27" s="30" t="s">
        <v>40</v>
      </c>
      <c r="F27" s="19" t="s">
        <v>42</v>
      </c>
      <c r="G27" s="30" t="s">
        <v>232</v>
      </c>
      <c r="H27" s="30" t="s">
        <v>232</v>
      </c>
      <c r="I27" s="28" t="s">
        <v>367</v>
      </c>
      <c r="J27" s="28" t="s">
        <v>232</v>
      </c>
      <c r="K27" s="28" t="s">
        <v>232</v>
      </c>
      <c r="L27" s="32" t="s">
        <v>234</v>
      </c>
      <c r="M27" s="33" t="s">
        <v>235</v>
      </c>
      <c r="N27" s="34">
        <v>0.0</v>
      </c>
      <c r="O27" s="28" t="s">
        <v>237</v>
      </c>
      <c r="P27" s="24"/>
      <c r="Q27" s="24"/>
      <c r="R27" s="20">
        <f t="shared" si="1"/>
        <v>0</v>
      </c>
      <c r="AA27" s="1" t="str">
        <f t="shared" si="2"/>
        <v>Fragancias</v>
      </c>
      <c r="AB27" s="1" t="str">
        <f t="shared" si="3"/>
        <v>Fragancias_</v>
      </c>
    </row>
    <row r="28" ht="19.5" customHeight="1">
      <c r="A28" s="13" t="s">
        <v>369</v>
      </c>
      <c r="B28" s="13" t="s">
        <v>370</v>
      </c>
      <c r="C28" s="13" t="s">
        <v>371</v>
      </c>
      <c r="D28" s="13" t="s">
        <v>230</v>
      </c>
      <c r="E28" s="15" t="s">
        <v>40</v>
      </c>
      <c r="F28" s="19" t="s">
        <v>42</v>
      </c>
      <c r="G28" s="15" t="s">
        <v>232</v>
      </c>
      <c r="H28" s="15" t="s">
        <v>232</v>
      </c>
      <c r="I28" s="13" t="s">
        <v>371</v>
      </c>
      <c r="J28" s="13" t="s">
        <v>372</v>
      </c>
      <c r="K28" s="13" t="s">
        <v>232</v>
      </c>
      <c r="L28" s="21" t="s">
        <v>234</v>
      </c>
      <c r="M28" s="23" t="s">
        <v>235</v>
      </c>
      <c r="N28" s="16">
        <v>0.0</v>
      </c>
      <c r="O28" s="13" t="s">
        <v>237</v>
      </c>
      <c r="P28" s="24"/>
      <c r="Q28" s="24"/>
      <c r="R28" s="20">
        <f t="shared" si="1"/>
        <v>0</v>
      </c>
      <c r="AA28" s="1" t="str">
        <f t="shared" si="2"/>
        <v>Fragancias</v>
      </c>
      <c r="AB28" s="1" t="str">
        <f t="shared" si="3"/>
        <v>Fragancias_</v>
      </c>
    </row>
    <row r="29" ht="19.5" customHeight="1">
      <c r="A29" s="28" t="s">
        <v>375</v>
      </c>
      <c r="B29" s="28" t="s">
        <v>376</v>
      </c>
      <c r="C29" s="28" t="s">
        <v>377</v>
      </c>
      <c r="D29" s="28" t="s">
        <v>230</v>
      </c>
      <c r="E29" s="30" t="s">
        <v>40</v>
      </c>
      <c r="F29" s="19" t="s">
        <v>42</v>
      </c>
      <c r="G29" s="30" t="s">
        <v>232</v>
      </c>
      <c r="H29" s="30" t="s">
        <v>232</v>
      </c>
      <c r="I29" s="28" t="s">
        <v>377</v>
      </c>
      <c r="J29" s="28" t="s">
        <v>379</v>
      </c>
      <c r="K29" s="28" t="s">
        <v>232</v>
      </c>
      <c r="L29" s="32" t="s">
        <v>234</v>
      </c>
      <c r="M29" s="33" t="s">
        <v>235</v>
      </c>
      <c r="N29" s="34">
        <v>0.0</v>
      </c>
      <c r="O29" s="28" t="s">
        <v>237</v>
      </c>
      <c r="P29" s="24"/>
      <c r="Q29" s="24"/>
      <c r="R29" s="20">
        <f t="shared" si="1"/>
        <v>0</v>
      </c>
      <c r="AA29" s="1" t="str">
        <f t="shared" si="2"/>
        <v>Fragancias</v>
      </c>
      <c r="AB29" s="1" t="str">
        <f t="shared" si="3"/>
        <v>Fragancias_</v>
      </c>
    </row>
    <row r="30" ht="19.5" customHeight="1">
      <c r="A30" s="13" t="s">
        <v>382</v>
      </c>
      <c r="B30" s="13" t="s">
        <v>383</v>
      </c>
      <c r="C30" s="13" t="s">
        <v>384</v>
      </c>
      <c r="D30" s="13" t="s">
        <v>230</v>
      </c>
      <c r="E30" s="15" t="s">
        <v>40</v>
      </c>
      <c r="F30" s="19" t="s">
        <v>42</v>
      </c>
      <c r="G30" s="15" t="s">
        <v>232</v>
      </c>
      <c r="H30" s="15" t="s">
        <v>232</v>
      </c>
      <c r="I30" s="13" t="s">
        <v>384</v>
      </c>
      <c r="J30" s="13" t="s">
        <v>232</v>
      </c>
      <c r="K30" s="13" t="s">
        <v>232</v>
      </c>
      <c r="L30" s="21" t="s">
        <v>234</v>
      </c>
      <c r="M30" s="23" t="s">
        <v>235</v>
      </c>
      <c r="N30" s="16">
        <v>0.0</v>
      </c>
      <c r="O30" s="13" t="s">
        <v>237</v>
      </c>
      <c r="P30" s="24"/>
      <c r="Q30" s="24"/>
      <c r="R30" s="20">
        <f t="shared" si="1"/>
        <v>0</v>
      </c>
      <c r="AA30" s="1" t="str">
        <f t="shared" si="2"/>
        <v>Fragancias</v>
      </c>
      <c r="AB30" s="1" t="str">
        <f t="shared" si="3"/>
        <v>Fragancias_</v>
      </c>
    </row>
    <row r="31" ht="19.5" customHeight="1">
      <c r="A31" s="28" t="s">
        <v>388</v>
      </c>
      <c r="B31" s="28" t="s">
        <v>389</v>
      </c>
      <c r="C31" s="28" t="s">
        <v>390</v>
      </c>
      <c r="D31" s="28" t="s">
        <v>230</v>
      </c>
      <c r="E31" s="30" t="s">
        <v>40</v>
      </c>
      <c r="F31" s="19" t="s">
        <v>42</v>
      </c>
      <c r="G31" s="30" t="s">
        <v>232</v>
      </c>
      <c r="H31" s="30" t="s">
        <v>232</v>
      </c>
      <c r="I31" s="28" t="s">
        <v>390</v>
      </c>
      <c r="J31" s="28" t="s">
        <v>392</v>
      </c>
      <c r="K31" s="28" t="s">
        <v>232</v>
      </c>
      <c r="L31" s="32" t="s">
        <v>234</v>
      </c>
      <c r="M31" s="33" t="s">
        <v>235</v>
      </c>
      <c r="N31" s="34">
        <v>0.0</v>
      </c>
      <c r="O31" s="28" t="s">
        <v>237</v>
      </c>
      <c r="P31" s="24"/>
      <c r="Q31" s="24"/>
      <c r="R31" s="20">
        <f t="shared" si="1"/>
        <v>0</v>
      </c>
      <c r="AA31" s="1" t="str">
        <f t="shared" si="2"/>
        <v>Fragancias</v>
      </c>
      <c r="AB31" s="1" t="str">
        <f t="shared" si="3"/>
        <v>Fragancias_</v>
      </c>
    </row>
    <row r="32" ht="19.5" customHeight="1">
      <c r="A32" s="13" t="s">
        <v>394</v>
      </c>
      <c r="B32" s="13" t="s">
        <v>395</v>
      </c>
      <c r="C32" s="13" t="s">
        <v>396</v>
      </c>
      <c r="D32" s="13" t="s">
        <v>230</v>
      </c>
      <c r="E32" s="15" t="s">
        <v>40</v>
      </c>
      <c r="F32" s="19" t="s">
        <v>42</v>
      </c>
      <c r="G32" s="15" t="s">
        <v>232</v>
      </c>
      <c r="H32" s="15" t="s">
        <v>232</v>
      </c>
      <c r="I32" s="13" t="s">
        <v>396</v>
      </c>
      <c r="J32" s="13" t="s">
        <v>232</v>
      </c>
      <c r="K32" s="13" t="s">
        <v>232</v>
      </c>
      <c r="L32" s="21" t="s">
        <v>234</v>
      </c>
      <c r="M32" s="23" t="s">
        <v>235</v>
      </c>
      <c r="N32" s="16">
        <v>0.0</v>
      </c>
      <c r="O32" s="13" t="s">
        <v>237</v>
      </c>
      <c r="P32" s="24"/>
      <c r="Q32" s="24"/>
      <c r="R32" s="20">
        <f t="shared" si="1"/>
        <v>0</v>
      </c>
      <c r="AA32" s="1" t="str">
        <f t="shared" si="2"/>
        <v>Fragancias</v>
      </c>
      <c r="AB32" s="1" t="str">
        <f t="shared" si="3"/>
        <v>Fragancias_</v>
      </c>
    </row>
    <row r="33" ht="19.5" customHeight="1">
      <c r="A33" s="28" t="s">
        <v>398</v>
      </c>
      <c r="B33" s="28" t="s">
        <v>399</v>
      </c>
      <c r="C33" s="28" t="s">
        <v>400</v>
      </c>
      <c r="D33" s="28" t="s">
        <v>230</v>
      </c>
      <c r="E33" s="30" t="s">
        <v>40</v>
      </c>
      <c r="F33" s="19" t="s">
        <v>42</v>
      </c>
      <c r="G33" s="30" t="s">
        <v>232</v>
      </c>
      <c r="H33" s="30" t="s">
        <v>232</v>
      </c>
      <c r="I33" s="28" t="s">
        <v>400</v>
      </c>
      <c r="J33" s="28" t="s">
        <v>402</v>
      </c>
      <c r="K33" s="28" t="s">
        <v>232</v>
      </c>
      <c r="L33" s="32" t="s">
        <v>234</v>
      </c>
      <c r="M33" s="33" t="s">
        <v>235</v>
      </c>
      <c r="N33" s="34">
        <v>0.0</v>
      </c>
      <c r="O33" s="28" t="s">
        <v>237</v>
      </c>
      <c r="P33" s="24"/>
      <c r="Q33" s="24"/>
      <c r="R33" s="20">
        <f t="shared" si="1"/>
        <v>0</v>
      </c>
      <c r="AA33" s="1" t="str">
        <f t="shared" si="2"/>
        <v>Fragancias</v>
      </c>
      <c r="AB33" s="1" t="str">
        <f t="shared" si="3"/>
        <v>Fragancias_</v>
      </c>
    </row>
    <row r="34" ht="19.5" customHeight="1">
      <c r="A34" s="13" t="s">
        <v>404</v>
      </c>
      <c r="B34" s="13" t="s">
        <v>405</v>
      </c>
      <c r="C34" s="13" t="s">
        <v>406</v>
      </c>
      <c r="D34" s="13" t="s">
        <v>230</v>
      </c>
      <c r="E34" s="15" t="s">
        <v>40</v>
      </c>
      <c r="F34" s="19" t="s">
        <v>42</v>
      </c>
      <c r="G34" s="15" t="s">
        <v>232</v>
      </c>
      <c r="H34" s="15" t="s">
        <v>232</v>
      </c>
      <c r="I34" s="13" t="s">
        <v>406</v>
      </c>
      <c r="J34" s="13" t="s">
        <v>232</v>
      </c>
      <c r="K34" s="13" t="s">
        <v>232</v>
      </c>
      <c r="L34" s="21" t="s">
        <v>234</v>
      </c>
      <c r="M34" s="23" t="s">
        <v>235</v>
      </c>
      <c r="N34" s="16">
        <v>0.0</v>
      </c>
      <c r="O34" s="13" t="s">
        <v>237</v>
      </c>
      <c r="P34" s="24"/>
      <c r="Q34" s="24"/>
      <c r="R34" s="20">
        <f t="shared" si="1"/>
        <v>0</v>
      </c>
      <c r="AA34" s="1" t="str">
        <f t="shared" si="2"/>
        <v>Fragancias</v>
      </c>
      <c r="AB34" s="1" t="str">
        <f t="shared" si="3"/>
        <v>Fragancias_</v>
      </c>
    </row>
    <row r="35" ht="19.5" customHeight="1">
      <c r="A35" s="28" t="s">
        <v>408</v>
      </c>
      <c r="B35" s="28" t="s">
        <v>409</v>
      </c>
      <c r="C35" s="28" t="s">
        <v>410</v>
      </c>
      <c r="D35" s="28" t="s">
        <v>230</v>
      </c>
      <c r="E35" s="30" t="s">
        <v>40</v>
      </c>
      <c r="F35" s="19" t="s">
        <v>42</v>
      </c>
      <c r="G35" s="30" t="s">
        <v>232</v>
      </c>
      <c r="H35" s="30" t="s">
        <v>232</v>
      </c>
      <c r="I35" s="28" t="s">
        <v>410</v>
      </c>
      <c r="J35" s="28" t="s">
        <v>412</v>
      </c>
      <c r="K35" s="28" t="s">
        <v>232</v>
      </c>
      <c r="L35" s="32" t="s">
        <v>234</v>
      </c>
      <c r="M35" s="33" t="s">
        <v>235</v>
      </c>
      <c r="N35" s="34">
        <v>0.0</v>
      </c>
      <c r="O35" s="28" t="s">
        <v>237</v>
      </c>
      <c r="P35" s="24"/>
      <c r="Q35" s="24"/>
      <c r="R35" s="20">
        <f t="shared" si="1"/>
        <v>0</v>
      </c>
      <c r="AA35" s="1" t="str">
        <f t="shared" si="2"/>
        <v>Fragancias</v>
      </c>
      <c r="AB35" s="1" t="str">
        <f t="shared" si="3"/>
        <v>Fragancias_</v>
      </c>
    </row>
    <row r="36" ht="19.5" customHeight="1">
      <c r="A36" s="13" t="s">
        <v>414</v>
      </c>
      <c r="B36" s="13" t="s">
        <v>415</v>
      </c>
      <c r="C36" s="13" t="s">
        <v>416</v>
      </c>
      <c r="D36" s="13" t="s">
        <v>230</v>
      </c>
      <c r="E36" s="15" t="s">
        <v>40</v>
      </c>
      <c r="F36" s="19" t="s">
        <v>42</v>
      </c>
      <c r="G36" s="15" t="s">
        <v>232</v>
      </c>
      <c r="H36" s="15" t="s">
        <v>232</v>
      </c>
      <c r="I36" s="13" t="s">
        <v>416</v>
      </c>
      <c r="J36" s="13" t="s">
        <v>417</v>
      </c>
      <c r="K36" s="13" t="s">
        <v>232</v>
      </c>
      <c r="L36" s="21" t="s">
        <v>234</v>
      </c>
      <c r="M36" s="23" t="s">
        <v>235</v>
      </c>
      <c r="N36" s="16">
        <v>0.0</v>
      </c>
      <c r="O36" s="13" t="s">
        <v>237</v>
      </c>
      <c r="P36" s="24"/>
      <c r="Q36" s="24"/>
      <c r="R36" s="20">
        <f t="shared" si="1"/>
        <v>0</v>
      </c>
      <c r="AA36" s="1" t="str">
        <f t="shared" si="2"/>
        <v>Fragancias</v>
      </c>
      <c r="AB36" s="1" t="str">
        <f t="shared" si="3"/>
        <v>Fragancias_</v>
      </c>
    </row>
    <row r="37" ht="19.5" customHeight="1">
      <c r="A37" s="28" t="s">
        <v>419</v>
      </c>
      <c r="B37" s="28" t="s">
        <v>420</v>
      </c>
      <c r="C37" s="28" t="s">
        <v>421</v>
      </c>
      <c r="D37" s="28" t="s">
        <v>230</v>
      </c>
      <c r="E37" s="30" t="s">
        <v>40</v>
      </c>
      <c r="F37" s="19" t="s">
        <v>42</v>
      </c>
      <c r="G37" s="30" t="s">
        <v>232</v>
      </c>
      <c r="H37" s="30" t="s">
        <v>232</v>
      </c>
      <c r="I37" s="28" t="s">
        <v>421</v>
      </c>
      <c r="J37" s="28" t="s">
        <v>232</v>
      </c>
      <c r="K37" s="28" t="s">
        <v>232</v>
      </c>
      <c r="L37" s="32" t="s">
        <v>234</v>
      </c>
      <c r="M37" s="33" t="s">
        <v>235</v>
      </c>
      <c r="N37" s="34">
        <v>0.0</v>
      </c>
      <c r="O37" s="28" t="s">
        <v>237</v>
      </c>
      <c r="P37" s="24"/>
      <c r="Q37" s="24"/>
      <c r="R37" s="20">
        <f t="shared" si="1"/>
        <v>0</v>
      </c>
      <c r="AA37" s="1" t="str">
        <f t="shared" si="2"/>
        <v>Fragancias</v>
      </c>
      <c r="AB37" s="1" t="str">
        <f t="shared" si="3"/>
        <v>Fragancias_</v>
      </c>
    </row>
    <row r="38" ht="19.5" customHeight="1">
      <c r="A38" s="13" t="s">
        <v>424</v>
      </c>
      <c r="B38" s="13" t="s">
        <v>425</v>
      </c>
      <c r="C38" s="13" t="s">
        <v>426</v>
      </c>
      <c r="D38" s="13" t="s">
        <v>230</v>
      </c>
      <c r="E38" s="15" t="s">
        <v>40</v>
      </c>
      <c r="F38" s="19" t="s">
        <v>42</v>
      </c>
      <c r="G38" s="15" t="s">
        <v>232</v>
      </c>
      <c r="H38" s="15" t="s">
        <v>232</v>
      </c>
      <c r="I38" s="13" t="s">
        <v>426</v>
      </c>
      <c r="J38" s="13" t="s">
        <v>427</v>
      </c>
      <c r="K38" s="13" t="s">
        <v>232</v>
      </c>
      <c r="L38" s="21" t="s">
        <v>234</v>
      </c>
      <c r="M38" s="23" t="s">
        <v>235</v>
      </c>
      <c r="N38" s="16">
        <v>0.0</v>
      </c>
      <c r="O38" s="13" t="s">
        <v>237</v>
      </c>
      <c r="P38" s="24"/>
      <c r="Q38" s="24"/>
      <c r="R38" s="20">
        <f t="shared" si="1"/>
        <v>0</v>
      </c>
      <c r="AA38" s="1" t="str">
        <f t="shared" si="2"/>
        <v>Fragancias</v>
      </c>
      <c r="AB38" s="1" t="str">
        <f t="shared" si="3"/>
        <v>Fragancias_</v>
      </c>
    </row>
    <row r="39" ht="19.5" customHeight="1">
      <c r="A39" s="28" t="s">
        <v>429</v>
      </c>
      <c r="B39" s="28" t="s">
        <v>430</v>
      </c>
      <c r="C39" s="28" t="s">
        <v>431</v>
      </c>
      <c r="D39" s="28" t="s">
        <v>230</v>
      </c>
      <c r="E39" s="30" t="s">
        <v>40</v>
      </c>
      <c r="F39" s="19" t="s">
        <v>42</v>
      </c>
      <c r="G39" s="30" t="s">
        <v>232</v>
      </c>
      <c r="H39" s="30" t="s">
        <v>232</v>
      </c>
      <c r="I39" s="28" t="s">
        <v>431</v>
      </c>
      <c r="J39" s="28" t="s">
        <v>433</v>
      </c>
      <c r="K39" s="28" t="s">
        <v>232</v>
      </c>
      <c r="L39" s="32" t="s">
        <v>234</v>
      </c>
      <c r="M39" s="33" t="s">
        <v>235</v>
      </c>
      <c r="N39" s="34">
        <v>0.0</v>
      </c>
      <c r="O39" s="28" t="s">
        <v>237</v>
      </c>
      <c r="P39" s="24"/>
      <c r="Q39" s="24"/>
      <c r="R39" s="20">
        <f t="shared" si="1"/>
        <v>0</v>
      </c>
      <c r="AA39" s="1" t="str">
        <f t="shared" si="2"/>
        <v>Fragancias</v>
      </c>
      <c r="AB39" s="1" t="str">
        <f t="shared" si="3"/>
        <v>Fragancias_</v>
      </c>
    </row>
    <row r="40" ht="19.5" customHeight="1">
      <c r="A40" s="13" t="s">
        <v>435</v>
      </c>
      <c r="B40" s="13" t="s">
        <v>436</v>
      </c>
      <c r="C40" s="13" t="s">
        <v>437</v>
      </c>
      <c r="D40" s="13" t="s">
        <v>230</v>
      </c>
      <c r="E40" s="15" t="s">
        <v>40</v>
      </c>
      <c r="F40" s="19" t="s">
        <v>42</v>
      </c>
      <c r="G40" s="15" t="s">
        <v>232</v>
      </c>
      <c r="H40" s="15" t="s">
        <v>232</v>
      </c>
      <c r="I40" s="13" t="s">
        <v>437</v>
      </c>
      <c r="J40" s="13" t="s">
        <v>438</v>
      </c>
      <c r="K40" s="13" t="s">
        <v>232</v>
      </c>
      <c r="L40" s="21" t="s">
        <v>234</v>
      </c>
      <c r="M40" s="23" t="s">
        <v>235</v>
      </c>
      <c r="N40" s="16">
        <v>0.0</v>
      </c>
      <c r="O40" s="13" t="s">
        <v>237</v>
      </c>
      <c r="P40" s="24"/>
      <c r="Q40" s="24"/>
      <c r="R40" s="20">
        <f t="shared" si="1"/>
        <v>0</v>
      </c>
      <c r="AA40" s="1" t="str">
        <f t="shared" si="2"/>
        <v>Fragancias</v>
      </c>
      <c r="AB40" s="1" t="str">
        <f t="shared" si="3"/>
        <v>Fragancias_</v>
      </c>
    </row>
    <row r="41" ht="19.5" customHeight="1">
      <c r="A41" s="28" t="s">
        <v>441</v>
      </c>
      <c r="B41" s="28" t="s">
        <v>442</v>
      </c>
      <c r="C41" s="28" t="s">
        <v>443</v>
      </c>
      <c r="D41" s="28" t="s">
        <v>230</v>
      </c>
      <c r="E41" s="30" t="s">
        <v>40</v>
      </c>
      <c r="F41" s="19" t="s">
        <v>42</v>
      </c>
      <c r="G41" s="30" t="s">
        <v>232</v>
      </c>
      <c r="H41" s="30" t="s">
        <v>232</v>
      </c>
      <c r="I41" s="28" t="s">
        <v>443</v>
      </c>
      <c r="J41" s="28" t="s">
        <v>232</v>
      </c>
      <c r="K41" s="28" t="s">
        <v>232</v>
      </c>
      <c r="L41" s="32" t="s">
        <v>234</v>
      </c>
      <c r="M41" s="33" t="s">
        <v>235</v>
      </c>
      <c r="N41" s="34">
        <v>0.0</v>
      </c>
      <c r="O41" s="28" t="s">
        <v>237</v>
      </c>
      <c r="P41" s="24"/>
      <c r="Q41" s="24"/>
      <c r="R41" s="20">
        <f t="shared" si="1"/>
        <v>0</v>
      </c>
      <c r="AA41" s="1" t="str">
        <f t="shared" si="2"/>
        <v>Fragancias</v>
      </c>
      <c r="AB41" s="1" t="str">
        <f t="shared" si="3"/>
        <v>Fragancias_</v>
      </c>
    </row>
    <row r="42" ht="19.5" customHeight="1">
      <c r="A42" s="13" t="s">
        <v>446</v>
      </c>
      <c r="B42" s="13" t="s">
        <v>447</v>
      </c>
      <c r="C42" s="13" t="s">
        <v>448</v>
      </c>
      <c r="D42" s="13" t="s">
        <v>230</v>
      </c>
      <c r="E42" s="15" t="s">
        <v>40</v>
      </c>
      <c r="F42" s="19" t="s">
        <v>42</v>
      </c>
      <c r="G42" s="15" t="s">
        <v>232</v>
      </c>
      <c r="H42" s="15" t="s">
        <v>232</v>
      </c>
      <c r="I42" s="13" t="s">
        <v>448</v>
      </c>
      <c r="J42" s="13" t="s">
        <v>450</v>
      </c>
      <c r="K42" s="13" t="s">
        <v>232</v>
      </c>
      <c r="L42" s="21" t="s">
        <v>234</v>
      </c>
      <c r="M42" s="23" t="s">
        <v>235</v>
      </c>
      <c r="N42" s="16">
        <v>0.0</v>
      </c>
      <c r="O42" s="13" t="s">
        <v>237</v>
      </c>
      <c r="P42" s="24"/>
      <c r="Q42" s="24"/>
      <c r="R42" s="20">
        <f t="shared" si="1"/>
        <v>0</v>
      </c>
      <c r="AA42" s="1" t="str">
        <f t="shared" si="2"/>
        <v>Fragancias</v>
      </c>
      <c r="AB42" s="1" t="str">
        <f t="shared" si="3"/>
        <v>Fragancias_</v>
      </c>
    </row>
    <row r="43" ht="19.5" customHeight="1">
      <c r="A43" s="28" t="s">
        <v>451</v>
      </c>
      <c r="B43" s="28" t="s">
        <v>452</v>
      </c>
      <c r="C43" s="28" t="s">
        <v>454</v>
      </c>
      <c r="D43" s="28" t="s">
        <v>230</v>
      </c>
      <c r="E43" s="30" t="s">
        <v>40</v>
      </c>
      <c r="F43" s="19" t="s">
        <v>42</v>
      </c>
      <c r="G43" s="30" t="s">
        <v>232</v>
      </c>
      <c r="H43" s="30" t="s">
        <v>232</v>
      </c>
      <c r="I43" s="28" t="s">
        <v>454</v>
      </c>
      <c r="J43" s="28" t="s">
        <v>456</v>
      </c>
      <c r="K43" s="28" t="s">
        <v>232</v>
      </c>
      <c r="L43" s="32" t="s">
        <v>234</v>
      </c>
      <c r="M43" s="33" t="s">
        <v>235</v>
      </c>
      <c r="N43" s="34">
        <v>0.0</v>
      </c>
      <c r="O43" s="28" t="s">
        <v>237</v>
      </c>
      <c r="P43" s="24"/>
      <c r="Q43" s="24"/>
      <c r="R43" s="20">
        <f t="shared" si="1"/>
        <v>0</v>
      </c>
      <c r="AA43" s="1" t="str">
        <f t="shared" si="2"/>
        <v>Fragancias</v>
      </c>
      <c r="AB43" s="1" t="str">
        <f t="shared" si="3"/>
        <v>Fragancias_</v>
      </c>
    </row>
    <row r="44" ht="19.5" customHeight="1">
      <c r="A44" s="13" t="s">
        <v>457</v>
      </c>
      <c r="B44" s="13" t="s">
        <v>458</v>
      </c>
      <c r="C44" s="13" t="s">
        <v>460</v>
      </c>
      <c r="D44" s="13" t="s">
        <v>230</v>
      </c>
      <c r="E44" s="15" t="s">
        <v>40</v>
      </c>
      <c r="F44" s="19" t="s">
        <v>42</v>
      </c>
      <c r="G44" s="15" t="s">
        <v>232</v>
      </c>
      <c r="H44" s="15" t="s">
        <v>232</v>
      </c>
      <c r="I44" s="13" t="s">
        <v>460</v>
      </c>
      <c r="J44" s="13" t="s">
        <v>461</v>
      </c>
      <c r="K44" s="13" t="s">
        <v>232</v>
      </c>
      <c r="L44" s="21" t="s">
        <v>234</v>
      </c>
      <c r="M44" s="23" t="s">
        <v>235</v>
      </c>
      <c r="N44" s="16">
        <v>0.0</v>
      </c>
      <c r="O44" s="13" t="s">
        <v>237</v>
      </c>
      <c r="P44" s="24"/>
      <c r="Q44" s="24"/>
      <c r="R44" s="20">
        <f t="shared" si="1"/>
        <v>0</v>
      </c>
      <c r="AA44" s="1" t="str">
        <f t="shared" si="2"/>
        <v>Fragancias</v>
      </c>
      <c r="AB44" s="1" t="str">
        <f t="shared" si="3"/>
        <v>Fragancias_</v>
      </c>
    </row>
    <row r="45" ht="19.5" customHeight="1">
      <c r="A45" s="28" t="s">
        <v>462</v>
      </c>
      <c r="B45" s="28" t="s">
        <v>463</v>
      </c>
      <c r="C45" s="28" t="s">
        <v>464</v>
      </c>
      <c r="D45" s="28" t="s">
        <v>230</v>
      </c>
      <c r="E45" s="30" t="s">
        <v>40</v>
      </c>
      <c r="F45" s="19" t="s">
        <v>42</v>
      </c>
      <c r="G45" s="30" t="s">
        <v>232</v>
      </c>
      <c r="H45" s="30" t="s">
        <v>232</v>
      </c>
      <c r="I45" s="28" t="s">
        <v>464</v>
      </c>
      <c r="J45" s="28" t="s">
        <v>466</v>
      </c>
      <c r="K45" s="28" t="s">
        <v>232</v>
      </c>
      <c r="L45" s="32" t="s">
        <v>234</v>
      </c>
      <c r="M45" s="33" t="s">
        <v>235</v>
      </c>
      <c r="N45" s="34">
        <v>0.0</v>
      </c>
      <c r="O45" s="28" t="s">
        <v>237</v>
      </c>
      <c r="P45" s="24"/>
      <c r="Q45" s="24"/>
      <c r="R45" s="20">
        <f t="shared" si="1"/>
        <v>0</v>
      </c>
      <c r="AA45" s="1" t="str">
        <f t="shared" si="2"/>
        <v>Fragancias</v>
      </c>
      <c r="AB45" s="1" t="str">
        <f t="shared" si="3"/>
        <v>Fragancias_</v>
      </c>
    </row>
    <row r="46" ht="19.5" customHeight="1">
      <c r="A46" s="13" t="s">
        <v>467</v>
      </c>
      <c r="B46" s="13" t="s">
        <v>468</v>
      </c>
      <c r="C46" s="13" t="s">
        <v>469</v>
      </c>
      <c r="D46" s="13" t="s">
        <v>230</v>
      </c>
      <c r="E46" s="15" t="s">
        <v>40</v>
      </c>
      <c r="F46" s="19" t="s">
        <v>42</v>
      </c>
      <c r="G46" s="15" t="s">
        <v>232</v>
      </c>
      <c r="H46" s="15" t="s">
        <v>232</v>
      </c>
      <c r="I46" s="13" t="s">
        <v>469</v>
      </c>
      <c r="J46" s="13" t="s">
        <v>471</v>
      </c>
      <c r="K46" s="13" t="s">
        <v>232</v>
      </c>
      <c r="L46" s="21" t="s">
        <v>234</v>
      </c>
      <c r="M46" s="23" t="s">
        <v>235</v>
      </c>
      <c r="N46" s="16">
        <v>0.0</v>
      </c>
      <c r="O46" s="13" t="s">
        <v>237</v>
      </c>
      <c r="P46" s="24"/>
      <c r="Q46" s="24"/>
      <c r="R46" s="20">
        <f t="shared" si="1"/>
        <v>0</v>
      </c>
      <c r="AA46" s="1" t="str">
        <f t="shared" si="2"/>
        <v>Fragancias</v>
      </c>
      <c r="AB46" s="1" t="str">
        <f t="shared" si="3"/>
        <v>Fragancias_</v>
      </c>
    </row>
    <row r="47" ht="19.5" customHeight="1">
      <c r="A47" s="28" t="s">
        <v>472</v>
      </c>
      <c r="B47" s="28" t="s">
        <v>474</v>
      </c>
      <c r="C47" s="28" t="s">
        <v>475</v>
      </c>
      <c r="D47" s="28" t="s">
        <v>230</v>
      </c>
      <c r="E47" s="30" t="s">
        <v>40</v>
      </c>
      <c r="F47" s="19" t="s">
        <v>42</v>
      </c>
      <c r="G47" s="30" t="s">
        <v>232</v>
      </c>
      <c r="H47" s="30" t="s">
        <v>232</v>
      </c>
      <c r="I47" s="28" t="s">
        <v>475</v>
      </c>
      <c r="J47" s="28" t="s">
        <v>232</v>
      </c>
      <c r="K47" s="28" t="s">
        <v>232</v>
      </c>
      <c r="L47" s="32" t="s">
        <v>234</v>
      </c>
      <c r="M47" s="33" t="s">
        <v>235</v>
      </c>
      <c r="N47" s="34">
        <v>0.0</v>
      </c>
      <c r="O47" s="28" t="s">
        <v>237</v>
      </c>
      <c r="P47" s="24"/>
      <c r="Q47" s="24"/>
      <c r="R47" s="20">
        <f t="shared" si="1"/>
        <v>0</v>
      </c>
      <c r="AA47" s="1" t="str">
        <f t="shared" si="2"/>
        <v>Fragancias</v>
      </c>
      <c r="AB47" s="1" t="str">
        <f t="shared" si="3"/>
        <v>Fragancias_</v>
      </c>
    </row>
    <row r="48" ht="19.5" customHeight="1">
      <c r="A48" s="13" t="s">
        <v>478</v>
      </c>
      <c r="B48" s="13" t="s">
        <v>479</v>
      </c>
      <c r="C48" s="13" t="s">
        <v>480</v>
      </c>
      <c r="D48" s="13" t="s">
        <v>230</v>
      </c>
      <c r="E48" s="15" t="s">
        <v>40</v>
      </c>
      <c r="F48" s="19" t="s">
        <v>42</v>
      </c>
      <c r="G48" s="15" t="s">
        <v>232</v>
      </c>
      <c r="H48" s="15" t="s">
        <v>232</v>
      </c>
      <c r="I48" s="13" t="s">
        <v>480</v>
      </c>
      <c r="J48" s="13" t="s">
        <v>482</v>
      </c>
      <c r="K48" s="13" t="s">
        <v>232</v>
      </c>
      <c r="L48" s="21" t="s">
        <v>234</v>
      </c>
      <c r="M48" s="23" t="s">
        <v>235</v>
      </c>
      <c r="N48" s="16">
        <v>0.0</v>
      </c>
      <c r="O48" s="13" t="s">
        <v>237</v>
      </c>
      <c r="P48" s="24"/>
      <c r="Q48" s="24"/>
      <c r="R48" s="20">
        <f t="shared" si="1"/>
        <v>0</v>
      </c>
      <c r="AA48" s="1" t="str">
        <f t="shared" si="2"/>
        <v>Fragancias</v>
      </c>
      <c r="AB48" s="1" t="str">
        <f t="shared" si="3"/>
        <v>Fragancias_</v>
      </c>
    </row>
    <row r="49" ht="19.5" customHeight="1">
      <c r="A49" s="28" t="s">
        <v>483</v>
      </c>
      <c r="B49" s="28" t="s">
        <v>484</v>
      </c>
      <c r="C49" s="28" t="s">
        <v>485</v>
      </c>
      <c r="D49" s="28" t="s">
        <v>230</v>
      </c>
      <c r="E49" s="30" t="s">
        <v>40</v>
      </c>
      <c r="F49" s="19" t="s">
        <v>42</v>
      </c>
      <c r="G49" s="30" t="s">
        <v>232</v>
      </c>
      <c r="H49" s="30" t="s">
        <v>232</v>
      </c>
      <c r="I49" s="28" t="s">
        <v>485</v>
      </c>
      <c r="J49" s="28" t="s">
        <v>482</v>
      </c>
      <c r="K49" s="28" t="s">
        <v>232</v>
      </c>
      <c r="L49" s="32" t="s">
        <v>234</v>
      </c>
      <c r="M49" s="33" t="s">
        <v>235</v>
      </c>
      <c r="N49" s="34">
        <v>0.0</v>
      </c>
      <c r="O49" s="28" t="s">
        <v>237</v>
      </c>
      <c r="P49" s="24"/>
      <c r="Q49" s="24"/>
      <c r="R49" s="20">
        <f t="shared" si="1"/>
        <v>0</v>
      </c>
      <c r="AA49" s="1" t="str">
        <f t="shared" si="2"/>
        <v>Fragancias</v>
      </c>
      <c r="AB49" s="1" t="str">
        <f t="shared" si="3"/>
        <v>Fragancias_</v>
      </c>
    </row>
    <row r="50" ht="19.5" customHeight="1">
      <c r="A50" s="13" t="s">
        <v>487</v>
      </c>
      <c r="B50" s="13" t="s">
        <v>488</v>
      </c>
      <c r="C50" s="13" t="s">
        <v>489</v>
      </c>
      <c r="D50" s="13" t="s">
        <v>490</v>
      </c>
      <c r="E50" s="15" t="s">
        <v>40</v>
      </c>
      <c r="F50" s="19" t="s">
        <v>79</v>
      </c>
      <c r="G50" s="15" t="s">
        <v>232</v>
      </c>
      <c r="H50" s="15" t="s">
        <v>232</v>
      </c>
      <c r="I50" s="13" t="s">
        <v>489</v>
      </c>
      <c r="J50" s="13" t="s">
        <v>232</v>
      </c>
      <c r="K50" s="13" t="s">
        <v>232</v>
      </c>
      <c r="L50" s="21" t="s">
        <v>234</v>
      </c>
      <c r="M50" s="23" t="s">
        <v>235</v>
      </c>
      <c r="N50" s="16">
        <v>0.0</v>
      </c>
      <c r="O50" s="13" t="s">
        <v>237</v>
      </c>
      <c r="P50" s="24"/>
      <c r="Q50" s="24"/>
      <c r="R50" s="20">
        <f t="shared" si="1"/>
        <v>0</v>
      </c>
      <c r="AA50" s="1" t="str">
        <f t="shared" si="2"/>
        <v>Maquillaje</v>
      </c>
      <c r="AB50" s="1" t="str">
        <f t="shared" si="3"/>
        <v>Maquillaje_</v>
      </c>
    </row>
    <row r="51" ht="19.5" customHeight="1">
      <c r="A51" s="28" t="s">
        <v>493</v>
      </c>
      <c r="B51" s="28" t="s">
        <v>494</v>
      </c>
      <c r="C51" s="28" t="s">
        <v>495</v>
      </c>
      <c r="D51" s="28" t="s">
        <v>490</v>
      </c>
      <c r="E51" s="30" t="s">
        <v>40</v>
      </c>
      <c r="F51" s="19" t="s">
        <v>79</v>
      </c>
      <c r="G51" s="30" t="s">
        <v>232</v>
      </c>
      <c r="H51" s="30" t="s">
        <v>232</v>
      </c>
      <c r="I51" s="28" t="s">
        <v>495</v>
      </c>
      <c r="J51" s="28" t="s">
        <v>232</v>
      </c>
      <c r="K51" s="28" t="s">
        <v>232</v>
      </c>
      <c r="L51" s="32" t="s">
        <v>234</v>
      </c>
      <c r="M51" s="33" t="s">
        <v>235</v>
      </c>
      <c r="N51" s="34">
        <v>0.0</v>
      </c>
      <c r="O51" s="28" t="s">
        <v>237</v>
      </c>
      <c r="P51" s="24"/>
      <c r="Q51" s="24"/>
      <c r="R51" s="20">
        <f t="shared" si="1"/>
        <v>0</v>
      </c>
      <c r="AA51" s="1" t="str">
        <f t="shared" si="2"/>
        <v>Maquillaje</v>
      </c>
      <c r="AB51" s="1" t="str">
        <f t="shared" si="3"/>
        <v>Maquillaje_</v>
      </c>
    </row>
    <row r="52" ht="19.5" customHeight="1">
      <c r="A52" s="13" t="s">
        <v>497</v>
      </c>
      <c r="B52" s="13" t="s">
        <v>498</v>
      </c>
      <c r="C52" s="13" t="s">
        <v>499</v>
      </c>
      <c r="D52" s="13" t="s">
        <v>490</v>
      </c>
      <c r="E52" s="15" t="s">
        <v>40</v>
      </c>
      <c r="F52" s="19" t="s">
        <v>79</v>
      </c>
      <c r="G52" s="15" t="s">
        <v>232</v>
      </c>
      <c r="H52" s="15" t="s">
        <v>232</v>
      </c>
      <c r="I52" s="13" t="s">
        <v>499</v>
      </c>
      <c r="J52" s="13" t="s">
        <v>232</v>
      </c>
      <c r="K52" s="13" t="s">
        <v>232</v>
      </c>
      <c r="L52" s="21" t="s">
        <v>234</v>
      </c>
      <c r="M52" s="23" t="s">
        <v>235</v>
      </c>
      <c r="N52" s="16">
        <v>0.0</v>
      </c>
      <c r="O52" s="13" t="s">
        <v>237</v>
      </c>
      <c r="P52" s="24"/>
      <c r="Q52" s="24"/>
      <c r="R52" s="20">
        <f t="shared" si="1"/>
        <v>0</v>
      </c>
      <c r="AA52" s="1" t="str">
        <f t="shared" si="2"/>
        <v>Maquillaje</v>
      </c>
      <c r="AB52" s="1" t="str">
        <f t="shared" si="3"/>
        <v>Maquillaje_</v>
      </c>
    </row>
    <row r="53" ht="19.5" customHeight="1">
      <c r="A53" s="28" t="s">
        <v>503</v>
      </c>
      <c r="B53" s="28" t="s">
        <v>504</v>
      </c>
      <c r="C53" s="28" t="s">
        <v>505</v>
      </c>
      <c r="D53" s="28" t="s">
        <v>490</v>
      </c>
      <c r="E53" s="30" t="s">
        <v>40</v>
      </c>
      <c r="F53" s="19" t="s">
        <v>79</v>
      </c>
      <c r="G53" s="30" t="s">
        <v>232</v>
      </c>
      <c r="H53" s="30" t="s">
        <v>232</v>
      </c>
      <c r="I53" s="28" t="s">
        <v>505</v>
      </c>
      <c r="J53" s="28" t="s">
        <v>232</v>
      </c>
      <c r="K53" s="28" t="s">
        <v>232</v>
      </c>
      <c r="L53" s="32" t="s">
        <v>234</v>
      </c>
      <c r="M53" s="33" t="s">
        <v>235</v>
      </c>
      <c r="N53" s="34">
        <v>0.0</v>
      </c>
      <c r="O53" s="28" t="s">
        <v>237</v>
      </c>
      <c r="P53" s="24"/>
      <c r="Q53" s="24"/>
      <c r="R53" s="20">
        <f t="shared" si="1"/>
        <v>0</v>
      </c>
      <c r="AA53" s="1" t="str">
        <f t="shared" si="2"/>
        <v>Maquillaje</v>
      </c>
      <c r="AB53" s="1" t="str">
        <f t="shared" si="3"/>
        <v>Maquillaje_</v>
      </c>
    </row>
    <row r="54" ht="19.5" customHeight="1">
      <c r="A54" s="13" t="s">
        <v>508</v>
      </c>
      <c r="B54" s="13" t="s">
        <v>509</v>
      </c>
      <c r="C54" s="13" t="s">
        <v>510</v>
      </c>
      <c r="D54" s="13" t="s">
        <v>490</v>
      </c>
      <c r="E54" s="15" t="s">
        <v>40</v>
      </c>
      <c r="F54" s="19" t="s">
        <v>79</v>
      </c>
      <c r="G54" s="15" t="s">
        <v>232</v>
      </c>
      <c r="H54" s="15" t="s">
        <v>232</v>
      </c>
      <c r="I54" s="13" t="s">
        <v>510</v>
      </c>
      <c r="J54" s="13" t="s">
        <v>232</v>
      </c>
      <c r="K54" s="13" t="s">
        <v>232</v>
      </c>
      <c r="L54" s="21" t="s">
        <v>234</v>
      </c>
      <c r="M54" s="23" t="s">
        <v>235</v>
      </c>
      <c r="N54" s="16">
        <v>0.0</v>
      </c>
      <c r="O54" s="13" t="s">
        <v>237</v>
      </c>
      <c r="P54" s="24"/>
      <c r="Q54" s="24"/>
      <c r="R54" s="20">
        <f t="shared" si="1"/>
        <v>0</v>
      </c>
      <c r="AA54" s="1" t="str">
        <f t="shared" si="2"/>
        <v>Maquillaje</v>
      </c>
      <c r="AB54" s="1" t="str">
        <f t="shared" si="3"/>
        <v>Maquillaje_</v>
      </c>
    </row>
    <row r="55" ht="19.5" customHeight="1">
      <c r="A55" s="28" t="s">
        <v>512</v>
      </c>
      <c r="B55" s="28" t="s">
        <v>514</v>
      </c>
      <c r="C55" s="28" t="s">
        <v>515</v>
      </c>
      <c r="D55" s="28" t="s">
        <v>490</v>
      </c>
      <c r="E55" s="30" t="s">
        <v>40</v>
      </c>
      <c r="F55" s="19" t="s">
        <v>79</v>
      </c>
      <c r="G55" s="30" t="s">
        <v>232</v>
      </c>
      <c r="H55" s="30" t="s">
        <v>232</v>
      </c>
      <c r="I55" s="28" t="s">
        <v>515</v>
      </c>
      <c r="J55" s="28" t="s">
        <v>232</v>
      </c>
      <c r="K55" s="28" t="s">
        <v>232</v>
      </c>
      <c r="L55" s="32" t="s">
        <v>234</v>
      </c>
      <c r="M55" s="33" t="s">
        <v>235</v>
      </c>
      <c r="N55" s="34">
        <v>0.0</v>
      </c>
      <c r="O55" s="28" t="s">
        <v>237</v>
      </c>
      <c r="P55" s="24"/>
      <c r="Q55" s="24"/>
      <c r="R55" s="20">
        <f t="shared" si="1"/>
        <v>0</v>
      </c>
      <c r="AA55" s="1" t="str">
        <f t="shared" si="2"/>
        <v>Maquillaje</v>
      </c>
      <c r="AB55" s="1" t="str">
        <f t="shared" si="3"/>
        <v>Maquillaje_</v>
      </c>
    </row>
    <row r="56" ht="19.5" customHeight="1">
      <c r="A56" s="13" t="s">
        <v>517</v>
      </c>
      <c r="B56" s="13" t="s">
        <v>518</v>
      </c>
      <c r="C56" s="13" t="s">
        <v>519</v>
      </c>
      <c r="D56" s="13" t="s">
        <v>490</v>
      </c>
      <c r="E56" s="15" t="s">
        <v>40</v>
      </c>
      <c r="F56" s="19" t="s">
        <v>79</v>
      </c>
      <c r="G56" s="15" t="s">
        <v>232</v>
      </c>
      <c r="H56" s="15" t="s">
        <v>232</v>
      </c>
      <c r="I56" s="13" t="s">
        <v>519</v>
      </c>
      <c r="J56" s="13" t="s">
        <v>232</v>
      </c>
      <c r="K56" s="13" t="s">
        <v>232</v>
      </c>
      <c r="L56" s="21" t="s">
        <v>234</v>
      </c>
      <c r="M56" s="23" t="s">
        <v>235</v>
      </c>
      <c r="N56" s="16">
        <v>0.0</v>
      </c>
      <c r="O56" s="13" t="s">
        <v>237</v>
      </c>
      <c r="P56" s="24"/>
      <c r="Q56" s="24"/>
      <c r="R56" s="20">
        <f t="shared" si="1"/>
        <v>0</v>
      </c>
      <c r="AA56" s="1" t="str">
        <f t="shared" si="2"/>
        <v>Maquillaje</v>
      </c>
      <c r="AB56" s="1" t="str">
        <f t="shared" si="3"/>
        <v>Maquillaje_</v>
      </c>
    </row>
    <row r="57" ht="19.5" customHeight="1">
      <c r="A57" s="28" t="s">
        <v>522</v>
      </c>
      <c r="B57" s="28" t="s">
        <v>523</v>
      </c>
      <c r="C57" s="28" t="s">
        <v>524</v>
      </c>
      <c r="D57" s="28" t="s">
        <v>490</v>
      </c>
      <c r="E57" s="30" t="s">
        <v>40</v>
      </c>
      <c r="F57" s="19" t="s">
        <v>79</v>
      </c>
      <c r="G57" s="30" t="s">
        <v>232</v>
      </c>
      <c r="H57" s="30" t="s">
        <v>232</v>
      </c>
      <c r="I57" s="28" t="s">
        <v>524</v>
      </c>
      <c r="J57" s="28" t="s">
        <v>232</v>
      </c>
      <c r="K57" s="28" t="s">
        <v>232</v>
      </c>
      <c r="L57" s="32" t="s">
        <v>234</v>
      </c>
      <c r="M57" s="33" t="s">
        <v>235</v>
      </c>
      <c r="N57" s="34">
        <v>0.0</v>
      </c>
      <c r="O57" s="28" t="s">
        <v>237</v>
      </c>
      <c r="P57" s="24"/>
      <c r="Q57" s="24"/>
      <c r="R57" s="20">
        <f t="shared" si="1"/>
        <v>0</v>
      </c>
      <c r="AA57" s="1" t="str">
        <f t="shared" si="2"/>
        <v>Maquillaje</v>
      </c>
      <c r="AB57" s="1" t="str">
        <f t="shared" si="3"/>
        <v>Maquillaje_</v>
      </c>
    </row>
    <row r="58" ht="19.5" customHeight="1">
      <c r="A58" s="13" t="s">
        <v>526</v>
      </c>
      <c r="B58" s="13" t="s">
        <v>527</v>
      </c>
      <c r="C58" s="13" t="s">
        <v>528</v>
      </c>
      <c r="D58" s="13" t="s">
        <v>490</v>
      </c>
      <c r="E58" s="15" t="s">
        <v>40</v>
      </c>
      <c r="F58" s="19" t="s">
        <v>79</v>
      </c>
      <c r="G58" s="15" t="s">
        <v>232</v>
      </c>
      <c r="H58" s="15" t="s">
        <v>232</v>
      </c>
      <c r="I58" s="13" t="s">
        <v>528</v>
      </c>
      <c r="J58" s="13" t="s">
        <v>232</v>
      </c>
      <c r="K58" s="13" t="s">
        <v>232</v>
      </c>
      <c r="L58" s="21" t="s">
        <v>234</v>
      </c>
      <c r="M58" s="23" t="s">
        <v>235</v>
      </c>
      <c r="N58" s="16">
        <v>0.0</v>
      </c>
      <c r="O58" s="13" t="s">
        <v>237</v>
      </c>
      <c r="P58" s="24"/>
      <c r="Q58" s="24"/>
      <c r="R58" s="20">
        <f t="shared" si="1"/>
        <v>0</v>
      </c>
      <c r="AA58" s="1" t="str">
        <f t="shared" si="2"/>
        <v>Maquillaje</v>
      </c>
      <c r="AB58" s="1" t="str">
        <f t="shared" si="3"/>
        <v>Maquillaje_</v>
      </c>
    </row>
    <row r="59" ht="19.5" customHeight="1">
      <c r="A59" s="28" t="s">
        <v>531</v>
      </c>
      <c r="B59" s="28" t="s">
        <v>532</v>
      </c>
      <c r="C59" s="28" t="s">
        <v>533</v>
      </c>
      <c r="D59" s="28" t="s">
        <v>490</v>
      </c>
      <c r="E59" s="30" t="s">
        <v>40</v>
      </c>
      <c r="F59" s="19" t="s">
        <v>79</v>
      </c>
      <c r="G59" s="30" t="s">
        <v>232</v>
      </c>
      <c r="H59" s="30" t="s">
        <v>232</v>
      </c>
      <c r="I59" s="28" t="s">
        <v>533</v>
      </c>
      <c r="J59" s="28" t="s">
        <v>232</v>
      </c>
      <c r="K59" s="28" t="s">
        <v>232</v>
      </c>
      <c r="L59" s="32" t="s">
        <v>234</v>
      </c>
      <c r="M59" s="33" t="s">
        <v>235</v>
      </c>
      <c r="N59" s="34">
        <v>0.0</v>
      </c>
      <c r="O59" s="28" t="s">
        <v>237</v>
      </c>
      <c r="P59" s="24"/>
      <c r="Q59" s="24"/>
      <c r="R59" s="20">
        <f t="shared" si="1"/>
        <v>0</v>
      </c>
      <c r="AA59" s="1" t="str">
        <f t="shared" si="2"/>
        <v>Maquillaje</v>
      </c>
      <c r="AB59" s="1" t="str">
        <f t="shared" si="3"/>
        <v>Maquillaje_</v>
      </c>
    </row>
    <row r="60" ht="19.5" customHeight="1">
      <c r="A60" s="13" t="s">
        <v>535</v>
      </c>
      <c r="B60" s="13" t="s">
        <v>536</v>
      </c>
      <c r="C60" s="13" t="s">
        <v>537</v>
      </c>
      <c r="D60" s="13" t="s">
        <v>490</v>
      </c>
      <c r="E60" s="15" t="s">
        <v>40</v>
      </c>
      <c r="F60" s="19" t="s">
        <v>79</v>
      </c>
      <c r="G60" s="15" t="s">
        <v>232</v>
      </c>
      <c r="H60" s="15" t="s">
        <v>232</v>
      </c>
      <c r="I60" s="13" t="s">
        <v>537</v>
      </c>
      <c r="J60" s="13" t="s">
        <v>232</v>
      </c>
      <c r="K60" s="13" t="s">
        <v>232</v>
      </c>
      <c r="L60" s="21" t="s">
        <v>234</v>
      </c>
      <c r="M60" s="23" t="s">
        <v>235</v>
      </c>
      <c r="N60" s="16">
        <v>0.0</v>
      </c>
      <c r="O60" s="13" t="s">
        <v>237</v>
      </c>
      <c r="P60" s="24"/>
      <c r="Q60" s="24"/>
      <c r="R60" s="20">
        <f t="shared" si="1"/>
        <v>0</v>
      </c>
      <c r="AA60" s="1" t="str">
        <f t="shared" si="2"/>
        <v>Maquillaje</v>
      </c>
      <c r="AB60" s="1" t="str">
        <f t="shared" si="3"/>
        <v>Maquillaje_</v>
      </c>
    </row>
    <row r="61" ht="19.5" customHeight="1">
      <c r="A61" s="28" t="s">
        <v>539</v>
      </c>
      <c r="B61" s="28" t="s">
        <v>232</v>
      </c>
      <c r="C61" s="28" t="s">
        <v>540</v>
      </c>
      <c r="D61" s="28" t="s">
        <v>541</v>
      </c>
      <c r="E61" s="30" t="s">
        <v>40</v>
      </c>
      <c r="F61" s="19" t="s">
        <v>79</v>
      </c>
      <c r="G61" s="30" t="s">
        <v>232</v>
      </c>
      <c r="H61" s="30" t="s">
        <v>232</v>
      </c>
      <c r="I61" s="28" t="s">
        <v>540</v>
      </c>
      <c r="J61" s="28" t="s">
        <v>232</v>
      </c>
      <c r="K61" s="28" t="s">
        <v>232</v>
      </c>
      <c r="L61" s="32" t="s">
        <v>234</v>
      </c>
      <c r="M61" s="33" t="s">
        <v>235</v>
      </c>
      <c r="N61" s="34">
        <v>0.0</v>
      </c>
      <c r="O61" s="28" t="s">
        <v>237</v>
      </c>
      <c r="P61" s="24"/>
      <c r="Q61" s="24"/>
      <c r="R61" s="20">
        <f t="shared" si="1"/>
        <v>0</v>
      </c>
      <c r="AA61" s="1" t="str">
        <f t="shared" si="2"/>
        <v>Maquillaje</v>
      </c>
      <c r="AB61" s="1" t="str">
        <f t="shared" si="3"/>
        <v>Maquillaje_</v>
      </c>
    </row>
    <row r="62" ht="19.5" customHeight="1">
      <c r="A62" s="13" t="s">
        <v>544</v>
      </c>
      <c r="B62" s="13" t="s">
        <v>546</v>
      </c>
      <c r="C62" s="13" t="s">
        <v>547</v>
      </c>
      <c r="D62" s="13" t="s">
        <v>541</v>
      </c>
      <c r="E62" s="15" t="s">
        <v>40</v>
      </c>
      <c r="F62" s="19" t="s">
        <v>79</v>
      </c>
      <c r="G62" s="15" t="s">
        <v>232</v>
      </c>
      <c r="H62" s="15" t="s">
        <v>232</v>
      </c>
      <c r="I62" s="13" t="s">
        <v>547</v>
      </c>
      <c r="J62" s="13" t="s">
        <v>549</v>
      </c>
      <c r="K62" s="13" t="s">
        <v>232</v>
      </c>
      <c r="L62" s="21" t="s">
        <v>234</v>
      </c>
      <c r="M62" s="23" t="s">
        <v>235</v>
      </c>
      <c r="N62" s="16">
        <v>0.0</v>
      </c>
      <c r="O62" s="13" t="s">
        <v>237</v>
      </c>
      <c r="P62" s="24"/>
      <c r="Q62" s="24"/>
      <c r="R62" s="20">
        <f t="shared" si="1"/>
        <v>0</v>
      </c>
      <c r="AA62" s="1" t="str">
        <f t="shared" si="2"/>
        <v>Maquillaje</v>
      </c>
      <c r="AB62" s="1" t="str">
        <f t="shared" si="3"/>
        <v>Maquillaje_</v>
      </c>
    </row>
    <row r="63" ht="19.5" customHeight="1">
      <c r="A63" s="28" t="s">
        <v>551</v>
      </c>
      <c r="B63" s="28" t="s">
        <v>232</v>
      </c>
      <c r="C63" s="28" t="s">
        <v>552</v>
      </c>
      <c r="D63" s="28" t="s">
        <v>541</v>
      </c>
      <c r="E63" s="30" t="s">
        <v>40</v>
      </c>
      <c r="F63" s="19" t="s">
        <v>79</v>
      </c>
      <c r="G63" s="30" t="s">
        <v>232</v>
      </c>
      <c r="H63" s="30" t="s">
        <v>232</v>
      </c>
      <c r="I63" s="28" t="s">
        <v>552</v>
      </c>
      <c r="J63" s="28" t="s">
        <v>232</v>
      </c>
      <c r="K63" s="28" t="s">
        <v>232</v>
      </c>
      <c r="L63" s="32" t="s">
        <v>234</v>
      </c>
      <c r="M63" s="33" t="s">
        <v>235</v>
      </c>
      <c r="N63" s="34">
        <v>0.0</v>
      </c>
      <c r="O63" s="28" t="s">
        <v>237</v>
      </c>
      <c r="P63" s="24"/>
      <c r="Q63" s="24"/>
      <c r="R63" s="20">
        <f t="shared" si="1"/>
        <v>0</v>
      </c>
      <c r="AA63" s="1" t="str">
        <f t="shared" si="2"/>
        <v>Maquillaje</v>
      </c>
      <c r="AB63" s="1" t="str">
        <f t="shared" si="3"/>
        <v>Maquillaje_</v>
      </c>
    </row>
    <row r="64" ht="19.5" customHeight="1">
      <c r="A64" s="13" t="s">
        <v>555</v>
      </c>
      <c r="B64" s="13" t="s">
        <v>557</v>
      </c>
      <c r="C64" s="13" t="s">
        <v>558</v>
      </c>
      <c r="D64" s="13" t="s">
        <v>541</v>
      </c>
      <c r="E64" s="15" t="s">
        <v>40</v>
      </c>
      <c r="F64" s="19" t="s">
        <v>79</v>
      </c>
      <c r="G64" s="15" t="s">
        <v>232</v>
      </c>
      <c r="H64" s="15" t="s">
        <v>232</v>
      </c>
      <c r="I64" s="13" t="s">
        <v>558</v>
      </c>
      <c r="J64" s="13" t="s">
        <v>559</v>
      </c>
      <c r="K64" s="13" t="s">
        <v>232</v>
      </c>
      <c r="L64" s="21" t="s">
        <v>234</v>
      </c>
      <c r="M64" s="23" t="s">
        <v>235</v>
      </c>
      <c r="N64" s="16">
        <v>0.0</v>
      </c>
      <c r="O64" s="13" t="s">
        <v>237</v>
      </c>
      <c r="P64" s="24"/>
      <c r="Q64" s="24"/>
      <c r="R64" s="20">
        <f t="shared" si="1"/>
        <v>0</v>
      </c>
      <c r="AA64" s="1" t="str">
        <f t="shared" si="2"/>
        <v>Maquillaje</v>
      </c>
      <c r="AB64" s="1" t="str">
        <f t="shared" si="3"/>
        <v>Maquillaje_</v>
      </c>
    </row>
    <row r="65" ht="19.5" customHeight="1">
      <c r="A65" s="28" t="s">
        <v>561</v>
      </c>
      <c r="B65" s="28" t="s">
        <v>562</v>
      </c>
      <c r="C65" s="28" t="s">
        <v>563</v>
      </c>
      <c r="D65" s="28" t="s">
        <v>541</v>
      </c>
      <c r="E65" s="30" t="s">
        <v>40</v>
      </c>
      <c r="F65" s="19" t="s">
        <v>79</v>
      </c>
      <c r="G65" s="30" t="s">
        <v>232</v>
      </c>
      <c r="H65" s="30" t="s">
        <v>232</v>
      </c>
      <c r="I65" s="28" t="s">
        <v>563</v>
      </c>
      <c r="J65" s="28" t="s">
        <v>565</v>
      </c>
      <c r="K65" s="28" t="s">
        <v>232</v>
      </c>
      <c r="L65" s="32" t="s">
        <v>234</v>
      </c>
      <c r="M65" s="33" t="s">
        <v>235</v>
      </c>
      <c r="N65" s="34">
        <v>0.0</v>
      </c>
      <c r="O65" s="28" t="s">
        <v>237</v>
      </c>
      <c r="P65" s="24"/>
      <c r="Q65" s="24"/>
      <c r="R65" s="20">
        <f t="shared" si="1"/>
        <v>0</v>
      </c>
      <c r="AA65" s="1" t="str">
        <f t="shared" si="2"/>
        <v>Maquillaje</v>
      </c>
      <c r="AB65" s="1" t="str">
        <f t="shared" si="3"/>
        <v>Maquillaje_</v>
      </c>
    </row>
    <row r="66" ht="19.5" customHeight="1">
      <c r="A66" s="13" t="s">
        <v>566</v>
      </c>
      <c r="B66" s="13" t="s">
        <v>567</v>
      </c>
      <c r="C66" s="13" t="s">
        <v>568</v>
      </c>
      <c r="D66" s="13" t="s">
        <v>541</v>
      </c>
      <c r="E66" s="15" t="s">
        <v>40</v>
      </c>
      <c r="F66" s="19" t="s">
        <v>79</v>
      </c>
      <c r="G66" s="15" t="s">
        <v>232</v>
      </c>
      <c r="H66" s="15" t="s">
        <v>232</v>
      </c>
      <c r="I66" s="13" t="s">
        <v>568</v>
      </c>
      <c r="J66" s="13" t="s">
        <v>570</v>
      </c>
      <c r="K66" s="13" t="s">
        <v>232</v>
      </c>
      <c r="L66" s="21" t="s">
        <v>234</v>
      </c>
      <c r="M66" s="23" t="s">
        <v>235</v>
      </c>
      <c r="N66" s="16">
        <v>0.0</v>
      </c>
      <c r="O66" s="13" t="s">
        <v>237</v>
      </c>
      <c r="P66" s="24"/>
      <c r="Q66" s="24"/>
      <c r="R66" s="20">
        <f t="shared" si="1"/>
        <v>0</v>
      </c>
      <c r="AA66" s="1" t="str">
        <f t="shared" si="2"/>
        <v>Maquillaje</v>
      </c>
      <c r="AB66" s="1" t="str">
        <f t="shared" si="3"/>
        <v>Maquillaje_</v>
      </c>
    </row>
    <row r="67" ht="19.5" customHeight="1">
      <c r="A67" s="28" t="s">
        <v>573</v>
      </c>
      <c r="B67" s="28" t="s">
        <v>574</v>
      </c>
      <c r="C67" s="28" t="s">
        <v>575</v>
      </c>
      <c r="D67" s="28" t="s">
        <v>541</v>
      </c>
      <c r="E67" s="30" t="s">
        <v>40</v>
      </c>
      <c r="F67" s="19" t="s">
        <v>79</v>
      </c>
      <c r="G67" s="30" t="s">
        <v>232</v>
      </c>
      <c r="H67" s="30" t="s">
        <v>232</v>
      </c>
      <c r="I67" s="28" t="s">
        <v>575</v>
      </c>
      <c r="J67" s="28" t="s">
        <v>577</v>
      </c>
      <c r="K67" s="28" t="s">
        <v>232</v>
      </c>
      <c r="L67" s="32" t="s">
        <v>234</v>
      </c>
      <c r="M67" s="33" t="s">
        <v>235</v>
      </c>
      <c r="N67" s="34">
        <v>0.0</v>
      </c>
      <c r="O67" s="28" t="s">
        <v>237</v>
      </c>
      <c r="P67" s="24"/>
      <c r="Q67" s="24"/>
      <c r="R67" s="20">
        <f t="shared" si="1"/>
        <v>0</v>
      </c>
      <c r="AA67" s="1" t="str">
        <f t="shared" si="2"/>
        <v>Maquillaje</v>
      </c>
      <c r="AB67" s="1" t="str">
        <f t="shared" si="3"/>
        <v>Maquillaje_</v>
      </c>
    </row>
    <row r="68" ht="19.5" customHeight="1">
      <c r="A68" s="13" t="s">
        <v>579</v>
      </c>
      <c r="B68" s="13" t="s">
        <v>580</v>
      </c>
      <c r="C68" s="13" t="s">
        <v>581</v>
      </c>
      <c r="D68" s="13" t="s">
        <v>541</v>
      </c>
      <c r="E68" s="15" t="s">
        <v>40</v>
      </c>
      <c r="F68" s="19" t="s">
        <v>79</v>
      </c>
      <c r="G68" s="15" t="s">
        <v>232</v>
      </c>
      <c r="H68" s="15" t="s">
        <v>232</v>
      </c>
      <c r="I68" s="13" t="s">
        <v>581</v>
      </c>
      <c r="J68" s="13" t="s">
        <v>582</v>
      </c>
      <c r="K68" s="13" t="s">
        <v>232</v>
      </c>
      <c r="L68" s="21" t="s">
        <v>234</v>
      </c>
      <c r="M68" s="23" t="s">
        <v>235</v>
      </c>
      <c r="N68" s="16">
        <v>0.0</v>
      </c>
      <c r="O68" s="13" t="s">
        <v>237</v>
      </c>
      <c r="P68" s="24"/>
      <c r="Q68" s="24"/>
      <c r="R68" s="20">
        <f t="shared" si="1"/>
        <v>0</v>
      </c>
      <c r="AA68" s="1" t="str">
        <f t="shared" si="2"/>
        <v>Maquillaje</v>
      </c>
      <c r="AB68" s="1" t="str">
        <f t="shared" si="3"/>
        <v>Maquillaje_</v>
      </c>
    </row>
    <row r="69" ht="19.5" customHeight="1">
      <c r="A69" s="28" t="s">
        <v>584</v>
      </c>
      <c r="B69" s="28" t="s">
        <v>232</v>
      </c>
      <c r="C69" s="28" t="s">
        <v>585</v>
      </c>
      <c r="D69" s="28" t="s">
        <v>541</v>
      </c>
      <c r="E69" s="30" t="s">
        <v>40</v>
      </c>
      <c r="F69" s="19" t="s">
        <v>79</v>
      </c>
      <c r="G69" s="30" t="s">
        <v>232</v>
      </c>
      <c r="H69" s="30" t="s">
        <v>232</v>
      </c>
      <c r="I69" s="28" t="s">
        <v>585</v>
      </c>
      <c r="J69" s="28" t="s">
        <v>587</v>
      </c>
      <c r="K69" s="28" t="s">
        <v>232</v>
      </c>
      <c r="L69" s="32" t="s">
        <v>234</v>
      </c>
      <c r="M69" s="33" t="s">
        <v>235</v>
      </c>
      <c r="N69" s="34">
        <v>0.0</v>
      </c>
      <c r="O69" s="28" t="s">
        <v>237</v>
      </c>
      <c r="P69" s="24"/>
      <c r="Q69" s="24"/>
      <c r="R69" s="20">
        <f t="shared" si="1"/>
        <v>0</v>
      </c>
      <c r="AA69" s="1" t="str">
        <f t="shared" si="2"/>
        <v>Maquillaje</v>
      </c>
      <c r="AB69" s="1" t="str">
        <f t="shared" si="3"/>
        <v>Maquillaje_</v>
      </c>
    </row>
    <row r="70" ht="19.5" customHeight="1">
      <c r="A70" s="13" t="s">
        <v>588</v>
      </c>
      <c r="B70" s="13" t="s">
        <v>232</v>
      </c>
      <c r="C70" s="13" t="s">
        <v>589</v>
      </c>
      <c r="D70" s="13" t="s">
        <v>541</v>
      </c>
      <c r="E70" s="15" t="s">
        <v>40</v>
      </c>
      <c r="F70" s="19" t="s">
        <v>79</v>
      </c>
      <c r="G70" s="15" t="s">
        <v>232</v>
      </c>
      <c r="H70" s="15" t="s">
        <v>232</v>
      </c>
      <c r="I70" s="13" t="s">
        <v>589</v>
      </c>
      <c r="J70" s="13" t="s">
        <v>591</v>
      </c>
      <c r="K70" s="13" t="s">
        <v>232</v>
      </c>
      <c r="L70" s="21" t="s">
        <v>234</v>
      </c>
      <c r="M70" s="23" t="s">
        <v>235</v>
      </c>
      <c r="N70" s="16">
        <v>0.0</v>
      </c>
      <c r="O70" s="13" t="s">
        <v>237</v>
      </c>
      <c r="P70" s="24"/>
      <c r="Q70" s="24"/>
      <c r="R70" s="20">
        <f t="shared" si="1"/>
        <v>0</v>
      </c>
      <c r="AA70" s="1" t="str">
        <f t="shared" si="2"/>
        <v>Maquillaje</v>
      </c>
      <c r="AB70" s="1" t="str">
        <f t="shared" si="3"/>
        <v>Maquillaje_</v>
      </c>
    </row>
    <row r="71" ht="19.5" customHeight="1">
      <c r="A71" s="28" t="s">
        <v>592</v>
      </c>
      <c r="B71" s="28" t="s">
        <v>593</v>
      </c>
      <c r="C71" s="28" t="s">
        <v>594</v>
      </c>
      <c r="D71" s="28" t="s">
        <v>541</v>
      </c>
      <c r="E71" s="30" t="s">
        <v>40</v>
      </c>
      <c r="F71" s="19" t="s">
        <v>79</v>
      </c>
      <c r="G71" s="30" t="s">
        <v>232</v>
      </c>
      <c r="H71" s="30" t="s">
        <v>232</v>
      </c>
      <c r="I71" s="28" t="s">
        <v>594</v>
      </c>
      <c r="J71" s="28" t="s">
        <v>597</v>
      </c>
      <c r="K71" s="28" t="s">
        <v>232</v>
      </c>
      <c r="L71" s="32" t="s">
        <v>234</v>
      </c>
      <c r="M71" s="33" t="s">
        <v>235</v>
      </c>
      <c r="N71" s="34">
        <v>0.0</v>
      </c>
      <c r="O71" s="28" t="s">
        <v>237</v>
      </c>
      <c r="P71" s="24"/>
      <c r="Q71" s="24"/>
      <c r="R71" s="20">
        <f t="shared" si="1"/>
        <v>0</v>
      </c>
      <c r="AA71" s="1" t="str">
        <f t="shared" si="2"/>
        <v>Maquillaje</v>
      </c>
      <c r="AB71" s="1" t="str">
        <f t="shared" si="3"/>
        <v>Maquillaje_</v>
      </c>
    </row>
    <row r="72" ht="19.5" customHeight="1">
      <c r="A72" s="13" t="s">
        <v>599</v>
      </c>
      <c r="B72" s="13" t="s">
        <v>600</v>
      </c>
      <c r="C72" s="13" t="s">
        <v>601</v>
      </c>
      <c r="D72" s="13" t="s">
        <v>541</v>
      </c>
      <c r="E72" s="15" t="s">
        <v>40</v>
      </c>
      <c r="F72" s="15" t="s">
        <v>603</v>
      </c>
      <c r="G72" s="15" t="s">
        <v>232</v>
      </c>
      <c r="H72" s="15" t="s">
        <v>232</v>
      </c>
      <c r="I72" s="13" t="s">
        <v>601</v>
      </c>
      <c r="J72" s="13" t="s">
        <v>604</v>
      </c>
      <c r="K72" s="13" t="s">
        <v>232</v>
      </c>
      <c r="L72" s="21" t="s">
        <v>234</v>
      </c>
      <c r="M72" s="23" t="s">
        <v>235</v>
      </c>
      <c r="N72" s="16">
        <v>0.0</v>
      </c>
      <c r="O72" s="13" t="s">
        <v>237</v>
      </c>
      <c r="P72" s="24"/>
      <c r="Q72" s="24"/>
      <c r="R72" s="20">
        <f t="shared" si="1"/>
        <v>0</v>
      </c>
      <c r="AA72" s="1" t="str">
        <f t="shared" si="2"/>
        <v>CREMAS_MANOS_Y_CUERPO</v>
      </c>
      <c r="AB72" s="1" t="str">
        <f t="shared" si="3"/>
        <v>CREMAS_MANOS_Y_CUERPO_</v>
      </c>
    </row>
    <row r="73" ht="19.5" customHeight="1">
      <c r="A73" s="28" t="s">
        <v>606</v>
      </c>
      <c r="B73" s="28" t="s">
        <v>232</v>
      </c>
      <c r="C73" s="28" t="s">
        <v>607</v>
      </c>
      <c r="D73" s="28" t="s">
        <v>541</v>
      </c>
      <c r="E73" s="30" t="s">
        <v>40</v>
      </c>
      <c r="F73" s="30" t="s">
        <v>608</v>
      </c>
      <c r="G73" s="30" t="s">
        <v>232</v>
      </c>
      <c r="H73" s="30" t="s">
        <v>232</v>
      </c>
      <c r="I73" s="28" t="s">
        <v>607</v>
      </c>
      <c r="J73" s="28" t="s">
        <v>232</v>
      </c>
      <c r="K73" s="28" t="s">
        <v>232</v>
      </c>
      <c r="L73" s="32" t="s">
        <v>234</v>
      </c>
      <c r="M73" s="33" t="s">
        <v>235</v>
      </c>
      <c r="N73" s="34">
        <v>0.0</v>
      </c>
      <c r="O73" s="28" t="s">
        <v>237</v>
      </c>
      <c r="P73" s="24"/>
      <c r="Q73" s="24"/>
      <c r="R73" s="20">
        <f t="shared" si="1"/>
        <v>0</v>
      </c>
      <c r="AA73" s="1" t="str">
        <f t="shared" si="2"/>
        <v>MAQUILLAJE</v>
      </c>
      <c r="AB73" s="1" t="str">
        <f t="shared" si="3"/>
        <v>MAQUILLAJE_</v>
      </c>
    </row>
    <row r="74" ht="19.5" customHeight="1">
      <c r="A74" s="13" t="s">
        <v>611</v>
      </c>
      <c r="B74" s="13" t="s">
        <v>612</v>
      </c>
      <c r="C74" s="13" t="s">
        <v>613</v>
      </c>
      <c r="D74" s="13" t="s">
        <v>541</v>
      </c>
      <c r="E74" s="15" t="s">
        <v>40</v>
      </c>
      <c r="F74" s="15" t="s">
        <v>608</v>
      </c>
      <c r="G74" s="15" t="s">
        <v>232</v>
      </c>
      <c r="H74" s="15" t="s">
        <v>232</v>
      </c>
      <c r="I74" s="13" t="s">
        <v>613</v>
      </c>
      <c r="J74" s="13" t="s">
        <v>616</v>
      </c>
      <c r="K74" s="13" t="s">
        <v>232</v>
      </c>
      <c r="L74" s="21" t="s">
        <v>234</v>
      </c>
      <c r="M74" s="23" t="s">
        <v>235</v>
      </c>
      <c r="N74" s="16">
        <v>0.0</v>
      </c>
      <c r="O74" s="13" t="s">
        <v>237</v>
      </c>
      <c r="P74" s="24"/>
      <c r="Q74" s="24"/>
      <c r="R74" s="20">
        <f t="shared" si="1"/>
        <v>0</v>
      </c>
      <c r="AA74" s="1" t="str">
        <f t="shared" si="2"/>
        <v>MAQUILLAJE</v>
      </c>
      <c r="AB74" s="1" t="str">
        <f t="shared" si="3"/>
        <v>MAQUILLAJE_</v>
      </c>
    </row>
    <row r="75" ht="19.5" customHeight="1">
      <c r="A75" s="28" t="s">
        <v>618</v>
      </c>
      <c r="B75" s="28" t="s">
        <v>232</v>
      </c>
      <c r="C75" s="28" t="s">
        <v>619</v>
      </c>
      <c r="D75" s="28" t="s">
        <v>541</v>
      </c>
      <c r="E75" s="30" t="s">
        <v>40</v>
      </c>
      <c r="F75" s="30" t="s">
        <v>608</v>
      </c>
      <c r="G75" s="30" t="s">
        <v>232</v>
      </c>
      <c r="H75" s="30" t="s">
        <v>232</v>
      </c>
      <c r="I75" s="28" t="s">
        <v>619</v>
      </c>
      <c r="J75" s="28" t="s">
        <v>621</v>
      </c>
      <c r="K75" s="28" t="s">
        <v>232</v>
      </c>
      <c r="L75" s="32" t="s">
        <v>234</v>
      </c>
      <c r="M75" s="33" t="s">
        <v>235</v>
      </c>
      <c r="N75" s="34">
        <v>0.0</v>
      </c>
      <c r="O75" s="28" t="s">
        <v>237</v>
      </c>
      <c r="P75" s="24"/>
      <c r="Q75" s="24"/>
      <c r="R75" s="20">
        <f t="shared" si="1"/>
        <v>0</v>
      </c>
      <c r="AA75" s="1" t="str">
        <f t="shared" si="2"/>
        <v>MAQUILLAJE</v>
      </c>
      <c r="AB75" s="1" t="str">
        <f t="shared" si="3"/>
        <v>MAQUILLAJE_</v>
      </c>
    </row>
    <row r="76" ht="19.5" customHeight="1">
      <c r="A76" s="13" t="s">
        <v>623</v>
      </c>
      <c r="B76" s="13" t="s">
        <v>232</v>
      </c>
      <c r="C76" s="13" t="s">
        <v>624</v>
      </c>
      <c r="D76" s="13" t="s">
        <v>541</v>
      </c>
      <c r="E76" s="15" t="s">
        <v>40</v>
      </c>
      <c r="F76" s="15" t="s">
        <v>608</v>
      </c>
      <c r="G76" s="15" t="s">
        <v>232</v>
      </c>
      <c r="H76" s="15" t="s">
        <v>232</v>
      </c>
      <c r="I76" s="13" t="s">
        <v>624</v>
      </c>
      <c r="J76" s="13" t="s">
        <v>232</v>
      </c>
      <c r="K76" s="13" t="s">
        <v>232</v>
      </c>
      <c r="L76" s="21" t="s">
        <v>234</v>
      </c>
      <c r="M76" s="23" t="s">
        <v>235</v>
      </c>
      <c r="N76" s="16">
        <v>0.0</v>
      </c>
      <c r="O76" s="13" t="s">
        <v>237</v>
      </c>
      <c r="P76" s="24"/>
      <c r="Q76" s="24"/>
      <c r="R76" s="20">
        <f t="shared" si="1"/>
        <v>0</v>
      </c>
      <c r="AA76" s="1" t="str">
        <f t="shared" si="2"/>
        <v>MAQUILLAJE</v>
      </c>
      <c r="AB76" s="1" t="str">
        <f t="shared" si="3"/>
        <v>MAQUILLAJE_</v>
      </c>
    </row>
    <row r="77" ht="19.5" customHeight="1">
      <c r="A77" s="28" t="s">
        <v>626</v>
      </c>
      <c r="B77" s="28" t="s">
        <v>627</v>
      </c>
      <c r="C77" s="28" t="s">
        <v>628</v>
      </c>
      <c r="D77" s="28" t="s">
        <v>541</v>
      </c>
      <c r="E77" s="30" t="s">
        <v>40</v>
      </c>
      <c r="F77" s="30" t="s">
        <v>608</v>
      </c>
      <c r="G77" s="30" t="s">
        <v>232</v>
      </c>
      <c r="H77" s="30" t="s">
        <v>232</v>
      </c>
      <c r="I77" s="28" t="s">
        <v>628</v>
      </c>
      <c r="J77" s="28" t="s">
        <v>629</v>
      </c>
      <c r="K77" s="28" t="s">
        <v>232</v>
      </c>
      <c r="L77" s="32" t="s">
        <v>234</v>
      </c>
      <c r="M77" s="33" t="s">
        <v>235</v>
      </c>
      <c r="N77" s="34">
        <v>0.0</v>
      </c>
      <c r="O77" s="28" t="s">
        <v>237</v>
      </c>
      <c r="P77" s="24"/>
      <c r="Q77" s="24"/>
      <c r="R77" s="20">
        <f t="shared" si="1"/>
        <v>0</v>
      </c>
      <c r="AA77" s="1" t="str">
        <f t="shared" si="2"/>
        <v>MAQUILLAJE</v>
      </c>
      <c r="AB77" s="1" t="str">
        <f t="shared" si="3"/>
        <v>MAQUILLAJE_</v>
      </c>
    </row>
    <row r="78" ht="19.5" customHeight="1">
      <c r="A78" s="13" t="s">
        <v>631</v>
      </c>
      <c r="B78" s="13" t="s">
        <v>632</v>
      </c>
      <c r="C78" s="13" t="s">
        <v>633</v>
      </c>
      <c r="D78" s="13" t="s">
        <v>541</v>
      </c>
      <c r="E78" s="15" t="s">
        <v>40</v>
      </c>
      <c r="F78" s="15" t="s">
        <v>608</v>
      </c>
      <c r="G78" s="15" t="s">
        <v>232</v>
      </c>
      <c r="H78" s="15" t="s">
        <v>232</v>
      </c>
      <c r="I78" s="13" t="s">
        <v>633</v>
      </c>
      <c r="J78" s="13" t="s">
        <v>634</v>
      </c>
      <c r="K78" s="13" t="s">
        <v>232</v>
      </c>
      <c r="L78" s="21" t="s">
        <v>234</v>
      </c>
      <c r="M78" s="23" t="s">
        <v>235</v>
      </c>
      <c r="N78" s="16">
        <v>0.0</v>
      </c>
      <c r="O78" s="13" t="s">
        <v>237</v>
      </c>
      <c r="P78" s="24"/>
      <c r="Q78" s="24"/>
      <c r="R78" s="20">
        <f t="shared" si="1"/>
        <v>0</v>
      </c>
      <c r="AA78" s="1" t="str">
        <f t="shared" si="2"/>
        <v>MAQUILLAJE</v>
      </c>
      <c r="AB78" s="1" t="str">
        <f t="shared" si="3"/>
        <v>MAQUILLAJE_</v>
      </c>
    </row>
    <row r="79" ht="19.5" customHeight="1">
      <c r="A79" s="28" t="s">
        <v>635</v>
      </c>
      <c r="B79" s="28" t="s">
        <v>637</v>
      </c>
      <c r="C79" s="28" t="s">
        <v>638</v>
      </c>
      <c r="D79" s="28" t="s">
        <v>541</v>
      </c>
      <c r="E79" s="30" t="s">
        <v>40</v>
      </c>
      <c r="F79" s="30" t="s">
        <v>608</v>
      </c>
      <c r="G79" s="30" t="s">
        <v>232</v>
      </c>
      <c r="H79" s="30" t="s">
        <v>232</v>
      </c>
      <c r="I79" s="28" t="s">
        <v>638</v>
      </c>
      <c r="J79" s="28" t="s">
        <v>639</v>
      </c>
      <c r="K79" s="28" t="s">
        <v>232</v>
      </c>
      <c r="L79" s="32" t="s">
        <v>234</v>
      </c>
      <c r="M79" s="33" t="s">
        <v>235</v>
      </c>
      <c r="N79" s="34">
        <v>0.0</v>
      </c>
      <c r="O79" s="28" t="s">
        <v>237</v>
      </c>
      <c r="P79" s="24"/>
      <c r="Q79" s="24"/>
      <c r="R79" s="20">
        <f t="shared" si="1"/>
        <v>0</v>
      </c>
      <c r="AA79" s="1" t="str">
        <f t="shared" si="2"/>
        <v>MAQUILLAJE</v>
      </c>
      <c r="AB79" s="1" t="str">
        <f t="shared" si="3"/>
        <v>MAQUILLAJE_</v>
      </c>
    </row>
    <row r="80" ht="19.5" customHeight="1">
      <c r="A80" s="13" t="s">
        <v>640</v>
      </c>
      <c r="B80" s="13" t="s">
        <v>232</v>
      </c>
      <c r="C80" s="13" t="s">
        <v>642</v>
      </c>
      <c r="D80" s="13" t="s">
        <v>541</v>
      </c>
      <c r="E80" s="15" t="s">
        <v>40</v>
      </c>
      <c r="F80" s="15" t="s">
        <v>608</v>
      </c>
      <c r="G80" s="15" t="s">
        <v>232</v>
      </c>
      <c r="H80" s="15" t="s">
        <v>232</v>
      </c>
      <c r="I80" s="13" t="s">
        <v>642</v>
      </c>
      <c r="J80" s="13" t="s">
        <v>232</v>
      </c>
      <c r="K80" s="13" t="s">
        <v>232</v>
      </c>
      <c r="L80" s="21" t="s">
        <v>234</v>
      </c>
      <c r="M80" s="23" t="s">
        <v>235</v>
      </c>
      <c r="N80" s="16">
        <v>0.0</v>
      </c>
      <c r="O80" s="13" t="s">
        <v>237</v>
      </c>
      <c r="P80" s="24"/>
      <c r="Q80" s="24"/>
      <c r="R80" s="20">
        <f t="shared" si="1"/>
        <v>0</v>
      </c>
      <c r="AA80" s="1" t="str">
        <f t="shared" si="2"/>
        <v>MAQUILLAJE</v>
      </c>
      <c r="AB80" s="1" t="str">
        <f t="shared" si="3"/>
        <v>MAQUILLAJE_</v>
      </c>
    </row>
    <row r="81" ht="19.5" customHeight="1">
      <c r="A81" s="28" t="s">
        <v>644</v>
      </c>
      <c r="B81" s="28" t="s">
        <v>645</v>
      </c>
      <c r="C81" s="28" t="s">
        <v>646</v>
      </c>
      <c r="D81" s="28" t="s">
        <v>541</v>
      </c>
      <c r="E81" s="30" t="s">
        <v>40</v>
      </c>
      <c r="F81" s="30" t="s">
        <v>608</v>
      </c>
      <c r="G81" s="30" t="s">
        <v>232</v>
      </c>
      <c r="H81" s="30" t="s">
        <v>232</v>
      </c>
      <c r="I81" s="28" t="s">
        <v>646</v>
      </c>
      <c r="J81" s="28" t="s">
        <v>647</v>
      </c>
      <c r="K81" s="28" t="s">
        <v>232</v>
      </c>
      <c r="L81" s="32" t="s">
        <v>234</v>
      </c>
      <c r="M81" s="33" t="s">
        <v>235</v>
      </c>
      <c r="N81" s="34">
        <v>0.0</v>
      </c>
      <c r="O81" s="28" t="s">
        <v>237</v>
      </c>
      <c r="P81" s="24"/>
      <c r="Q81" s="24"/>
      <c r="R81" s="20">
        <f t="shared" si="1"/>
        <v>0</v>
      </c>
      <c r="AA81" s="1" t="str">
        <f t="shared" si="2"/>
        <v>MAQUILLAJE</v>
      </c>
      <c r="AB81" s="1" t="str">
        <f t="shared" si="3"/>
        <v>MAQUILLAJE_</v>
      </c>
    </row>
    <row r="82" ht="19.5" customHeight="1">
      <c r="A82" s="13" t="s">
        <v>649</v>
      </c>
      <c r="B82" s="13" t="s">
        <v>650</v>
      </c>
      <c r="C82" s="13" t="s">
        <v>651</v>
      </c>
      <c r="D82" s="13" t="s">
        <v>541</v>
      </c>
      <c r="E82" s="15" t="s">
        <v>40</v>
      </c>
      <c r="F82" s="15" t="s">
        <v>608</v>
      </c>
      <c r="G82" s="15" t="s">
        <v>232</v>
      </c>
      <c r="H82" s="15" t="s">
        <v>232</v>
      </c>
      <c r="I82" s="13" t="s">
        <v>651</v>
      </c>
      <c r="J82" s="13" t="s">
        <v>232</v>
      </c>
      <c r="K82" s="13" t="s">
        <v>232</v>
      </c>
      <c r="L82" s="21" t="s">
        <v>234</v>
      </c>
      <c r="M82" s="23" t="s">
        <v>235</v>
      </c>
      <c r="N82" s="16">
        <v>0.0</v>
      </c>
      <c r="O82" s="13" t="s">
        <v>237</v>
      </c>
      <c r="P82" s="24"/>
      <c r="Q82" s="24"/>
      <c r="R82" s="20">
        <f t="shared" si="1"/>
        <v>0</v>
      </c>
      <c r="AA82" s="1" t="str">
        <f t="shared" si="2"/>
        <v>MAQUILLAJE</v>
      </c>
      <c r="AB82" s="1" t="str">
        <f t="shared" si="3"/>
        <v>MAQUILLAJE_</v>
      </c>
    </row>
    <row r="83" ht="19.5" customHeight="1">
      <c r="A83" s="28" t="s">
        <v>653</v>
      </c>
      <c r="B83" s="28" t="s">
        <v>655</v>
      </c>
      <c r="C83" s="28" t="s">
        <v>656</v>
      </c>
      <c r="D83" s="28" t="s">
        <v>541</v>
      </c>
      <c r="E83" s="30" t="s">
        <v>40</v>
      </c>
      <c r="F83" s="30" t="s">
        <v>608</v>
      </c>
      <c r="G83" s="30" t="s">
        <v>232</v>
      </c>
      <c r="H83" s="30" t="s">
        <v>232</v>
      </c>
      <c r="I83" s="28" t="s">
        <v>656</v>
      </c>
      <c r="J83" s="28" t="s">
        <v>232</v>
      </c>
      <c r="K83" s="28" t="s">
        <v>232</v>
      </c>
      <c r="L83" s="32" t="s">
        <v>234</v>
      </c>
      <c r="M83" s="33" t="s">
        <v>235</v>
      </c>
      <c r="N83" s="34">
        <v>0.0</v>
      </c>
      <c r="O83" s="28" t="s">
        <v>237</v>
      </c>
      <c r="P83" s="24"/>
      <c r="Q83" s="24"/>
      <c r="R83" s="20">
        <f t="shared" si="1"/>
        <v>0</v>
      </c>
      <c r="AA83" s="1" t="str">
        <f t="shared" si="2"/>
        <v>MAQUILLAJE</v>
      </c>
      <c r="AB83" s="1" t="str">
        <f t="shared" si="3"/>
        <v>MAQUILLAJE_</v>
      </c>
    </row>
    <row r="84" ht="19.5" customHeight="1">
      <c r="A84" s="13" t="s">
        <v>659</v>
      </c>
      <c r="B84" s="13" t="s">
        <v>660</v>
      </c>
      <c r="C84" s="13" t="s">
        <v>661</v>
      </c>
      <c r="D84" s="13" t="s">
        <v>541</v>
      </c>
      <c r="E84" s="15" t="s">
        <v>40</v>
      </c>
      <c r="F84" s="15" t="s">
        <v>608</v>
      </c>
      <c r="G84" s="15" t="s">
        <v>232</v>
      </c>
      <c r="H84" s="15" t="s">
        <v>232</v>
      </c>
      <c r="I84" s="13" t="s">
        <v>661</v>
      </c>
      <c r="J84" s="13" t="s">
        <v>663</v>
      </c>
      <c r="K84" s="13" t="s">
        <v>232</v>
      </c>
      <c r="L84" s="21" t="s">
        <v>234</v>
      </c>
      <c r="M84" s="23" t="s">
        <v>235</v>
      </c>
      <c r="N84" s="16">
        <v>0.0</v>
      </c>
      <c r="O84" s="13" t="s">
        <v>237</v>
      </c>
      <c r="P84" s="24"/>
      <c r="Q84" s="24"/>
      <c r="R84" s="20">
        <f t="shared" si="1"/>
        <v>0</v>
      </c>
      <c r="AA84" s="1" t="str">
        <f t="shared" si="2"/>
        <v>MAQUILLAJE</v>
      </c>
      <c r="AB84" s="1" t="str">
        <f t="shared" si="3"/>
        <v>MAQUILLAJE_</v>
      </c>
    </row>
    <row r="85" ht="19.5" customHeight="1">
      <c r="A85" s="28" t="s">
        <v>665</v>
      </c>
      <c r="B85" s="28" t="s">
        <v>666</v>
      </c>
      <c r="C85" s="28" t="s">
        <v>667</v>
      </c>
      <c r="D85" s="28" t="s">
        <v>541</v>
      </c>
      <c r="E85" s="30" t="s">
        <v>40</v>
      </c>
      <c r="F85" s="30" t="s">
        <v>608</v>
      </c>
      <c r="G85" s="30" t="s">
        <v>232</v>
      </c>
      <c r="H85" s="30" t="s">
        <v>232</v>
      </c>
      <c r="I85" s="28" t="s">
        <v>667</v>
      </c>
      <c r="J85" s="28" t="s">
        <v>669</v>
      </c>
      <c r="K85" s="28" t="s">
        <v>232</v>
      </c>
      <c r="L85" s="32" t="s">
        <v>234</v>
      </c>
      <c r="M85" s="33" t="s">
        <v>235</v>
      </c>
      <c r="N85" s="34">
        <v>0.0</v>
      </c>
      <c r="O85" s="28" t="s">
        <v>237</v>
      </c>
      <c r="P85" s="24"/>
      <c r="Q85" s="24"/>
      <c r="R85" s="20">
        <f t="shared" si="1"/>
        <v>0</v>
      </c>
      <c r="AA85" s="1" t="str">
        <f t="shared" si="2"/>
        <v>MAQUILLAJE</v>
      </c>
      <c r="AB85" s="1" t="str">
        <f t="shared" si="3"/>
        <v>MAQUILLAJE_</v>
      </c>
    </row>
    <row r="86" ht="19.5" customHeight="1">
      <c r="A86" s="13" t="s">
        <v>671</v>
      </c>
      <c r="B86" s="13" t="s">
        <v>232</v>
      </c>
      <c r="C86" s="13" t="s">
        <v>673</v>
      </c>
      <c r="D86" s="13" t="s">
        <v>541</v>
      </c>
      <c r="E86" s="15" t="s">
        <v>40</v>
      </c>
      <c r="F86" s="15" t="s">
        <v>608</v>
      </c>
      <c r="G86" s="15" t="s">
        <v>232</v>
      </c>
      <c r="H86" s="15" t="s">
        <v>232</v>
      </c>
      <c r="I86" s="13" t="s">
        <v>673</v>
      </c>
      <c r="J86" s="13" t="s">
        <v>232</v>
      </c>
      <c r="K86" s="13" t="s">
        <v>232</v>
      </c>
      <c r="L86" s="21" t="s">
        <v>234</v>
      </c>
      <c r="M86" s="23" t="s">
        <v>235</v>
      </c>
      <c r="N86" s="16">
        <v>0.0</v>
      </c>
      <c r="O86" s="13" t="s">
        <v>237</v>
      </c>
      <c r="P86" s="24"/>
      <c r="Q86" s="24"/>
      <c r="R86" s="20">
        <f t="shared" si="1"/>
        <v>0</v>
      </c>
      <c r="AA86" s="1" t="str">
        <f t="shared" si="2"/>
        <v>MAQUILLAJE</v>
      </c>
      <c r="AB86" s="1" t="str">
        <f t="shared" si="3"/>
        <v>MAQUILLAJE_</v>
      </c>
    </row>
    <row r="87" ht="19.5" customHeight="1">
      <c r="A87" s="28" t="s">
        <v>676</v>
      </c>
      <c r="B87" s="28" t="s">
        <v>677</v>
      </c>
      <c r="C87" s="28" t="s">
        <v>678</v>
      </c>
      <c r="D87" s="28" t="s">
        <v>541</v>
      </c>
      <c r="E87" s="30" t="s">
        <v>40</v>
      </c>
      <c r="F87" s="30" t="s">
        <v>608</v>
      </c>
      <c r="G87" s="30" t="s">
        <v>232</v>
      </c>
      <c r="H87" s="30" t="s">
        <v>232</v>
      </c>
      <c r="I87" s="28" t="s">
        <v>678</v>
      </c>
      <c r="J87" s="28" t="s">
        <v>232</v>
      </c>
      <c r="K87" s="28" t="s">
        <v>232</v>
      </c>
      <c r="L87" s="32" t="s">
        <v>234</v>
      </c>
      <c r="M87" s="33" t="s">
        <v>235</v>
      </c>
      <c r="N87" s="34">
        <v>0.0</v>
      </c>
      <c r="O87" s="28" t="s">
        <v>237</v>
      </c>
      <c r="P87" s="24"/>
      <c r="Q87" s="24"/>
      <c r="R87" s="20">
        <f t="shared" si="1"/>
        <v>0</v>
      </c>
      <c r="AA87" s="1" t="str">
        <f t="shared" si="2"/>
        <v>MAQUILLAJE</v>
      </c>
      <c r="AB87" s="1" t="str">
        <f t="shared" si="3"/>
        <v>MAQUILLAJE_</v>
      </c>
    </row>
    <row r="88" ht="19.5" customHeight="1">
      <c r="A88" s="13" t="s">
        <v>682</v>
      </c>
      <c r="B88" s="13" t="s">
        <v>683</v>
      </c>
      <c r="C88" s="13" t="s">
        <v>684</v>
      </c>
      <c r="D88" s="13" t="s">
        <v>541</v>
      </c>
      <c r="E88" s="15" t="s">
        <v>40</v>
      </c>
      <c r="F88" s="15" t="s">
        <v>608</v>
      </c>
      <c r="G88" s="15" t="s">
        <v>232</v>
      </c>
      <c r="H88" s="15" t="s">
        <v>232</v>
      </c>
      <c r="I88" s="13" t="s">
        <v>684</v>
      </c>
      <c r="J88" s="13" t="s">
        <v>232</v>
      </c>
      <c r="K88" s="13" t="s">
        <v>232</v>
      </c>
      <c r="L88" s="21" t="s">
        <v>234</v>
      </c>
      <c r="M88" s="23" t="s">
        <v>235</v>
      </c>
      <c r="N88" s="16">
        <v>0.0</v>
      </c>
      <c r="O88" s="13" t="s">
        <v>237</v>
      </c>
      <c r="P88" s="24"/>
      <c r="Q88" s="24"/>
      <c r="R88" s="20">
        <f t="shared" si="1"/>
        <v>0</v>
      </c>
      <c r="AA88" s="1" t="str">
        <f t="shared" si="2"/>
        <v>MAQUILLAJE</v>
      </c>
      <c r="AB88" s="1" t="str">
        <f t="shared" si="3"/>
        <v>MAQUILLAJE_</v>
      </c>
    </row>
    <row r="89" ht="19.5" customHeight="1">
      <c r="A89" s="28" t="s">
        <v>688</v>
      </c>
      <c r="B89" s="28" t="s">
        <v>232</v>
      </c>
      <c r="C89" s="28" t="s">
        <v>690</v>
      </c>
      <c r="D89" s="28" t="s">
        <v>541</v>
      </c>
      <c r="E89" s="30" t="s">
        <v>40</v>
      </c>
      <c r="F89" s="30" t="s">
        <v>608</v>
      </c>
      <c r="G89" s="30" t="s">
        <v>232</v>
      </c>
      <c r="H89" s="30" t="s">
        <v>232</v>
      </c>
      <c r="I89" s="28" t="s">
        <v>690</v>
      </c>
      <c r="J89" s="28" t="s">
        <v>232</v>
      </c>
      <c r="K89" s="28" t="s">
        <v>232</v>
      </c>
      <c r="L89" s="32" t="s">
        <v>234</v>
      </c>
      <c r="M89" s="33" t="s">
        <v>235</v>
      </c>
      <c r="N89" s="34">
        <v>0.0</v>
      </c>
      <c r="O89" s="28" t="s">
        <v>237</v>
      </c>
      <c r="P89" s="24"/>
      <c r="Q89" s="24"/>
      <c r="R89" s="20">
        <f t="shared" si="1"/>
        <v>0</v>
      </c>
      <c r="AA89" s="1" t="str">
        <f t="shared" si="2"/>
        <v>MAQUILLAJE</v>
      </c>
      <c r="AB89" s="1" t="str">
        <f t="shared" si="3"/>
        <v>MAQUILLAJE_</v>
      </c>
    </row>
    <row r="90" ht="19.5" customHeight="1">
      <c r="A90" s="13" t="s">
        <v>693</v>
      </c>
      <c r="B90" s="13" t="s">
        <v>694</v>
      </c>
      <c r="C90" s="13" t="s">
        <v>695</v>
      </c>
      <c r="D90" s="13" t="s">
        <v>541</v>
      </c>
      <c r="E90" s="15" t="s">
        <v>40</v>
      </c>
      <c r="F90" s="15" t="s">
        <v>608</v>
      </c>
      <c r="G90" s="15" t="s">
        <v>232</v>
      </c>
      <c r="H90" s="15" t="s">
        <v>232</v>
      </c>
      <c r="I90" s="13" t="s">
        <v>695</v>
      </c>
      <c r="J90" s="13" t="s">
        <v>697</v>
      </c>
      <c r="K90" s="13" t="s">
        <v>232</v>
      </c>
      <c r="L90" s="21" t="s">
        <v>234</v>
      </c>
      <c r="M90" s="23" t="s">
        <v>235</v>
      </c>
      <c r="N90" s="16">
        <v>0.0</v>
      </c>
      <c r="O90" s="13" t="s">
        <v>237</v>
      </c>
      <c r="P90" s="24"/>
      <c r="Q90" s="24"/>
      <c r="R90" s="20">
        <f t="shared" si="1"/>
        <v>0</v>
      </c>
      <c r="AA90" s="1" t="str">
        <f t="shared" si="2"/>
        <v>MAQUILLAJE</v>
      </c>
      <c r="AB90" s="1" t="str">
        <f t="shared" si="3"/>
        <v>MAQUILLAJE_</v>
      </c>
    </row>
    <row r="91" ht="19.5" customHeight="1">
      <c r="A91" s="28" t="s">
        <v>700</v>
      </c>
      <c r="B91" s="28" t="s">
        <v>701</v>
      </c>
      <c r="C91" s="28" t="s">
        <v>702</v>
      </c>
      <c r="D91" s="28" t="s">
        <v>541</v>
      </c>
      <c r="E91" s="30" t="s">
        <v>40</v>
      </c>
      <c r="F91" s="30" t="s">
        <v>608</v>
      </c>
      <c r="G91" s="30" t="s">
        <v>232</v>
      </c>
      <c r="H91" s="30" t="s">
        <v>232</v>
      </c>
      <c r="I91" s="28" t="s">
        <v>702</v>
      </c>
      <c r="J91" s="28" t="s">
        <v>232</v>
      </c>
      <c r="K91" s="28" t="s">
        <v>232</v>
      </c>
      <c r="L91" s="32" t="s">
        <v>234</v>
      </c>
      <c r="M91" s="33" t="s">
        <v>235</v>
      </c>
      <c r="N91" s="34">
        <v>0.0</v>
      </c>
      <c r="O91" s="28" t="s">
        <v>237</v>
      </c>
      <c r="P91" s="24"/>
      <c r="Q91" s="24"/>
      <c r="R91" s="20">
        <f t="shared" si="1"/>
        <v>0</v>
      </c>
      <c r="AA91" s="1" t="str">
        <f t="shared" si="2"/>
        <v>MAQUILLAJE</v>
      </c>
      <c r="AB91" s="1" t="str">
        <f t="shared" si="3"/>
        <v>MAQUILLAJE_</v>
      </c>
    </row>
    <row r="92" ht="19.5" customHeight="1">
      <c r="A92" s="13" t="s">
        <v>706</v>
      </c>
      <c r="B92" s="13" t="s">
        <v>707</v>
      </c>
      <c r="C92" s="13" t="s">
        <v>709</v>
      </c>
      <c r="D92" s="13" t="s">
        <v>541</v>
      </c>
      <c r="E92" s="15" t="s">
        <v>40</v>
      </c>
      <c r="F92" s="15" t="s">
        <v>608</v>
      </c>
      <c r="G92" s="15" t="s">
        <v>232</v>
      </c>
      <c r="H92" s="15" t="s">
        <v>232</v>
      </c>
      <c r="I92" s="13" t="s">
        <v>709</v>
      </c>
      <c r="J92" s="13" t="s">
        <v>232</v>
      </c>
      <c r="K92" s="13" t="s">
        <v>232</v>
      </c>
      <c r="L92" s="21" t="s">
        <v>234</v>
      </c>
      <c r="M92" s="23" t="s">
        <v>235</v>
      </c>
      <c r="N92" s="16">
        <v>0.0</v>
      </c>
      <c r="O92" s="13" t="s">
        <v>237</v>
      </c>
      <c r="P92" s="24"/>
      <c r="Q92" s="24"/>
      <c r="R92" s="20">
        <f t="shared" si="1"/>
        <v>0</v>
      </c>
      <c r="AA92" s="1" t="str">
        <f t="shared" si="2"/>
        <v>MAQUILLAJE</v>
      </c>
      <c r="AB92" s="1" t="str">
        <f t="shared" si="3"/>
        <v>MAQUILLAJE_</v>
      </c>
    </row>
    <row r="93" ht="19.5" customHeight="1">
      <c r="A93" s="28" t="s">
        <v>712</v>
      </c>
      <c r="B93" s="28" t="s">
        <v>714</v>
      </c>
      <c r="C93" s="28" t="s">
        <v>715</v>
      </c>
      <c r="D93" s="28" t="s">
        <v>541</v>
      </c>
      <c r="E93" s="30" t="s">
        <v>40</v>
      </c>
      <c r="F93" s="30" t="s">
        <v>608</v>
      </c>
      <c r="G93" s="30" t="s">
        <v>232</v>
      </c>
      <c r="H93" s="30" t="s">
        <v>232</v>
      </c>
      <c r="I93" s="28" t="s">
        <v>715</v>
      </c>
      <c r="J93" s="28" t="s">
        <v>232</v>
      </c>
      <c r="K93" s="28" t="s">
        <v>232</v>
      </c>
      <c r="L93" s="32" t="s">
        <v>234</v>
      </c>
      <c r="M93" s="33" t="s">
        <v>235</v>
      </c>
      <c r="N93" s="34">
        <v>0.0</v>
      </c>
      <c r="O93" s="28" t="s">
        <v>237</v>
      </c>
      <c r="P93" s="24"/>
      <c r="Q93" s="24"/>
      <c r="R93" s="20">
        <f t="shared" si="1"/>
        <v>0</v>
      </c>
      <c r="AA93" s="1" t="str">
        <f t="shared" si="2"/>
        <v>MAQUILLAJE</v>
      </c>
      <c r="AB93" s="1" t="str">
        <f t="shared" si="3"/>
        <v>MAQUILLAJE_</v>
      </c>
    </row>
    <row r="94" ht="19.5" customHeight="1">
      <c r="A94" s="13" t="s">
        <v>719</v>
      </c>
      <c r="B94" s="13" t="s">
        <v>720</v>
      </c>
      <c r="C94" s="13" t="s">
        <v>721</v>
      </c>
      <c r="D94" s="13" t="s">
        <v>541</v>
      </c>
      <c r="E94" s="15" t="s">
        <v>40</v>
      </c>
      <c r="F94" s="15" t="s">
        <v>608</v>
      </c>
      <c r="G94" s="15" t="s">
        <v>232</v>
      </c>
      <c r="H94" s="15" t="s">
        <v>232</v>
      </c>
      <c r="I94" s="13" t="s">
        <v>721</v>
      </c>
      <c r="J94" s="13" t="s">
        <v>232</v>
      </c>
      <c r="K94" s="13" t="s">
        <v>232</v>
      </c>
      <c r="L94" s="21" t="s">
        <v>234</v>
      </c>
      <c r="M94" s="23" t="s">
        <v>235</v>
      </c>
      <c r="N94" s="16">
        <v>0.0</v>
      </c>
      <c r="O94" s="13" t="s">
        <v>237</v>
      </c>
      <c r="P94" s="24"/>
      <c r="Q94" s="24"/>
      <c r="R94" s="20">
        <f t="shared" si="1"/>
        <v>0</v>
      </c>
      <c r="AA94" s="1" t="str">
        <f t="shared" si="2"/>
        <v>MAQUILLAJE</v>
      </c>
      <c r="AB94" s="1" t="str">
        <f t="shared" si="3"/>
        <v>MAQUILLAJE_</v>
      </c>
    </row>
    <row r="95" ht="19.5" customHeight="1">
      <c r="A95" s="28" t="s">
        <v>724</v>
      </c>
      <c r="B95" s="28" t="s">
        <v>725</v>
      </c>
      <c r="C95" s="28" t="s">
        <v>727</v>
      </c>
      <c r="D95" s="28" t="s">
        <v>541</v>
      </c>
      <c r="E95" s="30" t="s">
        <v>40</v>
      </c>
      <c r="F95" s="30" t="s">
        <v>608</v>
      </c>
      <c r="G95" s="30" t="s">
        <v>232</v>
      </c>
      <c r="H95" s="30" t="s">
        <v>232</v>
      </c>
      <c r="I95" s="28" t="s">
        <v>727</v>
      </c>
      <c r="J95" s="28" t="s">
        <v>232</v>
      </c>
      <c r="K95" s="28" t="s">
        <v>232</v>
      </c>
      <c r="L95" s="32" t="s">
        <v>234</v>
      </c>
      <c r="M95" s="33" t="s">
        <v>235</v>
      </c>
      <c r="N95" s="34">
        <v>0.0</v>
      </c>
      <c r="O95" s="28" t="s">
        <v>237</v>
      </c>
      <c r="P95" s="24"/>
      <c r="Q95" s="24"/>
      <c r="R95" s="20">
        <f t="shared" si="1"/>
        <v>0</v>
      </c>
      <c r="AA95" s="1" t="str">
        <f t="shared" si="2"/>
        <v>MAQUILLAJE</v>
      </c>
      <c r="AB95" s="1" t="str">
        <f t="shared" si="3"/>
        <v>MAQUILLAJE_</v>
      </c>
    </row>
    <row r="96" ht="19.5" customHeight="1">
      <c r="A96" s="13" t="s">
        <v>730</v>
      </c>
      <c r="B96" s="13" t="s">
        <v>232</v>
      </c>
      <c r="C96" s="13" t="s">
        <v>731</v>
      </c>
      <c r="D96" s="13" t="s">
        <v>541</v>
      </c>
      <c r="E96" s="15" t="s">
        <v>40</v>
      </c>
      <c r="F96" s="15" t="s">
        <v>608</v>
      </c>
      <c r="G96" s="15" t="s">
        <v>232</v>
      </c>
      <c r="H96" s="15" t="s">
        <v>232</v>
      </c>
      <c r="I96" s="13" t="s">
        <v>731</v>
      </c>
      <c r="J96" s="13" t="s">
        <v>232</v>
      </c>
      <c r="K96" s="13" t="s">
        <v>232</v>
      </c>
      <c r="L96" s="21" t="s">
        <v>234</v>
      </c>
      <c r="M96" s="23" t="s">
        <v>235</v>
      </c>
      <c r="N96" s="16">
        <v>0.0</v>
      </c>
      <c r="O96" s="13" t="s">
        <v>237</v>
      </c>
      <c r="P96" s="24"/>
      <c r="Q96" s="24"/>
      <c r="R96" s="20">
        <f t="shared" si="1"/>
        <v>0</v>
      </c>
      <c r="AA96" s="1" t="str">
        <f t="shared" si="2"/>
        <v>MAQUILLAJE</v>
      </c>
      <c r="AB96" s="1" t="str">
        <f t="shared" si="3"/>
        <v>MAQUILLAJE_</v>
      </c>
    </row>
    <row r="97" ht="19.5" customHeight="1">
      <c r="A97" s="28" t="s">
        <v>735</v>
      </c>
      <c r="B97" s="28" t="s">
        <v>736</v>
      </c>
      <c r="C97" s="28" t="s">
        <v>737</v>
      </c>
      <c r="D97" s="28" t="s">
        <v>541</v>
      </c>
      <c r="E97" s="30" t="s">
        <v>40</v>
      </c>
      <c r="F97" s="30" t="s">
        <v>608</v>
      </c>
      <c r="G97" s="30" t="s">
        <v>232</v>
      </c>
      <c r="H97" s="30" t="s">
        <v>232</v>
      </c>
      <c r="I97" s="28" t="s">
        <v>737</v>
      </c>
      <c r="J97" s="28" t="s">
        <v>739</v>
      </c>
      <c r="K97" s="28" t="s">
        <v>232</v>
      </c>
      <c r="L97" s="32" t="s">
        <v>234</v>
      </c>
      <c r="M97" s="33" t="s">
        <v>235</v>
      </c>
      <c r="N97" s="34">
        <v>0.0</v>
      </c>
      <c r="O97" s="28" t="s">
        <v>237</v>
      </c>
      <c r="P97" s="24"/>
      <c r="Q97" s="24"/>
      <c r="R97" s="20">
        <f t="shared" si="1"/>
        <v>0</v>
      </c>
      <c r="AA97" s="1" t="str">
        <f t="shared" si="2"/>
        <v>MAQUILLAJE</v>
      </c>
      <c r="AB97" s="1" t="str">
        <f t="shared" si="3"/>
        <v>MAQUILLAJE_</v>
      </c>
    </row>
    <row r="98" ht="19.5" customHeight="1">
      <c r="A98" s="13" t="s">
        <v>741</v>
      </c>
      <c r="B98" s="13" t="s">
        <v>742</v>
      </c>
      <c r="C98" s="13" t="s">
        <v>743</v>
      </c>
      <c r="D98" s="13" t="s">
        <v>541</v>
      </c>
      <c r="E98" s="15" t="s">
        <v>40</v>
      </c>
      <c r="F98" s="15" t="s">
        <v>608</v>
      </c>
      <c r="G98" s="15" t="s">
        <v>232</v>
      </c>
      <c r="H98" s="15" t="s">
        <v>232</v>
      </c>
      <c r="I98" s="13" t="s">
        <v>743</v>
      </c>
      <c r="J98" s="13" t="s">
        <v>745</v>
      </c>
      <c r="K98" s="13" t="s">
        <v>232</v>
      </c>
      <c r="L98" s="21" t="s">
        <v>234</v>
      </c>
      <c r="M98" s="23" t="s">
        <v>235</v>
      </c>
      <c r="N98" s="16">
        <v>0.0</v>
      </c>
      <c r="O98" s="13" t="s">
        <v>237</v>
      </c>
      <c r="P98" s="24"/>
      <c r="Q98" s="24"/>
      <c r="R98" s="20">
        <f t="shared" si="1"/>
        <v>0</v>
      </c>
      <c r="AA98" s="1" t="str">
        <f t="shared" si="2"/>
        <v>MAQUILLAJE</v>
      </c>
      <c r="AB98" s="1" t="str">
        <f t="shared" si="3"/>
        <v>MAQUILLAJE_</v>
      </c>
    </row>
    <row r="99" ht="19.5" customHeight="1">
      <c r="A99" s="28" t="s">
        <v>747</v>
      </c>
      <c r="B99" s="28" t="s">
        <v>749</v>
      </c>
      <c r="C99" s="28" t="s">
        <v>750</v>
      </c>
      <c r="D99" s="28" t="s">
        <v>541</v>
      </c>
      <c r="E99" s="30" t="s">
        <v>40</v>
      </c>
      <c r="F99" s="30" t="s">
        <v>608</v>
      </c>
      <c r="G99" s="30" t="s">
        <v>232</v>
      </c>
      <c r="H99" s="30" t="s">
        <v>232</v>
      </c>
      <c r="I99" s="28" t="s">
        <v>750</v>
      </c>
      <c r="J99" s="28" t="s">
        <v>232</v>
      </c>
      <c r="K99" s="28" t="s">
        <v>232</v>
      </c>
      <c r="L99" s="32" t="s">
        <v>234</v>
      </c>
      <c r="M99" s="33" t="s">
        <v>235</v>
      </c>
      <c r="N99" s="34">
        <v>0.0</v>
      </c>
      <c r="O99" s="28" t="s">
        <v>237</v>
      </c>
      <c r="P99" s="24"/>
      <c r="Q99" s="24"/>
      <c r="R99" s="20">
        <f t="shared" si="1"/>
        <v>0</v>
      </c>
      <c r="AA99" s="1" t="str">
        <f t="shared" si="2"/>
        <v>MAQUILLAJE</v>
      </c>
      <c r="AB99" s="1" t="str">
        <f t="shared" si="3"/>
        <v>MAQUILLAJE_</v>
      </c>
    </row>
    <row r="100" ht="19.5" customHeight="1">
      <c r="A100" s="13" t="s">
        <v>753</v>
      </c>
      <c r="B100" s="13" t="s">
        <v>232</v>
      </c>
      <c r="C100" s="13" t="s">
        <v>754</v>
      </c>
      <c r="D100" s="13" t="s">
        <v>541</v>
      </c>
      <c r="E100" s="15" t="s">
        <v>40</v>
      </c>
      <c r="F100" s="15" t="s">
        <v>608</v>
      </c>
      <c r="G100" s="15" t="s">
        <v>232</v>
      </c>
      <c r="H100" s="15" t="s">
        <v>232</v>
      </c>
      <c r="I100" s="13" t="s">
        <v>754</v>
      </c>
      <c r="J100" s="13" t="s">
        <v>232</v>
      </c>
      <c r="K100" s="13" t="s">
        <v>232</v>
      </c>
      <c r="L100" s="21" t="s">
        <v>234</v>
      </c>
      <c r="M100" s="23" t="s">
        <v>235</v>
      </c>
      <c r="N100" s="16">
        <v>0.0</v>
      </c>
      <c r="O100" s="13" t="s">
        <v>237</v>
      </c>
      <c r="P100" s="24"/>
      <c r="Q100" s="24"/>
      <c r="R100" s="20">
        <f t="shared" si="1"/>
        <v>0</v>
      </c>
      <c r="AA100" s="1" t="str">
        <f t="shared" si="2"/>
        <v>MAQUILLAJE</v>
      </c>
      <c r="AB100" s="1" t="str">
        <f t="shared" si="3"/>
        <v>MAQUILLAJE_</v>
      </c>
    </row>
    <row r="101" ht="19.5" customHeight="1">
      <c r="A101" s="28" t="s">
        <v>757</v>
      </c>
      <c r="B101" s="28" t="s">
        <v>759</v>
      </c>
      <c r="C101" s="28" t="s">
        <v>760</v>
      </c>
      <c r="D101" s="28" t="s">
        <v>541</v>
      </c>
      <c r="E101" s="30" t="s">
        <v>40</v>
      </c>
      <c r="F101" s="30" t="s">
        <v>608</v>
      </c>
      <c r="G101" s="30" t="s">
        <v>232</v>
      </c>
      <c r="H101" s="30" t="s">
        <v>232</v>
      </c>
      <c r="I101" s="28" t="s">
        <v>760</v>
      </c>
      <c r="J101" s="28" t="s">
        <v>232</v>
      </c>
      <c r="K101" s="28" t="s">
        <v>232</v>
      </c>
      <c r="L101" s="32" t="s">
        <v>234</v>
      </c>
      <c r="M101" s="33" t="s">
        <v>235</v>
      </c>
      <c r="N101" s="34">
        <v>0.0</v>
      </c>
      <c r="O101" s="28" t="s">
        <v>237</v>
      </c>
      <c r="P101" s="24"/>
      <c r="Q101" s="24"/>
      <c r="R101" s="20">
        <f t="shared" si="1"/>
        <v>0</v>
      </c>
      <c r="AA101" s="1" t="str">
        <f t="shared" si="2"/>
        <v>MAQUILLAJE</v>
      </c>
      <c r="AB101" s="1" t="str">
        <f t="shared" si="3"/>
        <v>MAQUILLAJE_</v>
      </c>
    </row>
    <row r="102" ht="19.5" customHeight="1">
      <c r="A102" s="13" t="s">
        <v>763</v>
      </c>
      <c r="B102" s="13" t="s">
        <v>232</v>
      </c>
      <c r="C102" s="13" t="s">
        <v>764</v>
      </c>
      <c r="D102" s="13" t="s">
        <v>541</v>
      </c>
      <c r="E102" s="15" t="s">
        <v>40</v>
      </c>
      <c r="F102" s="15" t="s">
        <v>608</v>
      </c>
      <c r="G102" s="15" t="s">
        <v>232</v>
      </c>
      <c r="H102" s="15" t="s">
        <v>232</v>
      </c>
      <c r="I102" s="13" t="s">
        <v>764</v>
      </c>
      <c r="J102" s="13" t="s">
        <v>232</v>
      </c>
      <c r="K102" s="13" t="s">
        <v>232</v>
      </c>
      <c r="L102" s="21" t="s">
        <v>234</v>
      </c>
      <c r="M102" s="23" t="s">
        <v>235</v>
      </c>
      <c r="N102" s="16">
        <v>0.0</v>
      </c>
      <c r="O102" s="13" t="s">
        <v>237</v>
      </c>
      <c r="P102" s="24"/>
      <c r="Q102" s="24"/>
      <c r="R102" s="20">
        <f t="shared" si="1"/>
        <v>0</v>
      </c>
      <c r="AA102" s="1" t="str">
        <f t="shared" si="2"/>
        <v>MAQUILLAJE</v>
      </c>
      <c r="AB102" s="1" t="str">
        <f t="shared" si="3"/>
        <v>MAQUILLAJE_</v>
      </c>
    </row>
    <row r="103" ht="19.5" customHeight="1">
      <c r="A103" s="28" t="s">
        <v>767</v>
      </c>
      <c r="B103" s="28" t="s">
        <v>768</v>
      </c>
      <c r="C103" s="28" t="s">
        <v>769</v>
      </c>
      <c r="D103" s="28" t="s">
        <v>541</v>
      </c>
      <c r="E103" s="30" t="s">
        <v>40</v>
      </c>
      <c r="F103" s="30" t="s">
        <v>608</v>
      </c>
      <c r="G103" s="30" t="s">
        <v>232</v>
      </c>
      <c r="H103" s="30" t="s">
        <v>232</v>
      </c>
      <c r="I103" s="28" t="s">
        <v>769</v>
      </c>
      <c r="J103" s="28" t="s">
        <v>232</v>
      </c>
      <c r="K103" s="28" t="s">
        <v>232</v>
      </c>
      <c r="L103" s="32" t="s">
        <v>234</v>
      </c>
      <c r="M103" s="33" t="s">
        <v>235</v>
      </c>
      <c r="N103" s="34">
        <v>0.0</v>
      </c>
      <c r="O103" s="28" t="s">
        <v>237</v>
      </c>
      <c r="P103" s="24"/>
      <c r="Q103" s="24"/>
      <c r="R103" s="20">
        <f t="shared" si="1"/>
        <v>0</v>
      </c>
      <c r="AA103" s="1" t="str">
        <f t="shared" si="2"/>
        <v>MAQUILLAJE</v>
      </c>
      <c r="AB103" s="1" t="str">
        <f t="shared" si="3"/>
        <v>MAQUILLAJE_</v>
      </c>
    </row>
    <row r="104" ht="19.5" customHeight="1">
      <c r="A104" s="13" t="s">
        <v>771</v>
      </c>
      <c r="B104" s="13" t="s">
        <v>232</v>
      </c>
      <c r="C104" s="13" t="s">
        <v>772</v>
      </c>
      <c r="D104" s="13" t="s">
        <v>541</v>
      </c>
      <c r="E104" s="15" t="s">
        <v>40</v>
      </c>
      <c r="F104" s="15" t="s">
        <v>608</v>
      </c>
      <c r="G104" s="15" t="s">
        <v>232</v>
      </c>
      <c r="H104" s="15" t="s">
        <v>232</v>
      </c>
      <c r="I104" s="13" t="s">
        <v>772</v>
      </c>
      <c r="J104" s="13" t="s">
        <v>232</v>
      </c>
      <c r="K104" s="13" t="s">
        <v>232</v>
      </c>
      <c r="L104" s="21" t="s">
        <v>234</v>
      </c>
      <c r="M104" s="23" t="s">
        <v>235</v>
      </c>
      <c r="N104" s="16">
        <v>0.0</v>
      </c>
      <c r="O104" s="13" t="s">
        <v>237</v>
      </c>
      <c r="P104" s="24"/>
      <c r="Q104" s="24"/>
      <c r="R104" s="20">
        <f t="shared" si="1"/>
        <v>0</v>
      </c>
      <c r="AA104" s="1" t="str">
        <f t="shared" si="2"/>
        <v>MAQUILLAJE</v>
      </c>
      <c r="AB104" s="1" t="str">
        <f t="shared" si="3"/>
        <v>MAQUILLAJE_</v>
      </c>
    </row>
    <row r="105" ht="19.5" customHeight="1">
      <c r="A105" s="28" t="s">
        <v>774</v>
      </c>
      <c r="B105" s="28" t="s">
        <v>776</v>
      </c>
      <c r="C105" s="28" t="s">
        <v>777</v>
      </c>
      <c r="D105" s="28" t="s">
        <v>541</v>
      </c>
      <c r="E105" s="30" t="s">
        <v>40</v>
      </c>
      <c r="F105" s="30" t="s">
        <v>608</v>
      </c>
      <c r="G105" s="30" t="s">
        <v>232</v>
      </c>
      <c r="H105" s="30" t="s">
        <v>232</v>
      </c>
      <c r="I105" s="28" t="s">
        <v>777</v>
      </c>
      <c r="J105" s="28" t="s">
        <v>779</v>
      </c>
      <c r="K105" s="28" t="s">
        <v>232</v>
      </c>
      <c r="L105" s="32" t="s">
        <v>234</v>
      </c>
      <c r="M105" s="33" t="s">
        <v>235</v>
      </c>
      <c r="N105" s="34">
        <v>0.0</v>
      </c>
      <c r="O105" s="28" t="s">
        <v>237</v>
      </c>
      <c r="P105" s="24"/>
      <c r="Q105" s="24"/>
      <c r="R105" s="20">
        <f t="shared" si="1"/>
        <v>0</v>
      </c>
      <c r="AA105" s="1" t="str">
        <f t="shared" si="2"/>
        <v>MAQUILLAJE</v>
      </c>
      <c r="AB105" s="1" t="str">
        <f t="shared" si="3"/>
        <v>MAQUILLAJE_</v>
      </c>
    </row>
    <row r="106" ht="19.5" customHeight="1">
      <c r="A106" s="13" t="s">
        <v>781</v>
      </c>
      <c r="B106" s="13" t="s">
        <v>232</v>
      </c>
      <c r="C106" s="13" t="s">
        <v>782</v>
      </c>
      <c r="D106" s="13" t="s">
        <v>541</v>
      </c>
      <c r="E106" s="15" t="s">
        <v>40</v>
      </c>
      <c r="F106" s="15" t="s">
        <v>608</v>
      </c>
      <c r="G106" s="15" t="s">
        <v>232</v>
      </c>
      <c r="H106" s="15" t="s">
        <v>232</v>
      </c>
      <c r="I106" s="13" t="s">
        <v>782</v>
      </c>
      <c r="J106" s="13" t="s">
        <v>232</v>
      </c>
      <c r="K106" s="13" t="s">
        <v>232</v>
      </c>
      <c r="L106" s="21" t="s">
        <v>234</v>
      </c>
      <c r="M106" s="23" t="s">
        <v>235</v>
      </c>
      <c r="N106" s="16">
        <v>0.0</v>
      </c>
      <c r="O106" s="13" t="s">
        <v>237</v>
      </c>
      <c r="P106" s="24"/>
      <c r="Q106" s="24"/>
      <c r="R106" s="20">
        <f t="shared" si="1"/>
        <v>0</v>
      </c>
      <c r="AA106" s="1" t="str">
        <f t="shared" si="2"/>
        <v>MAQUILLAJE</v>
      </c>
      <c r="AB106" s="1" t="str">
        <f t="shared" si="3"/>
        <v>MAQUILLAJE_</v>
      </c>
    </row>
    <row r="107" ht="19.5" customHeight="1">
      <c r="A107" s="28" t="s">
        <v>785</v>
      </c>
      <c r="B107" s="28" t="s">
        <v>232</v>
      </c>
      <c r="C107" s="28" t="s">
        <v>787</v>
      </c>
      <c r="D107" s="28" t="s">
        <v>541</v>
      </c>
      <c r="E107" s="30" t="s">
        <v>40</v>
      </c>
      <c r="F107" s="30" t="s">
        <v>608</v>
      </c>
      <c r="G107" s="30" t="s">
        <v>232</v>
      </c>
      <c r="H107" s="30" t="s">
        <v>232</v>
      </c>
      <c r="I107" s="28" t="s">
        <v>787</v>
      </c>
      <c r="J107" s="28" t="s">
        <v>232</v>
      </c>
      <c r="K107" s="28" t="s">
        <v>232</v>
      </c>
      <c r="L107" s="32" t="s">
        <v>234</v>
      </c>
      <c r="M107" s="33" t="s">
        <v>235</v>
      </c>
      <c r="N107" s="34">
        <v>0.0</v>
      </c>
      <c r="O107" s="28" t="s">
        <v>237</v>
      </c>
      <c r="P107" s="24"/>
      <c r="Q107" s="24"/>
      <c r="R107" s="20">
        <f t="shared" si="1"/>
        <v>0</v>
      </c>
      <c r="AA107" s="1" t="str">
        <f t="shared" si="2"/>
        <v>MAQUILLAJE</v>
      </c>
      <c r="AB107" s="1" t="str">
        <f t="shared" si="3"/>
        <v>MAQUILLAJE_</v>
      </c>
    </row>
    <row r="108" ht="19.5" customHeight="1">
      <c r="A108" s="13" t="s">
        <v>789</v>
      </c>
      <c r="B108" s="13" t="s">
        <v>232</v>
      </c>
      <c r="C108" s="13" t="s">
        <v>791</v>
      </c>
      <c r="D108" s="13" t="s">
        <v>541</v>
      </c>
      <c r="E108" s="15" t="s">
        <v>40</v>
      </c>
      <c r="F108" s="15" t="s">
        <v>608</v>
      </c>
      <c r="G108" s="15" t="s">
        <v>232</v>
      </c>
      <c r="H108" s="15" t="s">
        <v>232</v>
      </c>
      <c r="I108" s="13" t="s">
        <v>791</v>
      </c>
      <c r="J108" s="13" t="s">
        <v>232</v>
      </c>
      <c r="K108" s="13" t="s">
        <v>232</v>
      </c>
      <c r="L108" s="21" t="s">
        <v>234</v>
      </c>
      <c r="M108" s="23" t="s">
        <v>235</v>
      </c>
      <c r="N108" s="16">
        <v>0.0</v>
      </c>
      <c r="O108" s="13" t="s">
        <v>237</v>
      </c>
      <c r="P108" s="24"/>
      <c r="Q108" s="24"/>
      <c r="R108" s="20">
        <f t="shared" si="1"/>
        <v>0</v>
      </c>
      <c r="AA108" s="1" t="str">
        <f t="shared" si="2"/>
        <v>MAQUILLAJE</v>
      </c>
      <c r="AB108" s="1" t="str">
        <f t="shared" si="3"/>
        <v>MAQUILLAJE_</v>
      </c>
    </row>
    <row r="109" ht="19.5" customHeight="1">
      <c r="A109" s="28" t="s">
        <v>794</v>
      </c>
      <c r="B109" s="28" t="s">
        <v>795</v>
      </c>
      <c r="C109" s="28" t="s">
        <v>796</v>
      </c>
      <c r="D109" s="28" t="s">
        <v>541</v>
      </c>
      <c r="E109" s="30" t="s">
        <v>40</v>
      </c>
      <c r="F109" s="30" t="s">
        <v>608</v>
      </c>
      <c r="G109" s="30" t="s">
        <v>232</v>
      </c>
      <c r="H109" s="30" t="s">
        <v>232</v>
      </c>
      <c r="I109" s="28" t="s">
        <v>796</v>
      </c>
      <c r="J109" s="28" t="s">
        <v>798</v>
      </c>
      <c r="K109" s="28" t="s">
        <v>232</v>
      </c>
      <c r="L109" s="32" t="s">
        <v>234</v>
      </c>
      <c r="M109" s="33" t="s">
        <v>235</v>
      </c>
      <c r="N109" s="34">
        <v>0.0</v>
      </c>
      <c r="O109" s="28" t="s">
        <v>237</v>
      </c>
      <c r="P109" s="24"/>
      <c r="Q109" s="24"/>
      <c r="R109" s="20">
        <f t="shared" si="1"/>
        <v>0</v>
      </c>
      <c r="AA109" s="1" t="str">
        <f t="shared" si="2"/>
        <v>MAQUILLAJE</v>
      </c>
      <c r="AB109" s="1" t="str">
        <f t="shared" si="3"/>
        <v>MAQUILLAJE_</v>
      </c>
    </row>
    <row r="110" ht="19.5" customHeight="1">
      <c r="A110" s="13" t="s">
        <v>800</v>
      </c>
      <c r="B110" s="13" t="s">
        <v>232</v>
      </c>
      <c r="C110" s="13" t="s">
        <v>801</v>
      </c>
      <c r="D110" s="13" t="s">
        <v>541</v>
      </c>
      <c r="E110" s="15" t="s">
        <v>40</v>
      </c>
      <c r="F110" s="15" t="s">
        <v>608</v>
      </c>
      <c r="G110" s="15" t="s">
        <v>232</v>
      </c>
      <c r="H110" s="15" t="s">
        <v>232</v>
      </c>
      <c r="I110" s="13" t="s">
        <v>801</v>
      </c>
      <c r="J110" s="13" t="s">
        <v>232</v>
      </c>
      <c r="K110" s="13" t="s">
        <v>232</v>
      </c>
      <c r="L110" s="21" t="s">
        <v>234</v>
      </c>
      <c r="M110" s="23" t="s">
        <v>235</v>
      </c>
      <c r="N110" s="16">
        <v>0.0</v>
      </c>
      <c r="O110" s="13" t="s">
        <v>237</v>
      </c>
      <c r="P110" s="24"/>
      <c r="Q110" s="24"/>
      <c r="R110" s="20">
        <f t="shared" si="1"/>
        <v>0</v>
      </c>
      <c r="AA110" s="1" t="str">
        <f t="shared" si="2"/>
        <v>MAQUILLAJE</v>
      </c>
      <c r="AB110" s="1" t="str">
        <f t="shared" si="3"/>
        <v>MAQUILLAJE_</v>
      </c>
    </row>
    <row r="111" ht="19.5" customHeight="1">
      <c r="A111" s="28" t="s">
        <v>804</v>
      </c>
      <c r="B111" s="28" t="s">
        <v>232</v>
      </c>
      <c r="C111" s="28" t="s">
        <v>806</v>
      </c>
      <c r="D111" s="28" t="s">
        <v>541</v>
      </c>
      <c r="E111" s="30" t="s">
        <v>40</v>
      </c>
      <c r="F111" s="30" t="s">
        <v>608</v>
      </c>
      <c r="G111" s="30" t="s">
        <v>232</v>
      </c>
      <c r="H111" s="30" t="s">
        <v>232</v>
      </c>
      <c r="I111" s="28" t="s">
        <v>806</v>
      </c>
      <c r="J111" s="28" t="s">
        <v>232</v>
      </c>
      <c r="K111" s="28" t="s">
        <v>232</v>
      </c>
      <c r="L111" s="32" t="s">
        <v>234</v>
      </c>
      <c r="M111" s="33" t="s">
        <v>235</v>
      </c>
      <c r="N111" s="34">
        <v>0.0</v>
      </c>
      <c r="O111" s="28" t="s">
        <v>237</v>
      </c>
      <c r="P111" s="24"/>
      <c r="Q111" s="24"/>
      <c r="R111" s="20">
        <f t="shared" si="1"/>
        <v>0</v>
      </c>
      <c r="AA111" s="1" t="str">
        <f t="shared" si="2"/>
        <v>MAQUILLAJE</v>
      </c>
      <c r="AB111" s="1" t="str">
        <f t="shared" si="3"/>
        <v>MAQUILLAJE_</v>
      </c>
    </row>
    <row r="112" ht="19.5" customHeight="1">
      <c r="A112" s="13" t="s">
        <v>809</v>
      </c>
      <c r="B112" s="13" t="s">
        <v>810</v>
      </c>
      <c r="C112" s="13" t="s">
        <v>811</v>
      </c>
      <c r="D112" s="13" t="s">
        <v>541</v>
      </c>
      <c r="E112" s="15" t="s">
        <v>40</v>
      </c>
      <c r="F112" s="15" t="s">
        <v>608</v>
      </c>
      <c r="G112" s="15" t="s">
        <v>232</v>
      </c>
      <c r="H112" s="15" t="s">
        <v>232</v>
      </c>
      <c r="I112" s="13" t="s">
        <v>811</v>
      </c>
      <c r="J112" s="13" t="s">
        <v>813</v>
      </c>
      <c r="K112" s="13" t="s">
        <v>232</v>
      </c>
      <c r="L112" s="21" t="s">
        <v>234</v>
      </c>
      <c r="M112" s="23" t="s">
        <v>235</v>
      </c>
      <c r="N112" s="16">
        <v>0.0</v>
      </c>
      <c r="O112" s="13" t="s">
        <v>237</v>
      </c>
      <c r="P112" s="24"/>
      <c r="Q112" s="24"/>
      <c r="R112" s="20">
        <f t="shared" si="1"/>
        <v>0</v>
      </c>
      <c r="AA112" s="1" t="str">
        <f t="shared" si="2"/>
        <v>MAQUILLAJE</v>
      </c>
      <c r="AB112" s="1" t="str">
        <f t="shared" si="3"/>
        <v>MAQUILLAJE_</v>
      </c>
    </row>
    <row r="113" ht="19.5" customHeight="1">
      <c r="A113" s="28" t="s">
        <v>815</v>
      </c>
      <c r="B113" s="28" t="s">
        <v>817</v>
      </c>
      <c r="C113" s="28" t="s">
        <v>818</v>
      </c>
      <c r="D113" s="28" t="s">
        <v>541</v>
      </c>
      <c r="E113" s="30" t="s">
        <v>40</v>
      </c>
      <c r="F113" s="30" t="s">
        <v>608</v>
      </c>
      <c r="G113" s="30" t="s">
        <v>232</v>
      </c>
      <c r="H113" s="30" t="s">
        <v>232</v>
      </c>
      <c r="I113" s="28" t="s">
        <v>818</v>
      </c>
      <c r="J113" s="28" t="s">
        <v>232</v>
      </c>
      <c r="K113" s="28" t="s">
        <v>232</v>
      </c>
      <c r="L113" s="32" t="s">
        <v>234</v>
      </c>
      <c r="M113" s="33" t="s">
        <v>235</v>
      </c>
      <c r="N113" s="34">
        <v>0.0</v>
      </c>
      <c r="O113" s="28" t="s">
        <v>237</v>
      </c>
      <c r="P113" s="24"/>
      <c r="Q113" s="24"/>
      <c r="R113" s="20">
        <f t="shared" si="1"/>
        <v>0</v>
      </c>
      <c r="AA113" s="1" t="str">
        <f t="shared" si="2"/>
        <v>MAQUILLAJE</v>
      </c>
      <c r="AB113" s="1" t="str">
        <f t="shared" si="3"/>
        <v>MAQUILLAJE_</v>
      </c>
    </row>
    <row r="114" ht="19.5" customHeight="1">
      <c r="A114" s="13" t="s">
        <v>821</v>
      </c>
      <c r="B114" s="13" t="s">
        <v>822</v>
      </c>
      <c r="C114" s="13" t="s">
        <v>823</v>
      </c>
      <c r="D114" s="13" t="s">
        <v>541</v>
      </c>
      <c r="E114" s="15" t="s">
        <v>40</v>
      </c>
      <c r="F114" s="15" t="s">
        <v>608</v>
      </c>
      <c r="G114" s="15" t="s">
        <v>232</v>
      </c>
      <c r="H114" s="15" t="s">
        <v>232</v>
      </c>
      <c r="I114" s="13" t="s">
        <v>823</v>
      </c>
      <c r="J114" s="13" t="s">
        <v>232</v>
      </c>
      <c r="K114" s="13" t="s">
        <v>232</v>
      </c>
      <c r="L114" s="21" t="s">
        <v>234</v>
      </c>
      <c r="M114" s="23" t="s">
        <v>235</v>
      </c>
      <c r="N114" s="16">
        <v>0.0</v>
      </c>
      <c r="O114" s="13" t="s">
        <v>237</v>
      </c>
      <c r="P114" s="24"/>
      <c r="Q114" s="24"/>
      <c r="R114" s="20">
        <f t="shared" si="1"/>
        <v>0</v>
      </c>
      <c r="AA114" s="1" t="str">
        <f t="shared" si="2"/>
        <v>MAQUILLAJE</v>
      </c>
      <c r="AB114" s="1" t="str">
        <f t="shared" si="3"/>
        <v>MAQUILLAJE_</v>
      </c>
    </row>
    <row r="115" ht="19.5" customHeight="1">
      <c r="A115" s="28" t="s">
        <v>826</v>
      </c>
      <c r="B115" s="28" t="s">
        <v>828</v>
      </c>
      <c r="C115" s="28" t="s">
        <v>829</v>
      </c>
      <c r="D115" s="28" t="s">
        <v>541</v>
      </c>
      <c r="E115" s="30" t="s">
        <v>40</v>
      </c>
      <c r="F115" s="30" t="s">
        <v>608</v>
      </c>
      <c r="G115" s="30" t="s">
        <v>232</v>
      </c>
      <c r="H115" s="30" t="s">
        <v>232</v>
      </c>
      <c r="I115" s="28" t="s">
        <v>829</v>
      </c>
      <c r="J115" s="28" t="s">
        <v>232</v>
      </c>
      <c r="K115" s="28" t="s">
        <v>232</v>
      </c>
      <c r="L115" s="32" t="s">
        <v>234</v>
      </c>
      <c r="M115" s="33" t="s">
        <v>235</v>
      </c>
      <c r="N115" s="34">
        <v>0.0</v>
      </c>
      <c r="O115" s="28" t="s">
        <v>237</v>
      </c>
      <c r="P115" s="24"/>
      <c r="Q115" s="24"/>
      <c r="R115" s="20">
        <f t="shared" si="1"/>
        <v>0</v>
      </c>
      <c r="AA115" s="1" t="str">
        <f t="shared" si="2"/>
        <v>MAQUILLAJE</v>
      </c>
      <c r="AB115" s="1" t="str">
        <f t="shared" si="3"/>
        <v>MAQUILLAJE_</v>
      </c>
    </row>
    <row r="116" ht="19.5" customHeight="1">
      <c r="A116" s="13" t="s">
        <v>832</v>
      </c>
      <c r="B116" s="13" t="s">
        <v>833</v>
      </c>
      <c r="C116" s="13" t="s">
        <v>835</v>
      </c>
      <c r="D116" s="13" t="s">
        <v>541</v>
      </c>
      <c r="E116" s="15" t="s">
        <v>40</v>
      </c>
      <c r="F116" s="15" t="s">
        <v>608</v>
      </c>
      <c r="G116" s="15" t="s">
        <v>232</v>
      </c>
      <c r="H116" s="15" t="s">
        <v>232</v>
      </c>
      <c r="I116" s="13" t="s">
        <v>835</v>
      </c>
      <c r="J116" s="13" t="s">
        <v>232</v>
      </c>
      <c r="K116" s="13" t="s">
        <v>232</v>
      </c>
      <c r="L116" s="21" t="s">
        <v>234</v>
      </c>
      <c r="M116" s="23" t="s">
        <v>235</v>
      </c>
      <c r="N116" s="16">
        <v>0.0</v>
      </c>
      <c r="O116" s="13" t="s">
        <v>237</v>
      </c>
      <c r="P116" s="24"/>
      <c r="Q116" s="24"/>
      <c r="R116" s="20">
        <f t="shared" si="1"/>
        <v>0</v>
      </c>
      <c r="AA116" s="1" t="str">
        <f t="shared" si="2"/>
        <v>MAQUILLAJE</v>
      </c>
      <c r="AB116" s="1" t="str">
        <f t="shared" si="3"/>
        <v>MAQUILLAJE_</v>
      </c>
    </row>
    <row r="117" ht="19.5" customHeight="1">
      <c r="A117" s="28" t="s">
        <v>838</v>
      </c>
      <c r="B117" s="28" t="s">
        <v>839</v>
      </c>
      <c r="C117" s="28" t="s">
        <v>840</v>
      </c>
      <c r="D117" s="28" t="s">
        <v>541</v>
      </c>
      <c r="E117" s="30" t="s">
        <v>40</v>
      </c>
      <c r="F117" s="30" t="s">
        <v>608</v>
      </c>
      <c r="G117" s="30" t="s">
        <v>232</v>
      </c>
      <c r="H117" s="30" t="s">
        <v>232</v>
      </c>
      <c r="I117" s="28" t="s">
        <v>840</v>
      </c>
      <c r="J117" s="28" t="s">
        <v>232</v>
      </c>
      <c r="K117" s="28" t="s">
        <v>232</v>
      </c>
      <c r="L117" s="32" t="s">
        <v>234</v>
      </c>
      <c r="M117" s="33" t="s">
        <v>235</v>
      </c>
      <c r="N117" s="34">
        <v>0.0</v>
      </c>
      <c r="O117" s="28" t="s">
        <v>237</v>
      </c>
      <c r="P117" s="24"/>
      <c r="Q117" s="24"/>
      <c r="R117" s="20">
        <f t="shared" si="1"/>
        <v>0</v>
      </c>
      <c r="AA117" s="1" t="str">
        <f t="shared" si="2"/>
        <v>MAQUILLAJE</v>
      </c>
      <c r="AB117" s="1" t="str">
        <f t="shared" si="3"/>
        <v>MAQUILLAJE_</v>
      </c>
    </row>
    <row r="118" ht="19.5" customHeight="1">
      <c r="A118" s="13" t="s">
        <v>844</v>
      </c>
      <c r="B118" s="13" t="s">
        <v>845</v>
      </c>
      <c r="C118" s="13" t="s">
        <v>846</v>
      </c>
      <c r="D118" s="13" t="s">
        <v>541</v>
      </c>
      <c r="E118" s="15" t="s">
        <v>40</v>
      </c>
      <c r="F118" s="15" t="s">
        <v>608</v>
      </c>
      <c r="G118" s="15" t="s">
        <v>232</v>
      </c>
      <c r="H118" s="15" t="s">
        <v>232</v>
      </c>
      <c r="I118" s="13" t="s">
        <v>846</v>
      </c>
      <c r="J118" s="13" t="s">
        <v>848</v>
      </c>
      <c r="K118" s="13" t="s">
        <v>232</v>
      </c>
      <c r="L118" s="21" t="s">
        <v>234</v>
      </c>
      <c r="M118" s="23" t="s">
        <v>235</v>
      </c>
      <c r="N118" s="16">
        <v>0.0</v>
      </c>
      <c r="O118" s="13" t="s">
        <v>237</v>
      </c>
      <c r="P118" s="24"/>
      <c r="Q118" s="24"/>
      <c r="R118" s="20">
        <f t="shared" si="1"/>
        <v>0</v>
      </c>
      <c r="AA118" s="1" t="str">
        <f t="shared" si="2"/>
        <v>MAQUILLAJE</v>
      </c>
      <c r="AB118" s="1" t="str">
        <f t="shared" si="3"/>
        <v>MAQUILLAJE_</v>
      </c>
    </row>
    <row r="119" ht="19.5" customHeight="1">
      <c r="A119" s="28" t="s">
        <v>850</v>
      </c>
      <c r="B119" s="28" t="s">
        <v>852</v>
      </c>
      <c r="C119" s="28" t="s">
        <v>853</v>
      </c>
      <c r="D119" s="28" t="s">
        <v>541</v>
      </c>
      <c r="E119" s="30" t="s">
        <v>40</v>
      </c>
      <c r="F119" s="30" t="s">
        <v>854</v>
      </c>
      <c r="G119" s="30" t="s">
        <v>232</v>
      </c>
      <c r="H119" s="30" t="s">
        <v>232</v>
      </c>
      <c r="I119" s="28" t="s">
        <v>853</v>
      </c>
      <c r="J119" s="28" t="s">
        <v>857</v>
      </c>
      <c r="K119" s="28" t="s">
        <v>232</v>
      </c>
      <c r="L119" s="32" t="s">
        <v>234</v>
      </c>
      <c r="M119" s="33" t="s">
        <v>235</v>
      </c>
      <c r="N119" s="34">
        <v>0.0</v>
      </c>
      <c r="O119" s="28" t="s">
        <v>237</v>
      </c>
      <c r="P119" s="24"/>
      <c r="Q119" s="24"/>
      <c r="R119" s="20">
        <f t="shared" si="1"/>
        <v>0</v>
      </c>
      <c r="AA119" s="1" t="str">
        <f t="shared" si="2"/>
        <v>ACCESORIOS</v>
      </c>
      <c r="AB119" s="1" t="str">
        <f t="shared" si="3"/>
        <v>ACCESORIOS_</v>
      </c>
    </row>
    <row r="120" ht="19.5" customHeight="1">
      <c r="A120" s="13" t="s">
        <v>859</v>
      </c>
      <c r="B120" s="13" t="s">
        <v>860</v>
      </c>
      <c r="C120" s="13" t="s">
        <v>862</v>
      </c>
      <c r="D120" s="13" t="s">
        <v>541</v>
      </c>
      <c r="E120" s="15" t="s">
        <v>40</v>
      </c>
      <c r="F120" s="15" t="s">
        <v>608</v>
      </c>
      <c r="G120" s="15" t="s">
        <v>232</v>
      </c>
      <c r="H120" s="15" t="s">
        <v>232</v>
      </c>
      <c r="I120" s="13" t="s">
        <v>862</v>
      </c>
      <c r="J120" s="13" t="s">
        <v>863</v>
      </c>
      <c r="K120" s="13" t="s">
        <v>232</v>
      </c>
      <c r="L120" s="21" t="s">
        <v>234</v>
      </c>
      <c r="M120" s="23" t="s">
        <v>235</v>
      </c>
      <c r="N120" s="16">
        <v>0.0</v>
      </c>
      <c r="O120" s="13" t="s">
        <v>237</v>
      </c>
      <c r="P120" s="24"/>
      <c r="Q120" s="24"/>
      <c r="R120" s="20">
        <f t="shared" si="1"/>
        <v>0</v>
      </c>
      <c r="AA120" s="1" t="str">
        <f t="shared" si="2"/>
        <v>MAQUILLAJE</v>
      </c>
      <c r="AB120" s="1" t="str">
        <f t="shared" si="3"/>
        <v>MAQUILLAJE_</v>
      </c>
    </row>
    <row r="121" ht="19.5" customHeight="1">
      <c r="A121" s="28" t="s">
        <v>866</v>
      </c>
      <c r="B121" s="28" t="s">
        <v>867</v>
      </c>
      <c r="C121" s="28" t="s">
        <v>868</v>
      </c>
      <c r="D121" s="28" t="s">
        <v>541</v>
      </c>
      <c r="E121" s="30" t="s">
        <v>40</v>
      </c>
      <c r="F121" s="30" t="s">
        <v>608</v>
      </c>
      <c r="G121" s="30" t="s">
        <v>232</v>
      </c>
      <c r="H121" s="30" t="s">
        <v>232</v>
      </c>
      <c r="I121" s="28" t="s">
        <v>868</v>
      </c>
      <c r="J121" s="28" t="s">
        <v>870</v>
      </c>
      <c r="K121" s="28" t="s">
        <v>232</v>
      </c>
      <c r="L121" s="32" t="s">
        <v>234</v>
      </c>
      <c r="M121" s="33" t="s">
        <v>235</v>
      </c>
      <c r="N121" s="34">
        <v>0.0</v>
      </c>
      <c r="O121" s="28" t="s">
        <v>237</v>
      </c>
      <c r="P121" s="24"/>
      <c r="Q121" s="24"/>
      <c r="R121" s="20">
        <f t="shared" si="1"/>
        <v>0</v>
      </c>
      <c r="AA121" s="1" t="str">
        <f t="shared" si="2"/>
        <v>MAQUILLAJE</v>
      </c>
      <c r="AB121" s="1" t="str">
        <f t="shared" si="3"/>
        <v>MAQUILLAJE_</v>
      </c>
    </row>
    <row r="122" ht="19.5" customHeight="1">
      <c r="A122" s="13" t="s">
        <v>872</v>
      </c>
      <c r="B122" s="13" t="s">
        <v>873</v>
      </c>
      <c r="C122" s="13" t="s">
        <v>874</v>
      </c>
      <c r="D122" s="13" t="s">
        <v>541</v>
      </c>
      <c r="E122" s="15" t="s">
        <v>40</v>
      </c>
      <c r="F122" s="15" t="s">
        <v>608</v>
      </c>
      <c r="G122" s="15" t="s">
        <v>232</v>
      </c>
      <c r="H122" s="15" t="s">
        <v>232</v>
      </c>
      <c r="I122" s="13" t="s">
        <v>874</v>
      </c>
      <c r="J122" s="13" t="s">
        <v>876</v>
      </c>
      <c r="K122" s="13" t="s">
        <v>232</v>
      </c>
      <c r="L122" s="21" t="s">
        <v>234</v>
      </c>
      <c r="M122" s="23" t="s">
        <v>235</v>
      </c>
      <c r="N122" s="16">
        <v>0.0</v>
      </c>
      <c r="O122" s="13" t="s">
        <v>237</v>
      </c>
      <c r="P122" s="24"/>
      <c r="Q122" s="24"/>
      <c r="R122" s="20">
        <f t="shared" si="1"/>
        <v>0</v>
      </c>
      <c r="AA122" s="1" t="str">
        <f t="shared" si="2"/>
        <v>MAQUILLAJE</v>
      </c>
      <c r="AB122" s="1" t="str">
        <f t="shared" si="3"/>
        <v>MAQUILLAJE_</v>
      </c>
    </row>
    <row r="123" ht="19.5" customHeight="1">
      <c r="A123" s="28" t="s">
        <v>879</v>
      </c>
      <c r="B123" s="28" t="s">
        <v>880</v>
      </c>
      <c r="C123" s="28" t="s">
        <v>881</v>
      </c>
      <c r="D123" s="28" t="s">
        <v>541</v>
      </c>
      <c r="E123" s="30" t="s">
        <v>40</v>
      </c>
      <c r="F123" s="30" t="s">
        <v>608</v>
      </c>
      <c r="G123" s="30" t="s">
        <v>232</v>
      </c>
      <c r="H123" s="30" t="s">
        <v>232</v>
      </c>
      <c r="I123" s="28" t="s">
        <v>881</v>
      </c>
      <c r="J123" s="28" t="s">
        <v>232</v>
      </c>
      <c r="K123" s="28" t="s">
        <v>232</v>
      </c>
      <c r="L123" s="32" t="s">
        <v>234</v>
      </c>
      <c r="M123" s="33" t="s">
        <v>235</v>
      </c>
      <c r="N123" s="34">
        <v>0.0</v>
      </c>
      <c r="O123" s="28" t="s">
        <v>237</v>
      </c>
      <c r="P123" s="24"/>
      <c r="Q123" s="24"/>
      <c r="R123" s="20">
        <f t="shared" si="1"/>
        <v>0</v>
      </c>
      <c r="AA123" s="1" t="str">
        <f t="shared" si="2"/>
        <v>MAQUILLAJE</v>
      </c>
      <c r="AB123" s="1" t="str">
        <f t="shared" si="3"/>
        <v>MAQUILLAJE_</v>
      </c>
    </row>
    <row r="124" ht="19.5" customHeight="1">
      <c r="A124" s="13" t="s">
        <v>884</v>
      </c>
      <c r="B124" s="13" t="s">
        <v>885</v>
      </c>
      <c r="C124" s="13" t="s">
        <v>886</v>
      </c>
      <c r="D124" s="13" t="s">
        <v>541</v>
      </c>
      <c r="E124" s="15" t="s">
        <v>40</v>
      </c>
      <c r="F124" s="15" t="s">
        <v>608</v>
      </c>
      <c r="G124" s="15" t="s">
        <v>232</v>
      </c>
      <c r="H124" s="15" t="s">
        <v>232</v>
      </c>
      <c r="I124" s="13" t="s">
        <v>886</v>
      </c>
      <c r="J124" s="13" t="s">
        <v>888</v>
      </c>
      <c r="K124" s="13" t="s">
        <v>232</v>
      </c>
      <c r="L124" s="21" t="s">
        <v>234</v>
      </c>
      <c r="M124" s="23" t="s">
        <v>235</v>
      </c>
      <c r="N124" s="16">
        <v>0.0</v>
      </c>
      <c r="O124" s="13" t="s">
        <v>237</v>
      </c>
      <c r="P124" s="24"/>
      <c r="Q124" s="24"/>
      <c r="R124" s="20">
        <f t="shared" si="1"/>
        <v>0</v>
      </c>
      <c r="AA124" s="1" t="str">
        <f t="shared" si="2"/>
        <v>MAQUILLAJE</v>
      </c>
      <c r="AB124" s="1" t="str">
        <f t="shared" si="3"/>
        <v>MAQUILLAJE_</v>
      </c>
    </row>
    <row r="125" ht="19.5" customHeight="1">
      <c r="A125" s="28" t="s">
        <v>891</v>
      </c>
      <c r="B125" s="28" t="s">
        <v>232</v>
      </c>
      <c r="C125" s="28" t="s">
        <v>892</v>
      </c>
      <c r="D125" s="28" t="s">
        <v>541</v>
      </c>
      <c r="E125" s="30" t="s">
        <v>40</v>
      </c>
      <c r="F125" s="30" t="s">
        <v>608</v>
      </c>
      <c r="G125" s="30" t="s">
        <v>232</v>
      </c>
      <c r="H125" s="30" t="s">
        <v>232</v>
      </c>
      <c r="I125" s="28" t="s">
        <v>892</v>
      </c>
      <c r="J125" s="28" t="s">
        <v>232</v>
      </c>
      <c r="K125" s="28" t="s">
        <v>232</v>
      </c>
      <c r="L125" s="32" t="s">
        <v>234</v>
      </c>
      <c r="M125" s="33" t="s">
        <v>235</v>
      </c>
      <c r="N125" s="34">
        <v>0.0</v>
      </c>
      <c r="O125" s="28" t="s">
        <v>237</v>
      </c>
      <c r="P125" s="24"/>
      <c r="Q125" s="24"/>
      <c r="R125" s="20">
        <f t="shared" si="1"/>
        <v>0</v>
      </c>
      <c r="AA125" s="1" t="str">
        <f t="shared" si="2"/>
        <v>MAQUILLAJE</v>
      </c>
      <c r="AB125" s="1" t="str">
        <f t="shared" si="3"/>
        <v>MAQUILLAJE_</v>
      </c>
    </row>
    <row r="126" ht="19.5" customHeight="1">
      <c r="A126" s="13" t="s">
        <v>895</v>
      </c>
      <c r="B126" s="13" t="s">
        <v>232</v>
      </c>
      <c r="C126" s="13" t="s">
        <v>896</v>
      </c>
      <c r="D126" s="13" t="s">
        <v>541</v>
      </c>
      <c r="E126" s="15" t="s">
        <v>40</v>
      </c>
      <c r="F126" s="15" t="s">
        <v>608</v>
      </c>
      <c r="G126" s="15" t="s">
        <v>232</v>
      </c>
      <c r="H126" s="15" t="s">
        <v>232</v>
      </c>
      <c r="I126" s="13" t="s">
        <v>896</v>
      </c>
      <c r="J126" s="13" t="s">
        <v>232</v>
      </c>
      <c r="K126" s="13" t="s">
        <v>232</v>
      </c>
      <c r="L126" s="21" t="s">
        <v>234</v>
      </c>
      <c r="M126" s="23" t="s">
        <v>235</v>
      </c>
      <c r="N126" s="16">
        <v>0.0</v>
      </c>
      <c r="O126" s="13" t="s">
        <v>237</v>
      </c>
      <c r="P126" s="24"/>
      <c r="Q126" s="24"/>
      <c r="R126" s="20">
        <f t="shared" si="1"/>
        <v>0</v>
      </c>
      <c r="AA126" s="1" t="str">
        <f t="shared" si="2"/>
        <v>MAQUILLAJE</v>
      </c>
      <c r="AB126" s="1" t="str">
        <f t="shared" si="3"/>
        <v>MAQUILLAJE_</v>
      </c>
    </row>
    <row r="127" ht="19.5" customHeight="1">
      <c r="A127" s="28" t="s">
        <v>899</v>
      </c>
      <c r="B127" s="28" t="s">
        <v>900</v>
      </c>
      <c r="C127" s="28" t="s">
        <v>901</v>
      </c>
      <c r="D127" s="28" t="s">
        <v>541</v>
      </c>
      <c r="E127" s="30" t="s">
        <v>40</v>
      </c>
      <c r="F127" s="30" t="s">
        <v>608</v>
      </c>
      <c r="G127" s="30" t="s">
        <v>232</v>
      </c>
      <c r="H127" s="30" t="s">
        <v>232</v>
      </c>
      <c r="I127" s="28" t="s">
        <v>901</v>
      </c>
      <c r="J127" s="28" t="s">
        <v>904</v>
      </c>
      <c r="K127" s="28" t="s">
        <v>232</v>
      </c>
      <c r="L127" s="32" t="s">
        <v>234</v>
      </c>
      <c r="M127" s="33" t="s">
        <v>235</v>
      </c>
      <c r="N127" s="34">
        <v>0.0</v>
      </c>
      <c r="O127" s="28" t="s">
        <v>237</v>
      </c>
      <c r="P127" s="24"/>
      <c r="Q127" s="24"/>
      <c r="R127" s="20">
        <f t="shared" si="1"/>
        <v>0</v>
      </c>
      <c r="AA127" s="1" t="str">
        <f t="shared" si="2"/>
        <v>MAQUILLAJE</v>
      </c>
      <c r="AB127" s="1" t="str">
        <f t="shared" si="3"/>
        <v>MAQUILLAJE_</v>
      </c>
    </row>
    <row r="128" ht="19.5" customHeight="1">
      <c r="A128" s="13" t="s">
        <v>906</v>
      </c>
      <c r="B128" s="13" t="s">
        <v>907</v>
      </c>
      <c r="C128" s="13" t="s">
        <v>908</v>
      </c>
      <c r="D128" s="13" t="s">
        <v>541</v>
      </c>
      <c r="E128" s="15" t="s">
        <v>40</v>
      </c>
      <c r="F128" s="15" t="s">
        <v>608</v>
      </c>
      <c r="G128" s="15" t="s">
        <v>232</v>
      </c>
      <c r="H128" s="15" t="s">
        <v>232</v>
      </c>
      <c r="I128" s="13" t="s">
        <v>908</v>
      </c>
      <c r="J128" s="13" t="s">
        <v>910</v>
      </c>
      <c r="K128" s="13" t="s">
        <v>232</v>
      </c>
      <c r="L128" s="21" t="s">
        <v>234</v>
      </c>
      <c r="M128" s="23" t="s">
        <v>235</v>
      </c>
      <c r="N128" s="16">
        <v>0.0</v>
      </c>
      <c r="O128" s="13" t="s">
        <v>237</v>
      </c>
      <c r="P128" s="24"/>
      <c r="Q128" s="24"/>
      <c r="R128" s="20">
        <f t="shared" si="1"/>
        <v>0</v>
      </c>
      <c r="AA128" s="1" t="str">
        <f t="shared" si="2"/>
        <v>MAQUILLAJE</v>
      </c>
      <c r="AB128" s="1" t="str">
        <f t="shared" si="3"/>
        <v>MAQUILLAJE_</v>
      </c>
    </row>
    <row r="129" ht="19.5" customHeight="1">
      <c r="A129" s="28" t="s">
        <v>912</v>
      </c>
      <c r="B129" s="28" t="s">
        <v>913</v>
      </c>
      <c r="C129" s="28" t="s">
        <v>915</v>
      </c>
      <c r="D129" s="28" t="s">
        <v>541</v>
      </c>
      <c r="E129" s="30" t="s">
        <v>40</v>
      </c>
      <c r="F129" s="30" t="s">
        <v>608</v>
      </c>
      <c r="G129" s="30" t="s">
        <v>232</v>
      </c>
      <c r="H129" s="30" t="s">
        <v>232</v>
      </c>
      <c r="I129" s="28" t="s">
        <v>915</v>
      </c>
      <c r="J129" s="28" t="s">
        <v>916</v>
      </c>
      <c r="K129" s="28" t="s">
        <v>232</v>
      </c>
      <c r="L129" s="32" t="s">
        <v>234</v>
      </c>
      <c r="M129" s="33" t="s">
        <v>235</v>
      </c>
      <c r="N129" s="34">
        <v>0.0</v>
      </c>
      <c r="O129" s="28" t="s">
        <v>237</v>
      </c>
      <c r="P129" s="24"/>
      <c r="Q129" s="24"/>
      <c r="R129" s="20">
        <f t="shared" si="1"/>
        <v>0</v>
      </c>
      <c r="AA129" s="1" t="str">
        <f t="shared" si="2"/>
        <v>MAQUILLAJE</v>
      </c>
      <c r="AB129" s="1" t="str">
        <f t="shared" si="3"/>
        <v>MAQUILLAJE_</v>
      </c>
    </row>
    <row r="130" ht="19.5" customHeight="1">
      <c r="A130" s="13" t="s">
        <v>919</v>
      </c>
      <c r="B130" s="13" t="s">
        <v>232</v>
      </c>
      <c r="C130" s="13" t="s">
        <v>920</v>
      </c>
      <c r="D130" s="13" t="s">
        <v>541</v>
      </c>
      <c r="E130" s="15" t="s">
        <v>40</v>
      </c>
      <c r="F130" s="15" t="s">
        <v>608</v>
      </c>
      <c r="G130" s="15" t="s">
        <v>232</v>
      </c>
      <c r="H130" s="15" t="s">
        <v>232</v>
      </c>
      <c r="I130" s="13" t="s">
        <v>920</v>
      </c>
      <c r="J130" s="13" t="s">
        <v>232</v>
      </c>
      <c r="K130" s="13" t="s">
        <v>232</v>
      </c>
      <c r="L130" s="21" t="s">
        <v>234</v>
      </c>
      <c r="M130" s="23" t="s">
        <v>235</v>
      </c>
      <c r="N130" s="16">
        <v>0.0</v>
      </c>
      <c r="O130" s="13" t="s">
        <v>237</v>
      </c>
      <c r="P130" s="24"/>
      <c r="Q130" s="24"/>
      <c r="R130" s="20">
        <f t="shared" si="1"/>
        <v>0</v>
      </c>
      <c r="AA130" s="1" t="str">
        <f t="shared" si="2"/>
        <v>MAQUILLAJE</v>
      </c>
      <c r="AB130" s="1" t="str">
        <f t="shared" si="3"/>
        <v>MAQUILLAJE_</v>
      </c>
    </row>
    <row r="131" ht="19.5" customHeight="1">
      <c r="A131" s="28" t="s">
        <v>923</v>
      </c>
      <c r="B131" s="28" t="s">
        <v>232</v>
      </c>
      <c r="C131" s="28" t="s">
        <v>924</v>
      </c>
      <c r="D131" s="28" t="s">
        <v>541</v>
      </c>
      <c r="E131" s="30" t="s">
        <v>40</v>
      </c>
      <c r="F131" s="30" t="s">
        <v>608</v>
      </c>
      <c r="G131" s="30" t="s">
        <v>232</v>
      </c>
      <c r="H131" s="30" t="s">
        <v>232</v>
      </c>
      <c r="I131" s="28" t="s">
        <v>924</v>
      </c>
      <c r="J131" s="28" t="s">
        <v>232</v>
      </c>
      <c r="K131" s="28" t="s">
        <v>232</v>
      </c>
      <c r="L131" s="32" t="s">
        <v>234</v>
      </c>
      <c r="M131" s="33" t="s">
        <v>235</v>
      </c>
      <c r="N131" s="34">
        <v>0.0</v>
      </c>
      <c r="O131" s="28" t="s">
        <v>237</v>
      </c>
      <c r="P131" s="24"/>
      <c r="Q131" s="24"/>
      <c r="R131" s="20">
        <f t="shared" si="1"/>
        <v>0</v>
      </c>
      <c r="AA131" s="1" t="str">
        <f t="shared" si="2"/>
        <v>MAQUILLAJE</v>
      </c>
      <c r="AB131" s="1" t="str">
        <f t="shared" si="3"/>
        <v>MAQUILLAJE_</v>
      </c>
    </row>
    <row r="132" ht="19.5" customHeight="1">
      <c r="A132" s="13" t="s">
        <v>928</v>
      </c>
      <c r="B132" s="13" t="s">
        <v>929</v>
      </c>
      <c r="C132" s="13" t="s">
        <v>930</v>
      </c>
      <c r="D132" s="13" t="s">
        <v>541</v>
      </c>
      <c r="E132" s="15" t="s">
        <v>40</v>
      </c>
      <c r="F132" s="15" t="s">
        <v>608</v>
      </c>
      <c r="G132" s="15" t="s">
        <v>232</v>
      </c>
      <c r="H132" s="15" t="s">
        <v>232</v>
      </c>
      <c r="I132" s="13" t="s">
        <v>930</v>
      </c>
      <c r="J132" s="13" t="s">
        <v>932</v>
      </c>
      <c r="K132" s="13" t="s">
        <v>232</v>
      </c>
      <c r="L132" s="21" t="s">
        <v>234</v>
      </c>
      <c r="M132" s="23" t="s">
        <v>235</v>
      </c>
      <c r="N132" s="16">
        <v>0.0</v>
      </c>
      <c r="O132" s="13" t="s">
        <v>237</v>
      </c>
      <c r="P132" s="24"/>
      <c r="Q132" s="24"/>
      <c r="R132" s="20">
        <f t="shared" si="1"/>
        <v>0</v>
      </c>
      <c r="AA132" s="1" t="str">
        <f t="shared" si="2"/>
        <v>MAQUILLAJE</v>
      </c>
      <c r="AB132" s="1" t="str">
        <f t="shared" si="3"/>
        <v>MAQUILLAJE_</v>
      </c>
    </row>
    <row r="133" ht="19.5" customHeight="1">
      <c r="A133" s="28" t="s">
        <v>934</v>
      </c>
      <c r="B133" s="28" t="s">
        <v>935</v>
      </c>
      <c r="C133" s="28" t="s">
        <v>937</v>
      </c>
      <c r="D133" s="28" t="s">
        <v>541</v>
      </c>
      <c r="E133" s="30" t="s">
        <v>40</v>
      </c>
      <c r="F133" s="30" t="s">
        <v>608</v>
      </c>
      <c r="G133" s="30" t="s">
        <v>232</v>
      </c>
      <c r="H133" s="30" t="s">
        <v>232</v>
      </c>
      <c r="I133" s="28" t="s">
        <v>937</v>
      </c>
      <c r="J133" s="28" t="s">
        <v>938</v>
      </c>
      <c r="K133" s="28" t="s">
        <v>232</v>
      </c>
      <c r="L133" s="32" t="s">
        <v>234</v>
      </c>
      <c r="M133" s="33" t="s">
        <v>235</v>
      </c>
      <c r="N133" s="34">
        <v>0.0</v>
      </c>
      <c r="O133" s="28" t="s">
        <v>237</v>
      </c>
      <c r="P133" s="24"/>
      <c r="Q133" s="24"/>
      <c r="R133" s="20">
        <f t="shared" si="1"/>
        <v>0</v>
      </c>
      <c r="AA133" s="1" t="str">
        <f t="shared" si="2"/>
        <v>MAQUILLAJE</v>
      </c>
      <c r="AB133" s="1" t="str">
        <f t="shared" si="3"/>
        <v>MAQUILLAJE_</v>
      </c>
    </row>
    <row r="134" ht="19.5" customHeight="1">
      <c r="A134" s="13" t="s">
        <v>941</v>
      </c>
      <c r="B134" s="13" t="s">
        <v>942</v>
      </c>
      <c r="C134" s="13" t="s">
        <v>943</v>
      </c>
      <c r="D134" s="13" t="s">
        <v>541</v>
      </c>
      <c r="E134" s="15" t="s">
        <v>40</v>
      </c>
      <c r="F134" s="15" t="s">
        <v>608</v>
      </c>
      <c r="G134" s="15" t="s">
        <v>232</v>
      </c>
      <c r="H134" s="15" t="s">
        <v>232</v>
      </c>
      <c r="I134" s="13" t="s">
        <v>943</v>
      </c>
      <c r="J134" s="13" t="s">
        <v>945</v>
      </c>
      <c r="K134" s="13" t="s">
        <v>232</v>
      </c>
      <c r="L134" s="21" t="s">
        <v>234</v>
      </c>
      <c r="M134" s="23" t="s">
        <v>235</v>
      </c>
      <c r="N134" s="16">
        <v>0.0</v>
      </c>
      <c r="O134" s="13" t="s">
        <v>237</v>
      </c>
      <c r="P134" s="24"/>
      <c r="Q134" s="24"/>
      <c r="R134" s="20">
        <f t="shared" si="1"/>
        <v>0</v>
      </c>
      <c r="AA134" s="1" t="str">
        <f t="shared" si="2"/>
        <v>MAQUILLAJE</v>
      </c>
      <c r="AB134" s="1" t="str">
        <f t="shared" si="3"/>
        <v>MAQUILLAJE_</v>
      </c>
    </row>
    <row r="135" ht="19.5" customHeight="1">
      <c r="A135" s="28" t="s">
        <v>947</v>
      </c>
      <c r="B135" s="28" t="s">
        <v>948</v>
      </c>
      <c r="C135" s="28" t="s">
        <v>949</v>
      </c>
      <c r="D135" s="28" t="s">
        <v>541</v>
      </c>
      <c r="E135" s="30" t="s">
        <v>40</v>
      </c>
      <c r="F135" s="30" t="s">
        <v>608</v>
      </c>
      <c r="G135" s="30" t="s">
        <v>232</v>
      </c>
      <c r="H135" s="30" t="s">
        <v>232</v>
      </c>
      <c r="I135" s="28" t="s">
        <v>949</v>
      </c>
      <c r="J135" s="28" t="s">
        <v>952</v>
      </c>
      <c r="K135" s="28" t="s">
        <v>232</v>
      </c>
      <c r="L135" s="32" t="s">
        <v>234</v>
      </c>
      <c r="M135" s="33" t="s">
        <v>235</v>
      </c>
      <c r="N135" s="34">
        <v>0.0</v>
      </c>
      <c r="O135" s="28" t="s">
        <v>237</v>
      </c>
      <c r="P135" s="24"/>
      <c r="Q135" s="24"/>
      <c r="R135" s="20">
        <f t="shared" si="1"/>
        <v>0</v>
      </c>
      <c r="AA135" s="1" t="str">
        <f t="shared" si="2"/>
        <v>MAQUILLAJE</v>
      </c>
      <c r="AB135" s="1" t="str">
        <f t="shared" si="3"/>
        <v>MAQUILLAJE_</v>
      </c>
    </row>
    <row r="136" ht="19.5" customHeight="1">
      <c r="A136" s="13" t="s">
        <v>954</v>
      </c>
      <c r="B136" s="13" t="s">
        <v>955</v>
      </c>
      <c r="C136" s="13" t="s">
        <v>956</v>
      </c>
      <c r="D136" s="13" t="s">
        <v>541</v>
      </c>
      <c r="E136" s="15" t="s">
        <v>40</v>
      </c>
      <c r="F136" s="15" t="s">
        <v>608</v>
      </c>
      <c r="G136" s="15" t="s">
        <v>232</v>
      </c>
      <c r="H136" s="15" t="s">
        <v>232</v>
      </c>
      <c r="I136" s="13" t="s">
        <v>956</v>
      </c>
      <c r="J136" s="13" t="s">
        <v>958</v>
      </c>
      <c r="K136" s="13" t="s">
        <v>232</v>
      </c>
      <c r="L136" s="21" t="s">
        <v>234</v>
      </c>
      <c r="M136" s="23" t="s">
        <v>235</v>
      </c>
      <c r="N136" s="16">
        <v>0.0</v>
      </c>
      <c r="O136" s="13" t="s">
        <v>237</v>
      </c>
      <c r="P136" s="24"/>
      <c r="Q136" s="24"/>
      <c r="R136" s="20">
        <f t="shared" si="1"/>
        <v>0</v>
      </c>
      <c r="AA136" s="1" t="str">
        <f t="shared" si="2"/>
        <v>MAQUILLAJE</v>
      </c>
      <c r="AB136" s="1" t="str">
        <f t="shared" si="3"/>
        <v>MAQUILLAJE_</v>
      </c>
    </row>
    <row r="137" ht="19.5" customHeight="1">
      <c r="A137" s="28" t="s">
        <v>961</v>
      </c>
      <c r="B137" s="28" t="s">
        <v>962</v>
      </c>
      <c r="C137" s="28" t="s">
        <v>963</v>
      </c>
      <c r="D137" s="28" t="s">
        <v>541</v>
      </c>
      <c r="E137" s="30" t="s">
        <v>40</v>
      </c>
      <c r="F137" s="30" t="s">
        <v>608</v>
      </c>
      <c r="G137" s="30" t="s">
        <v>232</v>
      </c>
      <c r="H137" s="30" t="s">
        <v>232</v>
      </c>
      <c r="I137" s="28" t="s">
        <v>963</v>
      </c>
      <c r="J137" s="28" t="s">
        <v>232</v>
      </c>
      <c r="K137" s="28" t="s">
        <v>232</v>
      </c>
      <c r="L137" s="32" t="s">
        <v>234</v>
      </c>
      <c r="M137" s="33" t="s">
        <v>235</v>
      </c>
      <c r="N137" s="34">
        <v>0.0</v>
      </c>
      <c r="O137" s="28" t="s">
        <v>237</v>
      </c>
      <c r="P137" s="24"/>
      <c r="Q137" s="24"/>
      <c r="R137" s="20">
        <f t="shared" si="1"/>
        <v>0</v>
      </c>
      <c r="AA137" s="1" t="str">
        <f t="shared" si="2"/>
        <v>MAQUILLAJE</v>
      </c>
      <c r="AB137" s="1" t="str">
        <f t="shared" si="3"/>
        <v>MAQUILLAJE_</v>
      </c>
    </row>
    <row r="138" ht="19.5" customHeight="1">
      <c r="A138" s="13" t="s">
        <v>966</v>
      </c>
      <c r="B138" s="13" t="s">
        <v>967</v>
      </c>
      <c r="C138" s="13" t="s">
        <v>968</v>
      </c>
      <c r="D138" s="13" t="s">
        <v>541</v>
      </c>
      <c r="E138" s="15" t="s">
        <v>40</v>
      </c>
      <c r="F138" s="15" t="s">
        <v>608</v>
      </c>
      <c r="G138" s="15" t="s">
        <v>232</v>
      </c>
      <c r="H138" s="15" t="s">
        <v>232</v>
      </c>
      <c r="I138" s="13" t="s">
        <v>968</v>
      </c>
      <c r="J138" s="13" t="s">
        <v>232</v>
      </c>
      <c r="K138" s="13" t="s">
        <v>232</v>
      </c>
      <c r="L138" s="21" t="s">
        <v>234</v>
      </c>
      <c r="M138" s="23" t="s">
        <v>235</v>
      </c>
      <c r="N138" s="16">
        <v>0.0</v>
      </c>
      <c r="O138" s="13" t="s">
        <v>237</v>
      </c>
      <c r="P138" s="24"/>
      <c r="Q138" s="24"/>
      <c r="R138" s="20">
        <f t="shared" si="1"/>
        <v>0</v>
      </c>
      <c r="AA138" s="1" t="str">
        <f t="shared" si="2"/>
        <v>MAQUILLAJE</v>
      </c>
      <c r="AB138" s="1" t="str">
        <f t="shared" si="3"/>
        <v>MAQUILLAJE_</v>
      </c>
    </row>
    <row r="139" ht="19.5" customHeight="1">
      <c r="A139" s="28" t="s">
        <v>972</v>
      </c>
      <c r="B139" s="28" t="s">
        <v>973</v>
      </c>
      <c r="C139" s="28" t="s">
        <v>974</v>
      </c>
      <c r="D139" s="28" t="s">
        <v>541</v>
      </c>
      <c r="E139" s="30" t="s">
        <v>40</v>
      </c>
      <c r="F139" s="30" t="s">
        <v>608</v>
      </c>
      <c r="G139" s="30" t="s">
        <v>232</v>
      </c>
      <c r="H139" s="30" t="s">
        <v>232</v>
      </c>
      <c r="I139" s="28" t="s">
        <v>974</v>
      </c>
      <c r="J139" s="28" t="s">
        <v>232</v>
      </c>
      <c r="K139" s="28" t="s">
        <v>232</v>
      </c>
      <c r="L139" s="32" t="s">
        <v>234</v>
      </c>
      <c r="M139" s="33" t="s">
        <v>235</v>
      </c>
      <c r="N139" s="34">
        <v>0.0</v>
      </c>
      <c r="O139" s="28" t="s">
        <v>237</v>
      </c>
      <c r="P139" s="24"/>
      <c r="Q139" s="24"/>
      <c r="R139" s="20">
        <f t="shared" si="1"/>
        <v>0</v>
      </c>
      <c r="AA139" s="1" t="str">
        <f t="shared" si="2"/>
        <v>MAQUILLAJE</v>
      </c>
      <c r="AB139" s="1" t="str">
        <f t="shared" si="3"/>
        <v>MAQUILLAJE_</v>
      </c>
    </row>
    <row r="140" ht="19.5" customHeight="1">
      <c r="A140" s="13" t="s">
        <v>977</v>
      </c>
      <c r="B140" s="13" t="s">
        <v>978</v>
      </c>
      <c r="C140" s="13" t="s">
        <v>980</v>
      </c>
      <c r="D140" s="13" t="s">
        <v>541</v>
      </c>
      <c r="E140" s="15" t="s">
        <v>40</v>
      </c>
      <c r="F140" s="15" t="s">
        <v>608</v>
      </c>
      <c r="G140" s="15" t="s">
        <v>232</v>
      </c>
      <c r="H140" s="15" t="s">
        <v>232</v>
      </c>
      <c r="I140" s="13" t="s">
        <v>980</v>
      </c>
      <c r="J140" s="13" t="s">
        <v>232</v>
      </c>
      <c r="K140" s="13" t="s">
        <v>232</v>
      </c>
      <c r="L140" s="21" t="s">
        <v>234</v>
      </c>
      <c r="M140" s="23" t="s">
        <v>235</v>
      </c>
      <c r="N140" s="16">
        <v>0.0</v>
      </c>
      <c r="O140" s="13" t="s">
        <v>237</v>
      </c>
      <c r="P140" s="24"/>
      <c r="Q140" s="24"/>
      <c r="R140" s="20">
        <f t="shared" si="1"/>
        <v>0</v>
      </c>
      <c r="AA140" s="1" t="str">
        <f t="shared" si="2"/>
        <v>MAQUILLAJE</v>
      </c>
      <c r="AB140" s="1" t="str">
        <f t="shared" si="3"/>
        <v>MAQUILLAJE_</v>
      </c>
    </row>
    <row r="141" ht="19.5" customHeight="1">
      <c r="A141" s="28" t="s">
        <v>982</v>
      </c>
      <c r="B141" s="28" t="s">
        <v>232</v>
      </c>
      <c r="C141" s="28" t="s">
        <v>984</v>
      </c>
      <c r="D141" s="28" t="s">
        <v>541</v>
      </c>
      <c r="E141" s="30" t="s">
        <v>40</v>
      </c>
      <c r="F141" s="30" t="s">
        <v>608</v>
      </c>
      <c r="G141" s="30" t="s">
        <v>232</v>
      </c>
      <c r="H141" s="30" t="s">
        <v>232</v>
      </c>
      <c r="I141" s="28" t="s">
        <v>984</v>
      </c>
      <c r="J141" s="28" t="s">
        <v>232</v>
      </c>
      <c r="K141" s="28" t="s">
        <v>232</v>
      </c>
      <c r="L141" s="32" t="s">
        <v>234</v>
      </c>
      <c r="M141" s="33" t="s">
        <v>235</v>
      </c>
      <c r="N141" s="34">
        <v>0.0</v>
      </c>
      <c r="O141" s="28" t="s">
        <v>237</v>
      </c>
      <c r="P141" s="24"/>
      <c r="Q141" s="24"/>
      <c r="R141" s="20">
        <f t="shared" si="1"/>
        <v>0</v>
      </c>
      <c r="AA141" s="1" t="str">
        <f t="shared" si="2"/>
        <v>MAQUILLAJE</v>
      </c>
      <c r="AB141" s="1" t="str">
        <f t="shared" si="3"/>
        <v>MAQUILLAJE_</v>
      </c>
    </row>
    <row r="142" ht="19.5" customHeight="1">
      <c r="A142" s="13" t="s">
        <v>987</v>
      </c>
      <c r="B142" s="13" t="s">
        <v>988</v>
      </c>
      <c r="C142" s="13" t="s">
        <v>989</v>
      </c>
      <c r="D142" s="13" t="s">
        <v>541</v>
      </c>
      <c r="E142" s="15" t="s">
        <v>40</v>
      </c>
      <c r="F142" s="15" t="s">
        <v>608</v>
      </c>
      <c r="G142" s="15" t="s">
        <v>232</v>
      </c>
      <c r="H142" s="15" t="s">
        <v>232</v>
      </c>
      <c r="I142" s="13" t="s">
        <v>989</v>
      </c>
      <c r="J142" s="13" t="s">
        <v>991</v>
      </c>
      <c r="K142" s="13" t="s">
        <v>232</v>
      </c>
      <c r="L142" s="21" t="s">
        <v>234</v>
      </c>
      <c r="M142" s="23" t="s">
        <v>235</v>
      </c>
      <c r="N142" s="16">
        <v>0.0</v>
      </c>
      <c r="O142" s="13" t="s">
        <v>237</v>
      </c>
      <c r="P142" s="24"/>
      <c r="Q142" s="24"/>
      <c r="R142" s="20">
        <f t="shared" si="1"/>
        <v>0</v>
      </c>
      <c r="AA142" s="1" t="str">
        <f t="shared" si="2"/>
        <v>MAQUILLAJE</v>
      </c>
      <c r="AB142" s="1" t="str">
        <f t="shared" si="3"/>
        <v>MAQUILLAJE_</v>
      </c>
    </row>
    <row r="143" ht="19.5" customHeight="1">
      <c r="A143" s="28" t="s">
        <v>993</v>
      </c>
      <c r="B143" s="28" t="s">
        <v>994</v>
      </c>
      <c r="C143" s="28" t="s">
        <v>996</v>
      </c>
      <c r="D143" s="28" t="s">
        <v>541</v>
      </c>
      <c r="E143" s="30" t="s">
        <v>40</v>
      </c>
      <c r="F143" s="30" t="s">
        <v>608</v>
      </c>
      <c r="G143" s="30" t="s">
        <v>232</v>
      </c>
      <c r="H143" s="30" t="s">
        <v>232</v>
      </c>
      <c r="I143" s="28" t="s">
        <v>996</v>
      </c>
      <c r="J143" s="28" t="s">
        <v>998</v>
      </c>
      <c r="K143" s="28" t="s">
        <v>232</v>
      </c>
      <c r="L143" s="32" t="s">
        <v>234</v>
      </c>
      <c r="M143" s="33" t="s">
        <v>235</v>
      </c>
      <c r="N143" s="34">
        <v>0.0</v>
      </c>
      <c r="O143" s="28" t="s">
        <v>237</v>
      </c>
      <c r="P143" s="24"/>
      <c r="Q143" s="24"/>
      <c r="R143" s="20">
        <f t="shared" si="1"/>
        <v>0</v>
      </c>
      <c r="AA143" s="1" t="str">
        <f t="shared" si="2"/>
        <v>MAQUILLAJE</v>
      </c>
      <c r="AB143" s="1" t="str">
        <f t="shared" si="3"/>
        <v>MAQUILLAJE_</v>
      </c>
    </row>
    <row r="144" ht="19.5" customHeight="1">
      <c r="A144" s="13" t="s">
        <v>1000</v>
      </c>
      <c r="B144" s="13" t="s">
        <v>1001</v>
      </c>
      <c r="C144" s="13" t="s">
        <v>1002</v>
      </c>
      <c r="D144" s="13" t="s">
        <v>541</v>
      </c>
      <c r="E144" s="15" t="s">
        <v>40</v>
      </c>
      <c r="F144" s="15" t="s">
        <v>608</v>
      </c>
      <c r="G144" s="15" t="s">
        <v>232</v>
      </c>
      <c r="H144" s="15" t="s">
        <v>232</v>
      </c>
      <c r="I144" s="13" t="s">
        <v>1002</v>
      </c>
      <c r="J144" s="13" t="s">
        <v>232</v>
      </c>
      <c r="K144" s="13" t="s">
        <v>232</v>
      </c>
      <c r="L144" s="21" t="s">
        <v>234</v>
      </c>
      <c r="M144" s="23" t="s">
        <v>235</v>
      </c>
      <c r="N144" s="16">
        <v>0.0</v>
      </c>
      <c r="O144" s="13" t="s">
        <v>237</v>
      </c>
      <c r="P144" s="24"/>
      <c r="Q144" s="24"/>
      <c r="R144" s="20">
        <f t="shared" si="1"/>
        <v>0</v>
      </c>
      <c r="AA144" s="1" t="str">
        <f t="shared" si="2"/>
        <v>MAQUILLAJE</v>
      </c>
      <c r="AB144" s="1" t="str">
        <f t="shared" si="3"/>
        <v>MAQUILLAJE_</v>
      </c>
    </row>
    <row r="145" ht="19.5" customHeight="1">
      <c r="A145" s="28" t="s">
        <v>1005</v>
      </c>
      <c r="B145" s="28" t="s">
        <v>1006</v>
      </c>
      <c r="C145" s="28" t="s">
        <v>1008</v>
      </c>
      <c r="D145" s="28" t="s">
        <v>541</v>
      </c>
      <c r="E145" s="30" t="s">
        <v>40</v>
      </c>
      <c r="F145" s="30" t="s">
        <v>608</v>
      </c>
      <c r="G145" s="30" t="s">
        <v>232</v>
      </c>
      <c r="H145" s="30" t="s">
        <v>232</v>
      </c>
      <c r="I145" s="28" t="s">
        <v>1008</v>
      </c>
      <c r="J145" s="28" t="s">
        <v>232</v>
      </c>
      <c r="K145" s="28" t="s">
        <v>232</v>
      </c>
      <c r="L145" s="32" t="s">
        <v>234</v>
      </c>
      <c r="M145" s="33" t="s">
        <v>235</v>
      </c>
      <c r="N145" s="34">
        <v>0.0</v>
      </c>
      <c r="O145" s="28" t="s">
        <v>237</v>
      </c>
      <c r="P145" s="24"/>
      <c r="Q145" s="24"/>
      <c r="R145" s="20">
        <f t="shared" si="1"/>
        <v>0</v>
      </c>
      <c r="AA145" s="1" t="str">
        <f t="shared" si="2"/>
        <v>MAQUILLAJE</v>
      </c>
      <c r="AB145" s="1" t="str">
        <f t="shared" si="3"/>
        <v>MAQUILLAJE_</v>
      </c>
    </row>
    <row r="146" ht="19.5" customHeight="1">
      <c r="A146" s="13" t="s">
        <v>1011</v>
      </c>
      <c r="B146" s="13" t="s">
        <v>232</v>
      </c>
      <c r="C146" s="13" t="s">
        <v>1012</v>
      </c>
      <c r="D146" s="13" t="s">
        <v>541</v>
      </c>
      <c r="E146" s="15" t="s">
        <v>40</v>
      </c>
      <c r="F146" s="15" t="s">
        <v>608</v>
      </c>
      <c r="G146" s="15" t="s">
        <v>232</v>
      </c>
      <c r="H146" s="15" t="s">
        <v>232</v>
      </c>
      <c r="I146" s="13" t="s">
        <v>1012</v>
      </c>
      <c r="J146" s="13" t="s">
        <v>232</v>
      </c>
      <c r="K146" s="13" t="s">
        <v>232</v>
      </c>
      <c r="L146" s="21" t="s">
        <v>234</v>
      </c>
      <c r="M146" s="23" t="s">
        <v>235</v>
      </c>
      <c r="N146" s="16">
        <v>0.0</v>
      </c>
      <c r="O146" s="13" t="s">
        <v>237</v>
      </c>
      <c r="P146" s="24"/>
      <c r="Q146" s="24"/>
      <c r="R146" s="20">
        <f t="shared" si="1"/>
        <v>0</v>
      </c>
      <c r="AA146" s="1" t="str">
        <f t="shared" si="2"/>
        <v>MAQUILLAJE</v>
      </c>
      <c r="AB146" s="1" t="str">
        <f t="shared" si="3"/>
        <v>MAQUILLAJE_</v>
      </c>
    </row>
    <row r="147" ht="19.5" customHeight="1">
      <c r="A147" s="28" t="s">
        <v>1015</v>
      </c>
      <c r="B147" s="28" t="s">
        <v>232</v>
      </c>
      <c r="C147" s="28" t="s">
        <v>1017</v>
      </c>
      <c r="D147" s="28" t="s">
        <v>541</v>
      </c>
      <c r="E147" s="30" t="s">
        <v>40</v>
      </c>
      <c r="F147" s="30" t="s">
        <v>608</v>
      </c>
      <c r="G147" s="30" t="s">
        <v>232</v>
      </c>
      <c r="H147" s="30" t="s">
        <v>232</v>
      </c>
      <c r="I147" s="28" t="s">
        <v>1017</v>
      </c>
      <c r="J147" s="28" t="s">
        <v>232</v>
      </c>
      <c r="K147" s="28" t="s">
        <v>232</v>
      </c>
      <c r="L147" s="32" t="s">
        <v>234</v>
      </c>
      <c r="M147" s="33" t="s">
        <v>235</v>
      </c>
      <c r="N147" s="34">
        <v>0.0</v>
      </c>
      <c r="O147" s="28" t="s">
        <v>237</v>
      </c>
      <c r="P147" s="24"/>
      <c r="Q147" s="24"/>
      <c r="R147" s="20">
        <f t="shared" si="1"/>
        <v>0</v>
      </c>
      <c r="AA147" s="1" t="str">
        <f t="shared" si="2"/>
        <v>MAQUILLAJE</v>
      </c>
      <c r="AB147" s="1" t="str">
        <f t="shared" si="3"/>
        <v>MAQUILLAJE_</v>
      </c>
    </row>
    <row r="148" ht="19.5" customHeight="1">
      <c r="A148" s="13" t="s">
        <v>1020</v>
      </c>
      <c r="B148" s="13" t="s">
        <v>232</v>
      </c>
      <c r="C148" s="13" t="s">
        <v>1021</v>
      </c>
      <c r="D148" s="13" t="s">
        <v>541</v>
      </c>
      <c r="E148" s="15" t="s">
        <v>40</v>
      </c>
      <c r="F148" s="15" t="s">
        <v>608</v>
      </c>
      <c r="G148" s="15" t="s">
        <v>232</v>
      </c>
      <c r="H148" s="15" t="s">
        <v>232</v>
      </c>
      <c r="I148" s="13" t="s">
        <v>1021</v>
      </c>
      <c r="J148" s="13" t="s">
        <v>232</v>
      </c>
      <c r="K148" s="13" t="s">
        <v>232</v>
      </c>
      <c r="L148" s="21" t="s">
        <v>234</v>
      </c>
      <c r="M148" s="23" t="s">
        <v>235</v>
      </c>
      <c r="N148" s="16">
        <v>0.0</v>
      </c>
      <c r="O148" s="13" t="s">
        <v>237</v>
      </c>
      <c r="P148" s="24"/>
      <c r="Q148" s="24"/>
      <c r="R148" s="20">
        <f t="shared" si="1"/>
        <v>0</v>
      </c>
      <c r="AA148" s="1" t="str">
        <f t="shared" si="2"/>
        <v>MAQUILLAJE</v>
      </c>
      <c r="AB148" s="1" t="str">
        <f t="shared" si="3"/>
        <v>MAQUILLAJE_</v>
      </c>
    </row>
    <row r="149" ht="19.5" customHeight="1">
      <c r="A149" s="28" t="s">
        <v>1025</v>
      </c>
      <c r="B149" s="28" t="s">
        <v>232</v>
      </c>
      <c r="C149" s="28" t="s">
        <v>1026</v>
      </c>
      <c r="D149" s="28" t="s">
        <v>541</v>
      </c>
      <c r="E149" s="30" t="s">
        <v>40</v>
      </c>
      <c r="F149" s="30" t="s">
        <v>608</v>
      </c>
      <c r="G149" s="30" t="s">
        <v>232</v>
      </c>
      <c r="H149" s="30" t="s">
        <v>232</v>
      </c>
      <c r="I149" s="28" t="s">
        <v>1026</v>
      </c>
      <c r="J149" s="28" t="s">
        <v>232</v>
      </c>
      <c r="K149" s="28" t="s">
        <v>232</v>
      </c>
      <c r="L149" s="32" t="s">
        <v>234</v>
      </c>
      <c r="M149" s="33" t="s">
        <v>235</v>
      </c>
      <c r="N149" s="34">
        <v>0.0</v>
      </c>
      <c r="O149" s="28" t="s">
        <v>237</v>
      </c>
      <c r="P149" s="24"/>
      <c r="Q149" s="24"/>
      <c r="R149" s="20">
        <f t="shared" si="1"/>
        <v>0</v>
      </c>
      <c r="AA149" s="1" t="str">
        <f t="shared" si="2"/>
        <v>MAQUILLAJE</v>
      </c>
      <c r="AB149" s="1" t="str">
        <f t="shared" si="3"/>
        <v>MAQUILLAJE_</v>
      </c>
    </row>
    <row r="150" ht="19.5" customHeight="1">
      <c r="A150" s="13" t="s">
        <v>1029</v>
      </c>
      <c r="B150" s="13" t="s">
        <v>1030</v>
      </c>
      <c r="C150" s="13" t="s">
        <v>1031</v>
      </c>
      <c r="D150" s="13" t="s">
        <v>541</v>
      </c>
      <c r="E150" s="15" t="s">
        <v>40</v>
      </c>
      <c r="F150" s="15" t="s">
        <v>608</v>
      </c>
      <c r="G150" s="15" t="s">
        <v>232</v>
      </c>
      <c r="H150" s="15" t="s">
        <v>232</v>
      </c>
      <c r="I150" s="13" t="s">
        <v>1031</v>
      </c>
      <c r="J150" s="13" t="s">
        <v>232</v>
      </c>
      <c r="K150" s="13" t="s">
        <v>232</v>
      </c>
      <c r="L150" s="21" t="s">
        <v>234</v>
      </c>
      <c r="M150" s="23" t="s">
        <v>235</v>
      </c>
      <c r="N150" s="16">
        <v>0.0</v>
      </c>
      <c r="O150" s="13" t="s">
        <v>237</v>
      </c>
      <c r="P150" s="24"/>
      <c r="Q150" s="24"/>
      <c r="R150" s="20">
        <f t="shared" si="1"/>
        <v>0</v>
      </c>
      <c r="AA150" s="1" t="str">
        <f t="shared" si="2"/>
        <v>MAQUILLAJE</v>
      </c>
      <c r="AB150" s="1" t="str">
        <f t="shared" si="3"/>
        <v>MAQUILLAJE_</v>
      </c>
    </row>
    <row r="151" ht="19.5" customHeight="1">
      <c r="A151" s="28" t="s">
        <v>1034</v>
      </c>
      <c r="B151" s="28" t="s">
        <v>1035</v>
      </c>
      <c r="C151" s="28" t="s">
        <v>1037</v>
      </c>
      <c r="D151" s="28" t="s">
        <v>541</v>
      </c>
      <c r="E151" s="30" t="s">
        <v>40</v>
      </c>
      <c r="F151" s="30" t="s">
        <v>608</v>
      </c>
      <c r="G151" s="30" t="s">
        <v>232</v>
      </c>
      <c r="H151" s="30" t="s">
        <v>232</v>
      </c>
      <c r="I151" s="28" t="s">
        <v>1037</v>
      </c>
      <c r="J151" s="28" t="s">
        <v>1040</v>
      </c>
      <c r="K151" s="28" t="s">
        <v>232</v>
      </c>
      <c r="L151" s="32" t="s">
        <v>234</v>
      </c>
      <c r="M151" s="33" t="s">
        <v>235</v>
      </c>
      <c r="N151" s="34">
        <v>0.0</v>
      </c>
      <c r="O151" s="28" t="s">
        <v>237</v>
      </c>
      <c r="P151" s="24"/>
      <c r="Q151" s="24"/>
      <c r="R151" s="20">
        <f t="shared" si="1"/>
        <v>0</v>
      </c>
      <c r="AA151" s="1" t="str">
        <f t="shared" si="2"/>
        <v>MAQUILLAJE</v>
      </c>
      <c r="AB151" s="1" t="str">
        <f t="shared" si="3"/>
        <v>MAQUILLAJE_</v>
      </c>
    </row>
    <row r="152" ht="19.5" customHeight="1">
      <c r="A152" s="13" t="s">
        <v>1042</v>
      </c>
      <c r="B152" s="13" t="s">
        <v>232</v>
      </c>
      <c r="C152" s="13" t="s">
        <v>1043</v>
      </c>
      <c r="D152" s="13" t="s">
        <v>541</v>
      </c>
      <c r="E152" s="15" t="s">
        <v>40</v>
      </c>
      <c r="F152" s="15" t="s">
        <v>608</v>
      </c>
      <c r="G152" s="15" t="s">
        <v>232</v>
      </c>
      <c r="H152" s="15" t="s">
        <v>232</v>
      </c>
      <c r="I152" s="13" t="s">
        <v>1043</v>
      </c>
      <c r="J152" s="13" t="s">
        <v>232</v>
      </c>
      <c r="K152" s="13" t="s">
        <v>232</v>
      </c>
      <c r="L152" s="21" t="s">
        <v>234</v>
      </c>
      <c r="M152" s="23" t="s">
        <v>235</v>
      </c>
      <c r="N152" s="16">
        <v>0.0</v>
      </c>
      <c r="O152" s="13" t="s">
        <v>237</v>
      </c>
      <c r="P152" s="24"/>
      <c r="Q152" s="24"/>
      <c r="R152" s="20">
        <f t="shared" si="1"/>
        <v>0</v>
      </c>
      <c r="AA152" s="1" t="str">
        <f t="shared" si="2"/>
        <v>MAQUILLAJE</v>
      </c>
      <c r="AB152" s="1" t="str">
        <f t="shared" si="3"/>
        <v>MAQUILLAJE_</v>
      </c>
    </row>
    <row r="153" ht="19.5" customHeight="1">
      <c r="A153" s="28" t="s">
        <v>1046</v>
      </c>
      <c r="B153" s="28" t="s">
        <v>232</v>
      </c>
      <c r="C153" s="28" t="s">
        <v>1047</v>
      </c>
      <c r="D153" s="28" t="s">
        <v>541</v>
      </c>
      <c r="E153" s="30" t="s">
        <v>40</v>
      </c>
      <c r="F153" s="30" t="s">
        <v>608</v>
      </c>
      <c r="G153" s="30" t="s">
        <v>232</v>
      </c>
      <c r="H153" s="30" t="s">
        <v>232</v>
      </c>
      <c r="I153" s="28" t="s">
        <v>1047</v>
      </c>
      <c r="J153" s="28" t="s">
        <v>1049</v>
      </c>
      <c r="K153" s="28" t="s">
        <v>232</v>
      </c>
      <c r="L153" s="32" t="s">
        <v>234</v>
      </c>
      <c r="M153" s="33" t="s">
        <v>235</v>
      </c>
      <c r="N153" s="34">
        <v>0.0</v>
      </c>
      <c r="O153" s="28" t="s">
        <v>237</v>
      </c>
      <c r="P153" s="24"/>
      <c r="Q153" s="24"/>
      <c r="R153" s="20">
        <f t="shared" si="1"/>
        <v>0</v>
      </c>
      <c r="AA153" s="1" t="str">
        <f t="shared" si="2"/>
        <v>MAQUILLAJE</v>
      </c>
      <c r="AB153" s="1" t="str">
        <f t="shared" si="3"/>
        <v>MAQUILLAJE_</v>
      </c>
    </row>
    <row r="154" ht="19.5" customHeight="1">
      <c r="A154" s="13" t="s">
        <v>1051</v>
      </c>
      <c r="B154" s="13" t="s">
        <v>232</v>
      </c>
      <c r="C154" s="13" t="s">
        <v>1052</v>
      </c>
      <c r="D154" s="13" t="s">
        <v>541</v>
      </c>
      <c r="E154" s="15" t="s">
        <v>40</v>
      </c>
      <c r="F154" s="15" t="s">
        <v>608</v>
      </c>
      <c r="G154" s="15" t="s">
        <v>232</v>
      </c>
      <c r="H154" s="15" t="s">
        <v>232</v>
      </c>
      <c r="I154" s="13" t="s">
        <v>1052</v>
      </c>
      <c r="J154" s="13" t="s">
        <v>232</v>
      </c>
      <c r="K154" s="13" t="s">
        <v>232</v>
      </c>
      <c r="L154" s="21" t="s">
        <v>234</v>
      </c>
      <c r="M154" s="23" t="s">
        <v>235</v>
      </c>
      <c r="N154" s="16">
        <v>0.0</v>
      </c>
      <c r="O154" s="13" t="s">
        <v>237</v>
      </c>
      <c r="P154" s="24"/>
      <c r="Q154" s="24"/>
      <c r="R154" s="20">
        <f t="shared" si="1"/>
        <v>0</v>
      </c>
      <c r="AA154" s="1" t="str">
        <f t="shared" si="2"/>
        <v>MAQUILLAJE</v>
      </c>
      <c r="AB154" s="1" t="str">
        <f t="shared" si="3"/>
        <v>MAQUILLAJE_</v>
      </c>
    </row>
    <row r="155" ht="19.5" customHeight="1">
      <c r="A155" s="28" t="s">
        <v>1054</v>
      </c>
      <c r="B155" s="28" t="s">
        <v>1055</v>
      </c>
      <c r="C155" s="28" t="s">
        <v>1056</v>
      </c>
      <c r="D155" s="28" t="s">
        <v>541</v>
      </c>
      <c r="E155" s="30" t="s">
        <v>40</v>
      </c>
      <c r="F155" s="30" t="s">
        <v>608</v>
      </c>
      <c r="G155" s="30" t="s">
        <v>232</v>
      </c>
      <c r="H155" s="30" t="s">
        <v>232</v>
      </c>
      <c r="I155" s="28" t="s">
        <v>1056</v>
      </c>
      <c r="J155" s="28" t="s">
        <v>232</v>
      </c>
      <c r="K155" s="28" t="s">
        <v>232</v>
      </c>
      <c r="L155" s="32" t="s">
        <v>234</v>
      </c>
      <c r="M155" s="33" t="s">
        <v>235</v>
      </c>
      <c r="N155" s="34">
        <v>0.0</v>
      </c>
      <c r="O155" s="28" t="s">
        <v>237</v>
      </c>
      <c r="P155" s="24"/>
      <c r="Q155" s="24"/>
      <c r="R155" s="20">
        <f t="shared" si="1"/>
        <v>0</v>
      </c>
      <c r="AA155" s="1" t="str">
        <f t="shared" si="2"/>
        <v>MAQUILLAJE</v>
      </c>
      <c r="AB155" s="1" t="str">
        <f t="shared" si="3"/>
        <v>MAQUILLAJE_</v>
      </c>
    </row>
    <row r="156" ht="19.5" customHeight="1">
      <c r="A156" s="13" t="s">
        <v>1059</v>
      </c>
      <c r="B156" s="13" t="s">
        <v>1060</v>
      </c>
      <c r="C156" s="13" t="s">
        <v>1061</v>
      </c>
      <c r="D156" s="13" t="s">
        <v>541</v>
      </c>
      <c r="E156" s="15" t="s">
        <v>40</v>
      </c>
      <c r="F156" s="15" t="s">
        <v>608</v>
      </c>
      <c r="G156" s="15" t="s">
        <v>232</v>
      </c>
      <c r="H156" s="15" t="s">
        <v>232</v>
      </c>
      <c r="I156" s="13" t="s">
        <v>1061</v>
      </c>
      <c r="J156" s="13" t="s">
        <v>1063</v>
      </c>
      <c r="K156" s="13" t="s">
        <v>232</v>
      </c>
      <c r="L156" s="21" t="s">
        <v>234</v>
      </c>
      <c r="M156" s="23" t="s">
        <v>235</v>
      </c>
      <c r="N156" s="16">
        <v>0.0</v>
      </c>
      <c r="O156" s="13" t="s">
        <v>237</v>
      </c>
      <c r="P156" s="24"/>
      <c r="Q156" s="24"/>
      <c r="R156" s="20">
        <f t="shared" si="1"/>
        <v>0</v>
      </c>
      <c r="AA156" s="1" t="str">
        <f t="shared" si="2"/>
        <v>MAQUILLAJE</v>
      </c>
      <c r="AB156" s="1" t="str">
        <f t="shared" si="3"/>
        <v>MAQUILLAJE_</v>
      </c>
    </row>
    <row r="157" ht="19.5" customHeight="1">
      <c r="A157" s="28" t="s">
        <v>1065</v>
      </c>
      <c r="B157" s="28" t="s">
        <v>1066</v>
      </c>
      <c r="C157" s="28" t="s">
        <v>1067</v>
      </c>
      <c r="D157" s="28" t="s">
        <v>541</v>
      </c>
      <c r="E157" s="30" t="s">
        <v>40</v>
      </c>
      <c r="F157" s="30" t="s">
        <v>608</v>
      </c>
      <c r="G157" s="30" t="s">
        <v>232</v>
      </c>
      <c r="H157" s="30" t="s">
        <v>232</v>
      </c>
      <c r="I157" s="28" t="s">
        <v>1067</v>
      </c>
      <c r="J157" s="28" t="s">
        <v>1070</v>
      </c>
      <c r="K157" s="28" t="s">
        <v>232</v>
      </c>
      <c r="L157" s="32" t="s">
        <v>234</v>
      </c>
      <c r="M157" s="33" t="s">
        <v>235</v>
      </c>
      <c r="N157" s="34">
        <v>0.0</v>
      </c>
      <c r="O157" s="28" t="s">
        <v>237</v>
      </c>
      <c r="P157" s="24"/>
      <c r="Q157" s="24"/>
      <c r="R157" s="20">
        <f t="shared" si="1"/>
        <v>0</v>
      </c>
      <c r="AA157" s="1" t="str">
        <f t="shared" si="2"/>
        <v>MAQUILLAJE</v>
      </c>
      <c r="AB157" s="1" t="str">
        <f t="shared" si="3"/>
        <v>MAQUILLAJE_</v>
      </c>
    </row>
    <row r="158" ht="19.5" customHeight="1">
      <c r="A158" s="13" t="s">
        <v>1073</v>
      </c>
      <c r="B158" s="13" t="s">
        <v>1074</v>
      </c>
      <c r="C158" s="13" t="s">
        <v>1075</v>
      </c>
      <c r="D158" s="13" t="s">
        <v>541</v>
      </c>
      <c r="E158" s="15" t="s">
        <v>40</v>
      </c>
      <c r="F158" s="15" t="s">
        <v>608</v>
      </c>
      <c r="G158" s="15" t="s">
        <v>232</v>
      </c>
      <c r="H158" s="15" t="s">
        <v>232</v>
      </c>
      <c r="I158" s="13" t="s">
        <v>1075</v>
      </c>
      <c r="J158" s="13" t="s">
        <v>232</v>
      </c>
      <c r="K158" s="13" t="s">
        <v>232</v>
      </c>
      <c r="L158" s="21" t="s">
        <v>234</v>
      </c>
      <c r="M158" s="23" t="s">
        <v>235</v>
      </c>
      <c r="N158" s="16">
        <v>0.0</v>
      </c>
      <c r="O158" s="13" t="s">
        <v>237</v>
      </c>
      <c r="P158" s="24"/>
      <c r="Q158" s="24"/>
      <c r="R158" s="20">
        <f t="shared" si="1"/>
        <v>0</v>
      </c>
      <c r="AA158" s="1" t="str">
        <f t="shared" si="2"/>
        <v>MAQUILLAJE</v>
      </c>
      <c r="AB158" s="1" t="str">
        <f t="shared" si="3"/>
        <v>MAQUILLAJE_</v>
      </c>
    </row>
    <row r="159" ht="19.5" customHeight="1">
      <c r="A159" s="28" t="s">
        <v>1077</v>
      </c>
      <c r="B159" s="28" t="s">
        <v>1078</v>
      </c>
      <c r="C159" s="28" t="s">
        <v>1080</v>
      </c>
      <c r="D159" s="28" t="s">
        <v>541</v>
      </c>
      <c r="E159" s="30" t="s">
        <v>40</v>
      </c>
      <c r="F159" s="30" t="s">
        <v>608</v>
      </c>
      <c r="G159" s="30" t="s">
        <v>232</v>
      </c>
      <c r="H159" s="30" t="s">
        <v>232</v>
      </c>
      <c r="I159" s="28" t="s">
        <v>1080</v>
      </c>
      <c r="J159" s="28" t="s">
        <v>1081</v>
      </c>
      <c r="K159" s="28" t="s">
        <v>232</v>
      </c>
      <c r="L159" s="32" t="s">
        <v>234</v>
      </c>
      <c r="M159" s="33" t="s">
        <v>235</v>
      </c>
      <c r="N159" s="34">
        <v>0.0</v>
      </c>
      <c r="O159" s="28" t="s">
        <v>237</v>
      </c>
      <c r="P159" s="24"/>
      <c r="Q159" s="24"/>
      <c r="R159" s="20">
        <f t="shared" si="1"/>
        <v>0</v>
      </c>
      <c r="AA159" s="1" t="str">
        <f t="shared" si="2"/>
        <v>MAQUILLAJE</v>
      </c>
      <c r="AB159" s="1" t="str">
        <f t="shared" si="3"/>
        <v>MAQUILLAJE_</v>
      </c>
    </row>
    <row r="160" ht="19.5" customHeight="1">
      <c r="A160" s="13" t="s">
        <v>1084</v>
      </c>
      <c r="B160" s="13" t="s">
        <v>1085</v>
      </c>
      <c r="C160" s="13" t="s">
        <v>1086</v>
      </c>
      <c r="D160" s="13" t="s">
        <v>541</v>
      </c>
      <c r="E160" s="15" t="s">
        <v>40</v>
      </c>
      <c r="F160" s="15" t="s">
        <v>608</v>
      </c>
      <c r="G160" s="15" t="s">
        <v>232</v>
      </c>
      <c r="H160" s="15" t="s">
        <v>232</v>
      </c>
      <c r="I160" s="13" t="s">
        <v>1086</v>
      </c>
      <c r="J160" s="13" t="s">
        <v>232</v>
      </c>
      <c r="K160" s="13" t="s">
        <v>232</v>
      </c>
      <c r="L160" s="21" t="s">
        <v>234</v>
      </c>
      <c r="M160" s="23" t="s">
        <v>235</v>
      </c>
      <c r="N160" s="16">
        <v>0.0</v>
      </c>
      <c r="O160" s="13" t="s">
        <v>237</v>
      </c>
      <c r="P160" s="24"/>
      <c r="Q160" s="24"/>
      <c r="R160" s="20">
        <f t="shared" si="1"/>
        <v>0</v>
      </c>
      <c r="AA160" s="1" t="str">
        <f t="shared" si="2"/>
        <v>MAQUILLAJE</v>
      </c>
      <c r="AB160" s="1" t="str">
        <f t="shared" si="3"/>
        <v>MAQUILLAJE_</v>
      </c>
    </row>
    <row r="161" ht="19.5" customHeight="1">
      <c r="A161" s="28" t="s">
        <v>1090</v>
      </c>
      <c r="B161" s="28" t="s">
        <v>1091</v>
      </c>
      <c r="C161" s="28" t="s">
        <v>1092</v>
      </c>
      <c r="D161" s="28" t="s">
        <v>541</v>
      </c>
      <c r="E161" s="30" t="s">
        <v>40</v>
      </c>
      <c r="F161" s="30" t="s">
        <v>608</v>
      </c>
      <c r="G161" s="30" t="s">
        <v>232</v>
      </c>
      <c r="H161" s="30" t="s">
        <v>232</v>
      </c>
      <c r="I161" s="28" t="s">
        <v>1092</v>
      </c>
      <c r="J161" s="28" t="s">
        <v>232</v>
      </c>
      <c r="K161" s="28" t="s">
        <v>232</v>
      </c>
      <c r="L161" s="32" t="s">
        <v>234</v>
      </c>
      <c r="M161" s="33" t="s">
        <v>235</v>
      </c>
      <c r="N161" s="34">
        <v>0.0</v>
      </c>
      <c r="O161" s="28" t="s">
        <v>237</v>
      </c>
      <c r="P161" s="24"/>
      <c r="Q161" s="24"/>
      <c r="R161" s="20">
        <f t="shared" si="1"/>
        <v>0</v>
      </c>
      <c r="AA161" s="1" t="str">
        <f t="shared" si="2"/>
        <v>MAQUILLAJE</v>
      </c>
      <c r="AB161" s="1" t="str">
        <f t="shared" si="3"/>
        <v>MAQUILLAJE_</v>
      </c>
    </row>
    <row r="162" ht="19.5" customHeight="1">
      <c r="A162" s="13" t="s">
        <v>1095</v>
      </c>
      <c r="B162" s="13" t="s">
        <v>1096</v>
      </c>
      <c r="C162" s="13" t="s">
        <v>1097</v>
      </c>
      <c r="D162" s="13" t="s">
        <v>541</v>
      </c>
      <c r="E162" s="15" t="s">
        <v>40</v>
      </c>
      <c r="F162" s="15" t="s">
        <v>608</v>
      </c>
      <c r="G162" s="15" t="s">
        <v>232</v>
      </c>
      <c r="H162" s="15" t="s">
        <v>232</v>
      </c>
      <c r="I162" s="13" t="s">
        <v>1097</v>
      </c>
      <c r="J162" s="13" t="s">
        <v>1099</v>
      </c>
      <c r="K162" s="13" t="s">
        <v>232</v>
      </c>
      <c r="L162" s="21" t="s">
        <v>234</v>
      </c>
      <c r="M162" s="23" t="s">
        <v>235</v>
      </c>
      <c r="N162" s="16">
        <v>0.0</v>
      </c>
      <c r="O162" s="13" t="s">
        <v>237</v>
      </c>
      <c r="P162" s="24"/>
      <c r="Q162" s="24"/>
      <c r="R162" s="20">
        <f t="shared" si="1"/>
        <v>0</v>
      </c>
      <c r="AA162" s="1" t="str">
        <f t="shared" si="2"/>
        <v>MAQUILLAJE</v>
      </c>
      <c r="AB162" s="1" t="str">
        <f t="shared" si="3"/>
        <v>MAQUILLAJE_</v>
      </c>
    </row>
    <row r="163" ht="19.5" customHeight="1">
      <c r="A163" s="28" t="s">
        <v>1101</v>
      </c>
      <c r="B163" s="28" t="s">
        <v>1102</v>
      </c>
      <c r="C163" s="28" t="s">
        <v>1103</v>
      </c>
      <c r="D163" s="28" t="s">
        <v>541</v>
      </c>
      <c r="E163" s="30" t="s">
        <v>40</v>
      </c>
      <c r="F163" s="30" t="s">
        <v>608</v>
      </c>
      <c r="G163" s="30" t="s">
        <v>232</v>
      </c>
      <c r="H163" s="30" t="s">
        <v>232</v>
      </c>
      <c r="I163" s="28" t="s">
        <v>1103</v>
      </c>
      <c r="J163" s="28" t="s">
        <v>232</v>
      </c>
      <c r="K163" s="28" t="s">
        <v>232</v>
      </c>
      <c r="L163" s="32" t="s">
        <v>234</v>
      </c>
      <c r="M163" s="33" t="s">
        <v>235</v>
      </c>
      <c r="N163" s="34">
        <v>0.0</v>
      </c>
      <c r="O163" s="28" t="s">
        <v>237</v>
      </c>
      <c r="P163" s="24"/>
      <c r="Q163" s="24"/>
      <c r="R163" s="20">
        <f t="shared" si="1"/>
        <v>0</v>
      </c>
      <c r="AA163" s="1" t="str">
        <f t="shared" si="2"/>
        <v>MAQUILLAJE</v>
      </c>
      <c r="AB163" s="1" t="str">
        <f t="shared" si="3"/>
        <v>MAQUILLAJE_</v>
      </c>
    </row>
    <row r="164" ht="19.5" customHeight="1">
      <c r="A164" s="13" t="s">
        <v>1106</v>
      </c>
      <c r="B164" s="13" t="s">
        <v>232</v>
      </c>
      <c r="C164" s="13" t="s">
        <v>1107</v>
      </c>
      <c r="D164" s="13" t="s">
        <v>541</v>
      </c>
      <c r="E164" s="15" t="s">
        <v>40</v>
      </c>
      <c r="F164" s="15" t="s">
        <v>608</v>
      </c>
      <c r="G164" s="15" t="s">
        <v>232</v>
      </c>
      <c r="H164" s="15" t="s">
        <v>232</v>
      </c>
      <c r="I164" s="13" t="s">
        <v>1107</v>
      </c>
      <c r="J164" s="13" t="s">
        <v>232</v>
      </c>
      <c r="K164" s="13" t="s">
        <v>232</v>
      </c>
      <c r="L164" s="21" t="s">
        <v>234</v>
      </c>
      <c r="M164" s="23" t="s">
        <v>235</v>
      </c>
      <c r="N164" s="16">
        <v>0.0</v>
      </c>
      <c r="O164" s="13" t="s">
        <v>237</v>
      </c>
      <c r="P164" s="24"/>
      <c r="Q164" s="24"/>
      <c r="R164" s="20">
        <f t="shared" si="1"/>
        <v>0</v>
      </c>
      <c r="AA164" s="1" t="str">
        <f t="shared" si="2"/>
        <v>MAQUILLAJE</v>
      </c>
      <c r="AB164" s="1" t="str">
        <f t="shared" si="3"/>
        <v>MAQUILLAJE_</v>
      </c>
    </row>
    <row r="165" ht="19.5" customHeight="1">
      <c r="A165" s="28" t="s">
        <v>1110</v>
      </c>
      <c r="B165" s="28" t="s">
        <v>232</v>
      </c>
      <c r="C165" s="28" t="s">
        <v>1111</v>
      </c>
      <c r="D165" s="28" t="s">
        <v>541</v>
      </c>
      <c r="E165" s="30" t="s">
        <v>40</v>
      </c>
      <c r="F165" s="30" t="s">
        <v>608</v>
      </c>
      <c r="G165" s="30" t="s">
        <v>232</v>
      </c>
      <c r="H165" s="30" t="s">
        <v>232</v>
      </c>
      <c r="I165" s="28" t="s">
        <v>1111</v>
      </c>
      <c r="J165" s="28" t="s">
        <v>232</v>
      </c>
      <c r="K165" s="28" t="s">
        <v>232</v>
      </c>
      <c r="L165" s="32" t="s">
        <v>234</v>
      </c>
      <c r="M165" s="33" t="s">
        <v>235</v>
      </c>
      <c r="N165" s="34">
        <v>0.0</v>
      </c>
      <c r="O165" s="28" t="s">
        <v>237</v>
      </c>
      <c r="P165" s="24"/>
      <c r="Q165" s="24"/>
      <c r="R165" s="20">
        <f t="shared" si="1"/>
        <v>0</v>
      </c>
      <c r="AA165" s="1" t="str">
        <f t="shared" si="2"/>
        <v>MAQUILLAJE</v>
      </c>
      <c r="AB165" s="1" t="str">
        <f t="shared" si="3"/>
        <v>MAQUILLAJE_</v>
      </c>
    </row>
    <row r="166" ht="19.5" customHeight="1">
      <c r="A166" s="13" t="s">
        <v>1114</v>
      </c>
      <c r="B166" s="13" t="s">
        <v>1115</v>
      </c>
      <c r="C166" s="13" t="s">
        <v>1116</v>
      </c>
      <c r="D166" s="13" t="s">
        <v>541</v>
      </c>
      <c r="E166" s="15" t="s">
        <v>40</v>
      </c>
      <c r="F166" s="15" t="s">
        <v>608</v>
      </c>
      <c r="G166" s="15" t="s">
        <v>232</v>
      </c>
      <c r="H166" s="15" t="s">
        <v>232</v>
      </c>
      <c r="I166" s="13" t="s">
        <v>1116</v>
      </c>
      <c r="J166" s="13" t="s">
        <v>1119</v>
      </c>
      <c r="K166" s="13" t="s">
        <v>232</v>
      </c>
      <c r="L166" s="21" t="s">
        <v>234</v>
      </c>
      <c r="M166" s="23" t="s">
        <v>235</v>
      </c>
      <c r="N166" s="16">
        <v>0.0</v>
      </c>
      <c r="O166" s="13" t="s">
        <v>237</v>
      </c>
      <c r="P166" s="24"/>
      <c r="Q166" s="24"/>
      <c r="R166" s="20">
        <f t="shared" si="1"/>
        <v>0</v>
      </c>
      <c r="AA166" s="1" t="str">
        <f t="shared" si="2"/>
        <v>MAQUILLAJE</v>
      </c>
      <c r="AB166" s="1" t="str">
        <f t="shared" si="3"/>
        <v>MAQUILLAJE_</v>
      </c>
    </row>
    <row r="167" ht="19.5" customHeight="1">
      <c r="A167" s="28" t="s">
        <v>1121</v>
      </c>
      <c r="B167" s="28" t="s">
        <v>1122</v>
      </c>
      <c r="C167" s="28" t="s">
        <v>1123</v>
      </c>
      <c r="D167" s="28" t="s">
        <v>541</v>
      </c>
      <c r="E167" s="30" t="s">
        <v>40</v>
      </c>
      <c r="F167" s="30" t="s">
        <v>608</v>
      </c>
      <c r="G167" s="30" t="s">
        <v>232</v>
      </c>
      <c r="H167" s="30" t="s">
        <v>232</v>
      </c>
      <c r="I167" s="28" t="s">
        <v>1123</v>
      </c>
      <c r="J167" s="28" t="s">
        <v>232</v>
      </c>
      <c r="K167" s="28" t="s">
        <v>232</v>
      </c>
      <c r="L167" s="32" t="s">
        <v>234</v>
      </c>
      <c r="M167" s="33" t="s">
        <v>235</v>
      </c>
      <c r="N167" s="34">
        <v>0.0</v>
      </c>
      <c r="O167" s="28" t="s">
        <v>237</v>
      </c>
      <c r="P167" s="24"/>
      <c r="Q167" s="24"/>
      <c r="R167" s="20">
        <f t="shared" si="1"/>
        <v>0</v>
      </c>
      <c r="AA167" s="1" t="str">
        <f t="shared" si="2"/>
        <v>MAQUILLAJE</v>
      </c>
      <c r="AB167" s="1" t="str">
        <f t="shared" si="3"/>
        <v>MAQUILLAJE_</v>
      </c>
    </row>
    <row r="168" ht="19.5" customHeight="1">
      <c r="A168" s="13" t="s">
        <v>1125</v>
      </c>
      <c r="B168" s="13" t="s">
        <v>1126</v>
      </c>
      <c r="C168" s="13" t="s">
        <v>1127</v>
      </c>
      <c r="D168" s="13" t="s">
        <v>541</v>
      </c>
      <c r="E168" s="15" t="s">
        <v>40</v>
      </c>
      <c r="F168" s="15" t="s">
        <v>608</v>
      </c>
      <c r="G168" s="15" t="s">
        <v>232</v>
      </c>
      <c r="H168" s="15" t="s">
        <v>232</v>
      </c>
      <c r="I168" s="13" t="s">
        <v>1127</v>
      </c>
      <c r="J168" s="13" t="s">
        <v>232</v>
      </c>
      <c r="K168" s="13" t="s">
        <v>232</v>
      </c>
      <c r="L168" s="21" t="s">
        <v>234</v>
      </c>
      <c r="M168" s="23" t="s">
        <v>235</v>
      </c>
      <c r="N168" s="16">
        <v>0.0</v>
      </c>
      <c r="O168" s="13" t="s">
        <v>237</v>
      </c>
      <c r="P168" s="24"/>
      <c r="Q168" s="24"/>
      <c r="R168" s="20">
        <f t="shared" si="1"/>
        <v>0</v>
      </c>
      <c r="AA168" s="1" t="str">
        <f t="shared" si="2"/>
        <v>MAQUILLAJE</v>
      </c>
      <c r="AB168" s="1" t="str">
        <f t="shared" si="3"/>
        <v>MAQUILLAJE_</v>
      </c>
    </row>
    <row r="169" ht="19.5" customHeight="1">
      <c r="A169" s="28" t="s">
        <v>1129</v>
      </c>
      <c r="B169" s="28" t="s">
        <v>232</v>
      </c>
      <c r="C169" s="28" t="s">
        <v>1130</v>
      </c>
      <c r="D169" s="28" t="s">
        <v>541</v>
      </c>
      <c r="E169" s="30" t="s">
        <v>40</v>
      </c>
      <c r="F169" s="30" t="s">
        <v>608</v>
      </c>
      <c r="G169" s="30" t="s">
        <v>232</v>
      </c>
      <c r="H169" s="30" t="s">
        <v>232</v>
      </c>
      <c r="I169" s="28" t="s">
        <v>1130</v>
      </c>
      <c r="J169" s="28" t="s">
        <v>232</v>
      </c>
      <c r="K169" s="28" t="s">
        <v>232</v>
      </c>
      <c r="L169" s="32" t="s">
        <v>234</v>
      </c>
      <c r="M169" s="33" t="s">
        <v>235</v>
      </c>
      <c r="N169" s="34">
        <v>0.0</v>
      </c>
      <c r="O169" s="28" t="s">
        <v>237</v>
      </c>
      <c r="P169" s="24"/>
      <c r="Q169" s="24"/>
      <c r="R169" s="20">
        <f t="shared" si="1"/>
        <v>0</v>
      </c>
      <c r="AA169" s="1" t="str">
        <f t="shared" si="2"/>
        <v>MAQUILLAJE</v>
      </c>
      <c r="AB169" s="1" t="str">
        <f t="shared" si="3"/>
        <v>MAQUILLAJE_</v>
      </c>
    </row>
    <row r="170" ht="19.5" customHeight="1">
      <c r="A170" s="13" t="s">
        <v>1132</v>
      </c>
      <c r="B170" s="13" t="s">
        <v>232</v>
      </c>
      <c r="C170" s="13" t="s">
        <v>1133</v>
      </c>
      <c r="D170" s="13" t="s">
        <v>541</v>
      </c>
      <c r="E170" s="15" t="s">
        <v>40</v>
      </c>
      <c r="F170" s="15" t="s">
        <v>608</v>
      </c>
      <c r="G170" s="15" t="s">
        <v>232</v>
      </c>
      <c r="H170" s="15" t="s">
        <v>232</v>
      </c>
      <c r="I170" s="13" t="s">
        <v>1133</v>
      </c>
      <c r="J170" s="13" t="s">
        <v>232</v>
      </c>
      <c r="K170" s="13" t="s">
        <v>232</v>
      </c>
      <c r="L170" s="21" t="s">
        <v>234</v>
      </c>
      <c r="M170" s="23" t="s">
        <v>235</v>
      </c>
      <c r="N170" s="16">
        <v>0.0</v>
      </c>
      <c r="O170" s="13" t="s">
        <v>237</v>
      </c>
      <c r="P170" s="24"/>
      <c r="Q170" s="24"/>
      <c r="R170" s="20">
        <f t="shared" si="1"/>
        <v>0</v>
      </c>
      <c r="AA170" s="1" t="str">
        <f t="shared" si="2"/>
        <v>MAQUILLAJE</v>
      </c>
      <c r="AB170" s="1" t="str">
        <f t="shared" si="3"/>
        <v>MAQUILLAJE_</v>
      </c>
    </row>
    <row r="171" ht="19.5" customHeight="1">
      <c r="A171" s="28" t="s">
        <v>1135</v>
      </c>
      <c r="B171" s="28" t="s">
        <v>232</v>
      </c>
      <c r="C171" s="28" t="s">
        <v>1137</v>
      </c>
      <c r="D171" s="28" t="s">
        <v>541</v>
      </c>
      <c r="E171" s="30" t="s">
        <v>40</v>
      </c>
      <c r="F171" s="30" t="s">
        <v>608</v>
      </c>
      <c r="G171" s="30" t="s">
        <v>232</v>
      </c>
      <c r="H171" s="30" t="s">
        <v>232</v>
      </c>
      <c r="I171" s="28" t="s">
        <v>1137</v>
      </c>
      <c r="J171" s="28" t="s">
        <v>232</v>
      </c>
      <c r="K171" s="28" t="s">
        <v>232</v>
      </c>
      <c r="L171" s="32" t="s">
        <v>234</v>
      </c>
      <c r="M171" s="33" t="s">
        <v>235</v>
      </c>
      <c r="N171" s="34">
        <v>0.0</v>
      </c>
      <c r="O171" s="28" t="s">
        <v>237</v>
      </c>
      <c r="P171" s="24"/>
      <c r="Q171" s="24"/>
      <c r="R171" s="20">
        <f t="shared" si="1"/>
        <v>0</v>
      </c>
      <c r="AA171" s="1" t="str">
        <f t="shared" si="2"/>
        <v>MAQUILLAJE</v>
      </c>
      <c r="AB171" s="1" t="str">
        <f t="shared" si="3"/>
        <v>MAQUILLAJE_</v>
      </c>
    </row>
    <row r="172" ht="19.5" customHeight="1">
      <c r="A172" s="13" t="s">
        <v>1139</v>
      </c>
      <c r="B172" s="13" t="s">
        <v>1140</v>
      </c>
      <c r="C172" s="13" t="s">
        <v>1141</v>
      </c>
      <c r="D172" s="13" t="s">
        <v>541</v>
      </c>
      <c r="E172" s="15" t="s">
        <v>40</v>
      </c>
      <c r="F172" s="15" t="s">
        <v>608</v>
      </c>
      <c r="G172" s="15" t="s">
        <v>232</v>
      </c>
      <c r="H172" s="15" t="s">
        <v>232</v>
      </c>
      <c r="I172" s="13" t="s">
        <v>1141</v>
      </c>
      <c r="J172" s="13" t="s">
        <v>232</v>
      </c>
      <c r="K172" s="13" t="s">
        <v>232</v>
      </c>
      <c r="L172" s="21" t="s">
        <v>234</v>
      </c>
      <c r="M172" s="23" t="s">
        <v>235</v>
      </c>
      <c r="N172" s="16">
        <v>0.0</v>
      </c>
      <c r="O172" s="13" t="s">
        <v>237</v>
      </c>
      <c r="P172" s="24"/>
      <c r="Q172" s="24"/>
      <c r="R172" s="20">
        <f t="shared" si="1"/>
        <v>0</v>
      </c>
      <c r="AA172" s="1" t="str">
        <f t="shared" si="2"/>
        <v>MAQUILLAJE</v>
      </c>
      <c r="AB172" s="1" t="str">
        <f t="shared" si="3"/>
        <v>MAQUILLAJE_</v>
      </c>
    </row>
    <row r="173" ht="19.5" customHeight="1">
      <c r="A173" s="28" t="s">
        <v>1143</v>
      </c>
      <c r="B173" s="28" t="s">
        <v>1144</v>
      </c>
      <c r="C173" s="28" t="s">
        <v>1145</v>
      </c>
      <c r="D173" s="28" t="s">
        <v>541</v>
      </c>
      <c r="E173" s="30" t="s">
        <v>40</v>
      </c>
      <c r="F173" s="30" t="s">
        <v>608</v>
      </c>
      <c r="G173" s="30" t="s">
        <v>232</v>
      </c>
      <c r="H173" s="30" t="s">
        <v>232</v>
      </c>
      <c r="I173" s="28" t="s">
        <v>1145</v>
      </c>
      <c r="J173" s="28" t="s">
        <v>232</v>
      </c>
      <c r="K173" s="28" t="s">
        <v>232</v>
      </c>
      <c r="L173" s="32" t="s">
        <v>234</v>
      </c>
      <c r="M173" s="33" t="s">
        <v>235</v>
      </c>
      <c r="N173" s="34">
        <v>0.0</v>
      </c>
      <c r="O173" s="28" t="s">
        <v>237</v>
      </c>
      <c r="P173" s="24"/>
      <c r="Q173" s="24"/>
      <c r="R173" s="20">
        <f t="shared" si="1"/>
        <v>0</v>
      </c>
      <c r="AA173" s="1" t="str">
        <f t="shared" si="2"/>
        <v>MAQUILLAJE</v>
      </c>
      <c r="AB173" s="1" t="str">
        <f t="shared" si="3"/>
        <v>MAQUILLAJE_</v>
      </c>
    </row>
    <row r="174" ht="19.5" customHeight="1">
      <c r="A174" s="13" t="s">
        <v>1147</v>
      </c>
      <c r="B174" s="13" t="s">
        <v>1148</v>
      </c>
      <c r="C174" s="13" t="s">
        <v>1149</v>
      </c>
      <c r="D174" s="13" t="s">
        <v>541</v>
      </c>
      <c r="E174" s="15" t="s">
        <v>40</v>
      </c>
      <c r="F174" s="15" t="s">
        <v>608</v>
      </c>
      <c r="G174" s="15" t="s">
        <v>232</v>
      </c>
      <c r="H174" s="15" t="s">
        <v>232</v>
      </c>
      <c r="I174" s="13" t="s">
        <v>1149</v>
      </c>
      <c r="J174" s="13" t="s">
        <v>1151</v>
      </c>
      <c r="K174" s="13" t="s">
        <v>232</v>
      </c>
      <c r="L174" s="21" t="s">
        <v>234</v>
      </c>
      <c r="M174" s="23" t="s">
        <v>235</v>
      </c>
      <c r="N174" s="16">
        <v>0.0</v>
      </c>
      <c r="O174" s="13" t="s">
        <v>237</v>
      </c>
      <c r="P174" s="24"/>
      <c r="Q174" s="24"/>
      <c r="R174" s="20">
        <f t="shared" si="1"/>
        <v>0</v>
      </c>
      <c r="AA174" s="1" t="str">
        <f t="shared" si="2"/>
        <v>MAQUILLAJE</v>
      </c>
      <c r="AB174" s="1" t="str">
        <f t="shared" si="3"/>
        <v>MAQUILLAJE_</v>
      </c>
    </row>
    <row r="175" ht="19.5" customHeight="1">
      <c r="A175" s="28" t="s">
        <v>1153</v>
      </c>
      <c r="B175" s="28" t="s">
        <v>1154</v>
      </c>
      <c r="C175" s="28" t="s">
        <v>1155</v>
      </c>
      <c r="D175" s="28" t="s">
        <v>541</v>
      </c>
      <c r="E175" s="30" t="s">
        <v>40</v>
      </c>
      <c r="F175" s="30" t="s">
        <v>608</v>
      </c>
      <c r="G175" s="30" t="s">
        <v>232</v>
      </c>
      <c r="H175" s="30" t="s">
        <v>232</v>
      </c>
      <c r="I175" s="28" t="s">
        <v>1155</v>
      </c>
      <c r="J175" s="28" t="s">
        <v>1158</v>
      </c>
      <c r="K175" s="28" t="s">
        <v>232</v>
      </c>
      <c r="L175" s="32" t="s">
        <v>234</v>
      </c>
      <c r="M175" s="33" t="s">
        <v>235</v>
      </c>
      <c r="N175" s="34">
        <v>0.0</v>
      </c>
      <c r="O175" s="28" t="s">
        <v>237</v>
      </c>
      <c r="P175" s="24"/>
      <c r="Q175" s="24"/>
      <c r="R175" s="20">
        <f t="shared" si="1"/>
        <v>0</v>
      </c>
      <c r="AA175" s="1" t="str">
        <f t="shared" si="2"/>
        <v>MAQUILLAJE</v>
      </c>
      <c r="AB175" s="1" t="str">
        <f t="shared" si="3"/>
        <v>MAQUILLAJE_</v>
      </c>
    </row>
    <row r="176" ht="19.5" customHeight="1">
      <c r="A176" s="13" t="s">
        <v>1160</v>
      </c>
      <c r="B176" s="13" t="s">
        <v>1161</v>
      </c>
      <c r="C176" s="13" t="s">
        <v>1162</v>
      </c>
      <c r="D176" s="13" t="s">
        <v>541</v>
      </c>
      <c r="E176" s="15" t="s">
        <v>40</v>
      </c>
      <c r="F176" s="15" t="s">
        <v>608</v>
      </c>
      <c r="G176" s="15" t="s">
        <v>232</v>
      </c>
      <c r="H176" s="15" t="s">
        <v>232</v>
      </c>
      <c r="I176" s="13" t="s">
        <v>1162</v>
      </c>
      <c r="J176" s="13" t="s">
        <v>1163</v>
      </c>
      <c r="K176" s="13" t="s">
        <v>232</v>
      </c>
      <c r="L176" s="21" t="s">
        <v>234</v>
      </c>
      <c r="M176" s="23" t="s">
        <v>235</v>
      </c>
      <c r="N176" s="16">
        <v>0.0</v>
      </c>
      <c r="O176" s="13" t="s">
        <v>237</v>
      </c>
      <c r="P176" s="24"/>
      <c r="Q176" s="24"/>
      <c r="R176" s="20">
        <f t="shared" si="1"/>
        <v>0</v>
      </c>
      <c r="AA176" s="1" t="str">
        <f t="shared" si="2"/>
        <v>MAQUILLAJE</v>
      </c>
      <c r="AB176" s="1" t="str">
        <f t="shared" si="3"/>
        <v>MAQUILLAJE_</v>
      </c>
    </row>
    <row r="177" ht="19.5" customHeight="1">
      <c r="A177" s="28" t="s">
        <v>1165</v>
      </c>
      <c r="B177" s="28" t="s">
        <v>1166</v>
      </c>
      <c r="C177" s="28" t="s">
        <v>1167</v>
      </c>
      <c r="D177" s="28" t="s">
        <v>541</v>
      </c>
      <c r="E177" s="30" t="s">
        <v>40</v>
      </c>
      <c r="F177" s="30" t="s">
        <v>608</v>
      </c>
      <c r="G177" s="30" t="s">
        <v>232</v>
      </c>
      <c r="H177" s="30" t="s">
        <v>232</v>
      </c>
      <c r="I177" s="28" t="s">
        <v>1167</v>
      </c>
      <c r="J177" s="28" t="s">
        <v>1168</v>
      </c>
      <c r="K177" s="28" t="s">
        <v>232</v>
      </c>
      <c r="L177" s="32" t="s">
        <v>234</v>
      </c>
      <c r="M177" s="33" t="s">
        <v>235</v>
      </c>
      <c r="N177" s="34">
        <v>0.0</v>
      </c>
      <c r="O177" s="28" t="s">
        <v>237</v>
      </c>
      <c r="P177" s="24"/>
      <c r="Q177" s="24"/>
      <c r="R177" s="20">
        <f t="shared" si="1"/>
        <v>0</v>
      </c>
      <c r="AA177" s="1" t="str">
        <f t="shared" si="2"/>
        <v>MAQUILLAJE</v>
      </c>
      <c r="AB177" s="1" t="str">
        <f t="shared" si="3"/>
        <v>MAQUILLAJE_</v>
      </c>
    </row>
    <row r="178" ht="19.5" customHeight="1">
      <c r="A178" s="13" t="s">
        <v>1170</v>
      </c>
      <c r="B178" s="13" t="s">
        <v>1171</v>
      </c>
      <c r="C178" s="13" t="s">
        <v>1172</v>
      </c>
      <c r="D178" s="13" t="s">
        <v>541</v>
      </c>
      <c r="E178" s="15" t="s">
        <v>40</v>
      </c>
      <c r="F178" s="15" t="s">
        <v>608</v>
      </c>
      <c r="G178" s="15" t="s">
        <v>232</v>
      </c>
      <c r="H178" s="15" t="s">
        <v>232</v>
      </c>
      <c r="I178" s="13" t="s">
        <v>1172</v>
      </c>
      <c r="J178" s="13" t="s">
        <v>232</v>
      </c>
      <c r="K178" s="13" t="s">
        <v>232</v>
      </c>
      <c r="L178" s="21" t="s">
        <v>234</v>
      </c>
      <c r="M178" s="23" t="s">
        <v>235</v>
      </c>
      <c r="N178" s="16">
        <v>0.0</v>
      </c>
      <c r="O178" s="13" t="s">
        <v>237</v>
      </c>
      <c r="P178" s="24"/>
      <c r="Q178" s="24"/>
      <c r="R178" s="20">
        <f t="shared" si="1"/>
        <v>0</v>
      </c>
      <c r="AA178" s="1" t="str">
        <f t="shared" si="2"/>
        <v>MAQUILLAJE</v>
      </c>
      <c r="AB178" s="1" t="str">
        <f t="shared" si="3"/>
        <v>MAQUILLAJE_</v>
      </c>
    </row>
    <row r="179" ht="19.5" customHeight="1">
      <c r="A179" s="28" t="s">
        <v>1174</v>
      </c>
      <c r="B179" s="28" t="s">
        <v>1175</v>
      </c>
      <c r="C179" s="28" t="s">
        <v>1176</v>
      </c>
      <c r="D179" s="28" t="s">
        <v>541</v>
      </c>
      <c r="E179" s="30" t="s">
        <v>40</v>
      </c>
      <c r="F179" s="30" t="s">
        <v>608</v>
      </c>
      <c r="G179" s="30" t="s">
        <v>232</v>
      </c>
      <c r="H179" s="30" t="s">
        <v>232</v>
      </c>
      <c r="I179" s="28" t="s">
        <v>1176</v>
      </c>
      <c r="J179" s="28" t="s">
        <v>232</v>
      </c>
      <c r="K179" s="28" t="s">
        <v>232</v>
      </c>
      <c r="L179" s="32" t="s">
        <v>234</v>
      </c>
      <c r="M179" s="33" t="s">
        <v>235</v>
      </c>
      <c r="N179" s="34">
        <v>0.0</v>
      </c>
      <c r="O179" s="28" t="s">
        <v>237</v>
      </c>
      <c r="P179" s="24"/>
      <c r="Q179" s="24"/>
      <c r="R179" s="20">
        <f t="shared" si="1"/>
        <v>0</v>
      </c>
      <c r="AA179" s="1" t="str">
        <f t="shared" si="2"/>
        <v>MAQUILLAJE</v>
      </c>
      <c r="AB179" s="1" t="str">
        <f t="shared" si="3"/>
        <v>MAQUILLAJE_</v>
      </c>
    </row>
    <row r="180" ht="19.5" customHeight="1">
      <c r="A180" s="13" t="s">
        <v>1178</v>
      </c>
      <c r="B180" s="13" t="s">
        <v>1180</v>
      </c>
      <c r="C180" s="13" t="s">
        <v>1181</v>
      </c>
      <c r="D180" s="13" t="s">
        <v>541</v>
      </c>
      <c r="E180" s="15" t="s">
        <v>40</v>
      </c>
      <c r="F180" s="15" t="s">
        <v>608</v>
      </c>
      <c r="G180" s="15" t="s">
        <v>232</v>
      </c>
      <c r="H180" s="15" t="s">
        <v>232</v>
      </c>
      <c r="I180" s="13" t="s">
        <v>1181</v>
      </c>
      <c r="J180" s="13" t="s">
        <v>1182</v>
      </c>
      <c r="K180" s="13" t="s">
        <v>232</v>
      </c>
      <c r="L180" s="21" t="s">
        <v>234</v>
      </c>
      <c r="M180" s="23" t="s">
        <v>235</v>
      </c>
      <c r="N180" s="16">
        <v>0.0</v>
      </c>
      <c r="O180" s="13" t="s">
        <v>237</v>
      </c>
      <c r="P180" s="24"/>
      <c r="Q180" s="24"/>
      <c r="R180" s="20">
        <f t="shared" si="1"/>
        <v>0</v>
      </c>
      <c r="AA180" s="1" t="str">
        <f t="shared" si="2"/>
        <v>MAQUILLAJE</v>
      </c>
      <c r="AB180" s="1" t="str">
        <f t="shared" si="3"/>
        <v>MAQUILLAJE_</v>
      </c>
    </row>
    <row r="181" ht="19.5" customHeight="1">
      <c r="A181" s="28" t="s">
        <v>1184</v>
      </c>
      <c r="B181" s="28" t="s">
        <v>232</v>
      </c>
      <c r="C181" s="28" t="s">
        <v>1185</v>
      </c>
      <c r="D181" s="28" t="s">
        <v>541</v>
      </c>
      <c r="E181" s="30" t="s">
        <v>40</v>
      </c>
      <c r="F181" s="30" t="s">
        <v>608</v>
      </c>
      <c r="G181" s="30" t="s">
        <v>232</v>
      </c>
      <c r="H181" s="30" t="s">
        <v>232</v>
      </c>
      <c r="I181" s="28" t="s">
        <v>1185</v>
      </c>
      <c r="J181" s="28" t="s">
        <v>232</v>
      </c>
      <c r="K181" s="28" t="s">
        <v>232</v>
      </c>
      <c r="L181" s="32" t="s">
        <v>234</v>
      </c>
      <c r="M181" s="33" t="s">
        <v>235</v>
      </c>
      <c r="N181" s="34">
        <v>0.0</v>
      </c>
      <c r="O181" s="28" t="s">
        <v>237</v>
      </c>
      <c r="P181" s="24"/>
      <c r="Q181" s="24"/>
      <c r="R181" s="20">
        <f t="shared" si="1"/>
        <v>0</v>
      </c>
      <c r="AA181" s="1" t="str">
        <f t="shared" si="2"/>
        <v>MAQUILLAJE</v>
      </c>
      <c r="AB181" s="1" t="str">
        <f t="shared" si="3"/>
        <v>MAQUILLAJE_</v>
      </c>
    </row>
    <row r="182" ht="19.5" customHeight="1">
      <c r="A182" s="13" t="s">
        <v>1189</v>
      </c>
      <c r="B182" s="13" t="s">
        <v>232</v>
      </c>
      <c r="C182" s="13" t="s">
        <v>1190</v>
      </c>
      <c r="D182" s="13" t="s">
        <v>541</v>
      </c>
      <c r="E182" s="15" t="s">
        <v>40</v>
      </c>
      <c r="F182" s="15" t="s">
        <v>608</v>
      </c>
      <c r="G182" s="15" t="s">
        <v>232</v>
      </c>
      <c r="H182" s="15" t="s">
        <v>232</v>
      </c>
      <c r="I182" s="13" t="s">
        <v>1190</v>
      </c>
      <c r="J182" s="13" t="s">
        <v>232</v>
      </c>
      <c r="K182" s="13" t="s">
        <v>232</v>
      </c>
      <c r="L182" s="21" t="s">
        <v>234</v>
      </c>
      <c r="M182" s="23" t="s">
        <v>235</v>
      </c>
      <c r="N182" s="16">
        <v>0.0</v>
      </c>
      <c r="O182" s="13" t="s">
        <v>237</v>
      </c>
      <c r="P182" s="24"/>
      <c r="Q182" s="24"/>
      <c r="R182" s="20">
        <f t="shared" si="1"/>
        <v>0</v>
      </c>
      <c r="AA182" s="1" t="str">
        <f t="shared" si="2"/>
        <v>MAQUILLAJE</v>
      </c>
      <c r="AB182" s="1" t="str">
        <f t="shared" si="3"/>
        <v>MAQUILLAJE_</v>
      </c>
    </row>
    <row r="183" ht="19.5" customHeight="1">
      <c r="A183" s="28" t="s">
        <v>1193</v>
      </c>
      <c r="B183" s="28" t="s">
        <v>1194</v>
      </c>
      <c r="C183" s="28" t="s">
        <v>1195</v>
      </c>
      <c r="D183" s="28" t="s">
        <v>541</v>
      </c>
      <c r="E183" s="30" t="s">
        <v>40</v>
      </c>
      <c r="F183" s="30" t="s">
        <v>608</v>
      </c>
      <c r="G183" s="30" t="s">
        <v>232</v>
      </c>
      <c r="H183" s="30" t="s">
        <v>232</v>
      </c>
      <c r="I183" s="28" t="s">
        <v>1195</v>
      </c>
      <c r="J183" s="28" t="s">
        <v>1197</v>
      </c>
      <c r="K183" s="28" t="s">
        <v>232</v>
      </c>
      <c r="L183" s="32" t="s">
        <v>234</v>
      </c>
      <c r="M183" s="33" t="s">
        <v>235</v>
      </c>
      <c r="N183" s="34">
        <v>0.0</v>
      </c>
      <c r="O183" s="28" t="s">
        <v>237</v>
      </c>
      <c r="P183" s="24"/>
      <c r="Q183" s="24"/>
      <c r="R183" s="20">
        <f t="shared" si="1"/>
        <v>0</v>
      </c>
      <c r="AA183" s="1" t="str">
        <f t="shared" si="2"/>
        <v>MAQUILLAJE</v>
      </c>
      <c r="AB183" s="1" t="str">
        <f t="shared" si="3"/>
        <v>MAQUILLAJE_</v>
      </c>
    </row>
    <row r="184" ht="19.5" customHeight="1">
      <c r="A184" s="13" t="s">
        <v>1198</v>
      </c>
      <c r="B184" s="13" t="s">
        <v>1199</v>
      </c>
      <c r="C184" s="13" t="s">
        <v>1201</v>
      </c>
      <c r="D184" s="13" t="s">
        <v>541</v>
      </c>
      <c r="E184" s="15" t="s">
        <v>40</v>
      </c>
      <c r="F184" s="15" t="s">
        <v>608</v>
      </c>
      <c r="G184" s="15" t="s">
        <v>232</v>
      </c>
      <c r="H184" s="15" t="s">
        <v>232</v>
      </c>
      <c r="I184" s="13" t="s">
        <v>1201</v>
      </c>
      <c r="J184" s="13" t="s">
        <v>232</v>
      </c>
      <c r="K184" s="13" t="s">
        <v>232</v>
      </c>
      <c r="L184" s="21" t="s">
        <v>234</v>
      </c>
      <c r="M184" s="23" t="s">
        <v>235</v>
      </c>
      <c r="N184" s="16">
        <v>0.0</v>
      </c>
      <c r="O184" s="13" t="s">
        <v>237</v>
      </c>
      <c r="P184" s="24"/>
      <c r="Q184" s="24"/>
      <c r="R184" s="20">
        <f t="shared" si="1"/>
        <v>0</v>
      </c>
      <c r="AA184" s="1" t="str">
        <f t="shared" si="2"/>
        <v>MAQUILLAJE</v>
      </c>
      <c r="AB184" s="1" t="str">
        <f t="shared" si="3"/>
        <v>MAQUILLAJE_</v>
      </c>
    </row>
    <row r="185" ht="19.5" customHeight="1">
      <c r="A185" s="28" t="s">
        <v>1204</v>
      </c>
      <c r="B185" s="28" t="s">
        <v>232</v>
      </c>
      <c r="C185" s="28" t="s">
        <v>1205</v>
      </c>
      <c r="D185" s="28" t="s">
        <v>541</v>
      </c>
      <c r="E185" s="30" t="s">
        <v>40</v>
      </c>
      <c r="F185" s="30" t="s">
        <v>608</v>
      </c>
      <c r="G185" s="30" t="s">
        <v>232</v>
      </c>
      <c r="H185" s="30" t="s">
        <v>232</v>
      </c>
      <c r="I185" s="28" t="s">
        <v>1205</v>
      </c>
      <c r="J185" s="28" t="s">
        <v>232</v>
      </c>
      <c r="K185" s="28" t="s">
        <v>232</v>
      </c>
      <c r="L185" s="32" t="s">
        <v>234</v>
      </c>
      <c r="M185" s="33" t="s">
        <v>235</v>
      </c>
      <c r="N185" s="34">
        <v>0.0</v>
      </c>
      <c r="O185" s="28" t="s">
        <v>237</v>
      </c>
      <c r="P185" s="24"/>
      <c r="Q185" s="24"/>
      <c r="R185" s="20">
        <f t="shared" si="1"/>
        <v>0</v>
      </c>
      <c r="AA185" s="1" t="str">
        <f t="shared" si="2"/>
        <v>MAQUILLAJE</v>
      </c>
      <c r="AB185" s="1" t="str">
        <f t="shared" si="3"/>
        <v>MAQUILLAJE_</v>
      </c>
    </row>
    <row r="186" ht="19.5" customHeight="1">
      <c r="A186" s="13" t="s">
        <v>1208</v>
      </c>
      <c r="B186" s="13" t="s">
        <v>232</v>
      </c>
      <c r="C186" s="13" t="s">
        <v>1209</v>
      </c>
      <c r="D186" s="13" t="s">
        <v>541</v>
      </c>
      <c r="E186" s="15" t="s">
        <v>40</v>
      </c>
      <c r="F186" s="15" t="s">
        <v>608</v>
      </c>
      <c r="G186" s="15" t="s">
        <v>232</v>
      </c>
      <c r="H186" s="15" t="s">
        <v>232</v>
      </c>
      <c r="I186" s="13" t="s">
        <v>1209</v>
      </c>
      <c r="J186" s="13" t="s">
        <v>232</v>
      </c>
      <c r="K186" s="13" t="s">
        <v>232</v>
      </c>
      <c r="L186" s="21" t="s">
        <v>234</v>
      </c>
      <c r="M186" s="23" t="s">
        <v>235</v>
      </c>
      <c r="N186" s="16">
        <v>0.0</v>
      </c>
      <c r="O186" s="13" t="s">
        <v>237</v>
      </c>
      <c r="P186" s="24"/>
      <c r="Q186" s="24"/>
      <c r="R186" s="20">
        <f t="shared" si="1"/>
        <v>0</v>
      </c>
      <c r="AA186" s="1" t="str">
        <f t="shared" si="2"/>
        <v>MAQUILLAJE</v>
      </c>
      <c r="AB186" s="1" t="str">
        <f t="shared" si="3"/>
        <v>MAQUILLAJE_</v>
      </c>
    </row>
    <row r="187" ht="19.5" customHeight="1">
      <c r="A187" s="28" t="s">
        <v>1213</v>
      </c>
      <c r="B187" s="28" t="s">
        <v>232</v>
      </c>
      <c r="C187" s="28" t="s">
        <v>1214</v>
      </c>
      <c r="D187" s="28" t="s">
        <v>541</v>
      </c>
      <c r="E187" s="30" t="s">
        <v>40</v>
      </c>
      <c r="F187" s="30" t="s">
        <v>608</v>
      </c>
      <c r="G187" s="30" t="s">
        <v>232</v>
      </c>
      <c r="H187" s="30" t="s">
        <v>232</v>
      </c>
      <c r="I187" s="28" t="s">
        <v>1214</v>
      </c>
      <c r="J187" s="28" t="s">
        <v>232</v>
      </c>
      <c r="K187" s="28" t="s">
        <v>232</v>
      </c>
      <c r="L187" s="32" t="s">
        <v>234</v>
      </c>
      <c r="M187" s="33" t="s">
        <v>235</v>
      </c>
      <c r="N187" s="34">
        <v>0.0</v>
      </c>
      <c r="O187" s="28" t="s">
        <v>237</v>
      </c>
      <c r="P187" s="24"/>
      <c r="Q187" s="24"/>
      <c r="R187" s="20">
        <f t="shared" si="1"/>
        <v>0</v>
      </c>
      <c r="AA187" s="1" t="str">
        <f t="shared" si="2"/>
        <v>MAQUILLAJE</v>
      </c>
      <c r="AB187" s="1" t="str">
        <f t="shared" si="3"/>
        <v>MAQUILLAJE_</v>
      </c>
    </row>
    <row r="188" ht="19.5" customHeight="1">
      <c r="A188" s="13" t="s">
        <v>1217</v>
      </c>
      <c r="B188" s="13" t="s">
        <v>232</v>
      </c>
      <c r="C188" s="13" t="s">
        <v>1218</v>
      </c>
      <c r="D188" s="13" t="s">
        <v>541</v>
      </c>
      <c r="E188" s="15" t="s">
        <v>40</v>
      </c>
      <c r="F188" s="15" t="s">
        <v>608</v>
      </c>
      <c r="G188" s="15" t="s">
        <v>232</v>
      </c>
      <c r="H188" s="15" t="s">
        <v>232</v>
      </c>
      <c r="I188" s="13" t="s">
        <v>1218</v>
      </c>
      <c r="J188" s="13" t="s">
        <v>232</v>
      </c>
      <c r="K188" s="13" t="s">
        <v>232</v>
      </c>
      <c r="L188" s="21" t="s">
        <v>234</v>
      </c>
      <c r="M188" s="23" t="s">
        <v>235</v>
      </c>
      <c r="N188" s="16">
        <v>0.0</v>
      </c>
      <c r="O188" s="13" t="s">
        <v>237</v>
      </c>
      <c r="P188" s="24"/>
      <c r="Q188" s="24"/>
      <c r="R188" s="20">
        <f t="shared" si="1"/>
        <v>0</v>
      </c>
      <c r="AA188" s="1" t="str">
        <f t="shared" si="2"/>
        <v>MAQUILLAJE</v>
      </c>
      <c r="AB188" s="1" t="str">
        <f t="shared" si="3"/>
        <v>MAQUILLAJE_</v>
      </c>
    </row>
    <row r="189" ht="19.5" customHeight="1">
      <c r="A189" s="28" t="s">
        <v>1222</v>
      </c>
      <c r="B189" s="28" t="s">
        <v>1223</v>
      </c>
      <c r="C189" s="28" t="s">
        <v>1224</v>
      </c>
      <c r="D189" s="28" t="s">
        <v>541</v>
      </c>
      <c r="E189" s="30" t="s">
        <v>40</v>
      </c>
      <c r="F189" s="30" t="s">
        <v>854</v>
      </c>
      <c r="G189" s="30" t="s">
        <v>232</v>
      </c>
      <c r="H189" s="30" t="s">
        <v>232</v>
      </c>
      <c r="I189" s="28" t="s">
        <v>1224</v>
      </c>
      <c r="J189" s="28" t="s">
        <v>1226</v>
      </c>
      <c r="K189" s="28" t="s">
        <v>232</v>
      </c>
      <c r="L189" s="32" t="s">
        <v>234</v>
      </c>
      <c r="M189" s="33" t="s">
        <v>235</v>
      </c>
      <c r="N189" s="34">
        <v>0.0</v>
      </c>
      <c r="O189" s="28" t="s">
        <v>237</v>
      </c>
      <c r="P189" s="24"/>
      <c r="Q189" s="24"/>
      <c r="R189" s="20">
        <f t="shared" si="1"/>
        <v>0</v>
      </c>
      <c r="AA189" s="1" t="str">
        <f t="shared" si="2"/>
        <v>ACCESORIOS</v>
      </c>
      <c r="AB189" s="1" t="str">
        <f t="shared" si="3"/>
        <v>ACCESORIOS_</v>
      </c>
    </row>
    <row r="190" ht="19.5" customHeight="1">
      <c r="A190" s="13" t="s">
        <v>1228</v>
      </c>
      <c r="B190" s="13" t="s">
        <v>1229</v>
      </c>
      <c r="C190" s="13" t="s">
        <v>1230</v>
      </c>
      <c r="D190" s="13" t="s">
        <v>541</v>
      </c>
      <c r="E190" s="15" t="s">
        <v>40</v>
      </c>
      <c r="F190" s="15" t="s">
        <v>854</v>
      </c>
      <c r="G190" s="15" t="s">
        <v>232</v>
      </c>
      <c r="H190" s="15" t="s">
        <v>232</v>
      </c>
      <c r="I190" s="13" t="s">
        <v>1230</v>
      </c>
      <c r="J190" s="13" t="s">
        <v>1232</v>
      </c>
      <c r="K190" s="13" t="s">
        <v>232</v>
      </c>
      <c r="L190" s="21" t="s">
        <v>234</v>
      </c>
      <c r="M190" s="23" t="s">
        <v>235</v>
      </c>
      <c r="N190" s="16">
        <v>0.0</v>
      </c>
      <c r="O190" s="13" t="s">
        <v>237</v>
      </c>
      <c r="P190" s="24"/>
      <c r="Q190" s="24"/>
      <c r="R190" s="20">
        <f t="shared" si="1"/>
        <v>0</v>
      </c>
      <c r="AA190" s="1" t="str">
        <f t="shared" si="2"/>
        <v>ACCESORIOS</v>
      </c>
      <c r="AB190" s="1" t="str">
        <f t="shared" si="3"/>
        <v>ACCESORIOS_</v>
      </c>
    </row>
    <row r="191" ht="19.5" customHeight="1">
      <c r="A191" s="28" t="s">
        <v>1235</v>
      </c>
      <c r="B191" s="28" t="s">
        <v>1236</v>
      </c>
      <c r="C191" s="28" t="s">
        <v>1237</v>
      </c>
      <c r="D191" s="28" t="s">
        <v>541</v>
      </c>
      <c r="E191" s="30" t="s">
        <v>40</v>
      </c>
      <c r="F191" s="30" t="s">
        <v>1238</v>
      </c>
      <c r="G191" s="30" t="s">
        <v>232</v>
      </c>
      <c r="H191" s="30" t="s">
        <v>232</v>
      </c>
      <c r="I191" s="28" t="s">
        <v>1237</v>
      </c>
      <c r="J191" s="28" t="s">
        <v>1240</v>
      </c>
      <c r="K191" s="28" t="s">
        <v>232</v>
      </c>
      <c r="L191" s="32" t="s">
        <v>234</v>
      </c>
      <c r="M191" s="33" t="s">
        <v>235</v>
      </c>
      <c r="N191" s="34">
        <v>0.0</v>
      </c>
      <c r="O191" s="28" t="s">
        <v>237</v>
      </c>
      <c r="P191" s="24"/>
      <c r="Q191" s="24"/>
      <c r="R191" s="20">
        <f t="shared" si="1"/>
        <v>0</v>
      </c>
      <c r="AA191" s="1" t="str">
        <f t="shared" si="2"/>
        <v>ACCESORIOS_PERF</v>
      </c>
      <c r="AB191" s="1" t="str">
        <f t="shared" si="3"/>
        <v>ACCESORIOS_PERF_</v>
      </c>
    </row>
    <row r="192" ht="19.5" customHeight="1">
      <c r="A192" s="13" t="s">
        <v>1242</v>
      </c>
      <c r="B192" s="13" t="s">
        <v>232</v>
      </c>
      <c r="C192" s="13" t="s">
        <v>1243</v>
      </c>
      <c r="D192" s="13" t="s">
        <v>541</v>
      </c>
      <c r="E192" s="15" t="s">
        <v>40</v>
      </c>
      <c r="F192" s="15" t="s">
        <v>608</v>
      </c>
      <c r="G192" s="15" t="s">
        <v>232</v>
      </c>
      <c r="H192" s="15" t="s">
        <v>232</v>
      </c>
      <c r="I192" s="13" t="s">
        <v>1243</v>
      </c>
      <c r="J192" s="13" t="s">
        <v>232</v>
      </c>
      <c r="K192" s="13" t="s">
        <v>232</v>
      </c>
      <c r="L192" s="21" t="s">
        <v>234</v>
      </c>
      <c r="M192" s="23" t="s">
        <v>235</v>
      </c>
      <c r="N192" s="16">
        <v>0.0</v>
      </c>
      <c r="O192" s="13" t="s">
        <v>237</v>
      </c>
      <c r="P192" s="24"/>
      <c r="Q192" s="24"/>
      <c r="R192" s="20">
        <f t="shared" si="1"/>
        <v>0</v>
      </c>
      <c r="AA192" s="1" t="str">
        <f t="shared" si="2"/>
        <v>MAQUILLAJE</v>
      </c>
      <c r="AB192" s="1" t="str">
        <f t="shared" si="3"/>
        <v>MAQUILLAJE_</v>
      </c>
    </row>
    <row r="193" ht="19.5" customHeight="1">
      <c r="A193" s="28" t="s">
        <v>1246</v>
      </c>
      <c r="B193" s="28" t="s">
        <v>232</v>
      </c>
      <c r="C193" s="28" t="s">
        <v>1248</v>
      </c>
      <c r="D193" s="28" t="s">
        <v>541</v>
      </c>
      <c r="E193" s="30" t="s">
        <v>40</v>
      </c>
      <c r="F193" s="30" t="s">
        <v>608</v>
      </c>
      <c r="G193" s="30" t="s">
        <v>232</v>
      </c>
      <c r="H193" s="30" t="s">
        <v>232</v>
      </c>
      <c r="I193" s="28" t="s">
        <v>1248</v>
      </c>
      <c r="J193" s="28" t="s">
        <v>232</v>
      </c>
      <c r="K193" s="28" t="s">
        <v>232</v>
      </c>
      <c r="L193" s="32" t="s">
        <v>234</v>
      </c>
      <c r="M193" s="33" t="s">
        <v>235</v>
      </c>
      <c r="N193" s="34">
        <v>0.0</v>
      </c>
      <c r="O193" s="28" t="s">
        <v>237</v>
      </c>
      <c r="P193" s="24"/>
      <c r="Q193" s="24"/>
      <c r="R193" s="20">
        <f t="shared" si="1"/>
        <v>0</v>
      </c>
      <c r="AA193" s="1" t="str">
        <f t="shared" si="2"/>
        <v>MAQUILLAJE</v>
      </c>
      <c r="AB193" s="1" t="str">
        <f t="shared" si="3"/>
        <v>MAQUILLAJE_</v>
      </c>
    </row>
    <row r="194" ht="19.5" customHeight="1">
      <c r="A194" s="13" t="s">
        <v>1251</v>
      </c>
      <c r="B194" s="13" t="s">
        <v>232</v>
      </c>
      <c r="C194" s="13" t="s">
        <v>1252</v>
      </c>
      <c r="D194" s="13" t="s">
        <v>541</v>
      </c>
      <c r="E194" s="15" t="s">
        <v>40</v>
      </c>
      <c r="F194" s="15" t="s">
        <v>608</v>
      </c>
      <c r="G194" s="15" t="s">
        <v>232</v>
      </c>
      <c r="H194" s="15" t="s">
        <v>232</v>
      </c>
      <c r="I194" s="13" t="s">
        <v>1252</v>
      </c>
      <c r="J194" s="13" t="s">
        <v>232</v>
      </c>
      <c r="K194" s="13" t="s">
        <v>232</v>
      </c>
      <c r="L194" s="21" t="s">
        <v>234</v>
      </c>
      <c r="M194" s="23" t="s">
        <v>235</v>
      </c>
      <c r="N194" s="16">
        <v>0.0</v>
      </c>
      <c r="O194" s="13" t="s">
        <v>237</v>
      </c>
      <c r="P194" s="24"/>
      <c r="Q194" s="24"/>
      <c r="R194" s="20">
        <f t="shared" si="1"/>
        <v>0</v>
      </c>
      <c r="AA194" s="1" t="str">
        <f t="shared" si="2"/>
        <v>MAQUILLAJE</v>
      </c>
      <c r="AB194" s="1" t="str">
        <f t="shared" si="3"/>
        <v>MAQUILLAJE_</v>
      </c>
    </row>
    <row r="195" ht="19.5" customHeight="1">
      <c r="A195" s="28" t="s">
        <v>1256</v>
      </c>
      <c r="B195" s="28" t="s">
        <v>232</v>
      </c>
      <c r="C195" s="28" t="s">
        <v>1257</v>
      </c>
      <c r="D195" s="28" t="s">
        <v>541</v>
      </c>
      <c r="E195" s="30" t="s">
        <v>40</v>
      </c>
      <c r="F195" s="30" t="s">
        <v>608</v>
      </c>
      <c r="G195" s="30" t="s">
        <v>232</v>
      </c>
      <c r="H195" s="30" t="s">
        <v>232</v>
      </c>
      <c r="I195" s="28" t="s">
        <v>1257</v>
      </c>
      <c r="J195" s="28" t="s">
        <v>232</v>
      </c>
      <c r="K195" s="28" t="s">
        <v>232</v>
      </c>
      <c r="L195" s="32" t="s">
        <v>234</v>
      </c>
      <c r="M195" s="33" t="s">
        <v>235</v>
      </c>
      <c r="N195" s="34">
        <v>0.0</v>
      </c>
      <c r="O195" s="28" t="s">
        <v>237</v>
      </c>
      <c r="P195" s="24"/>
      <c r="Q195" s="24"/>
      <c r="R195" s="20">
        <f t="shared" si="1"/>
        <v>0</v>
      </c>
      <c r="AA195" s="1" t="str">
        <f t="shared" si="2"/>
        <v>MAQUILLAJE</v>
      </c>
      <c r="AB195" s="1" t="str">
        <f t="shared" si="3"/>
        <v>MAQUILLAJE_</v>
      </c>
    </row>
    <row r="196" ht="19.5" customHeight="1">
      <c r="A196" s="13" t="s">
        <v>1260</v>
      </c>
      <c r="B196" s="13" t="s">
        <v>232</v>
      </c>
      <c r="C196" s="13" t="s">
        <v>1261</v>
      </c>
      <c r="D196" s="13" t="s">
        <v>541</v>
      </c>
      <c r="E196" s="15" t="s">
        <v>40</v>
      </c>
      <c r="F196" s="15" t="s">
        <v>608</v>
      </c>
      <c r="G196" s="15" t="s">
        <v>232</v>
      </c>
      <c r="H196" s="15" t="s">
        <v>232</v>
      </c>
      <c r="I196" s="13" t="s">
        <v>1261</v>
      </c>
      <c r="J196" s="13" t="s">
        <v>232</v>
      </c>
      <c r="K196" s="13" t="s">
        <v>232</v>
      </c>
      <c r="L196" s="21" t="s">
        <v>234</v>
      </c>
      <c r="M196" s="23" t="s">
        <v>235</v>
      </c>
      <c r="N196" s="16">
        <v>0.0</v>
      </c>
      <c r="O196" s="13" t="s">
        <v>237</v>
      </c>
      <c r="P196" s="24"/>
      <c r="Q196" s="24"/>
      <c r="R196" s="20">
        <f t="shared" si="1"/>
        <v>0</v>
      </c>
      <c r="AA196" s="1" t="str">
        <f t="shared" si="2"/>
        <v>MAQUILLAJE</v>
      </c>
      <c r="AB196" s="1" t="str">
        <f t="shared" si="3"/>
        <v>MAQUILLAJE_</v>
      </c>
    </row>
    <row r="197" ht="19.5" customHeight="1">
      <c r="A197" s="28" t="s">
        <v>1263</v>
      </c>
      <c r="B197" s="28" t="s">
        <v>232</v>
      </c>
      <c r="C197" s="28" t="s">
        <v>1265</v>
      </c>
      <c r="D197" s="28" t="s">
        <v>541</v>
      </c>
      <c r="E197" s="30" t="s">
        <v>40</v>
      </c>
      <c r="F197" s="30" t="s">
        <v>608</v>
      </c>
      <c r="G197" s="30" t="s">
        <v>232</v>
      </c>
      <c r="H197" s="30" t="s">
        <v>232</v>
      </c>
      <c r="I197" s="28" t="s">
        <v>1265</v>
      </c>
      <c r="J197" s="28" t="s">
        <v>232</v>
      </c>
      <c r="K197" s="28" t="s">
        <v>232</v>
      </c>
      <c r="L197" s="32" t="s">
        <v>234</v>
      </c>
      <c r="M197" s="33" t="s">
        <v>235</v>
      </c>
      <c r="N197" s="34">
        <v>0.0</v>
      </c>
      <c r="O197" s="28" t="s">
        <v>237</v>
      </c>
      <c r="P197" s="24"/>
      <c r="Q197" s="24"/>
      <c r="R197" s="20">
        <f t="shared" si="1"/>
        <v>0</v>
      </c>
      <c r="AA197" s="1" t="str">
        <f t="shared" si="2"/>
        <v>MAQUILLAJE</v>
      </c>
      <c r="AB197" s="1" t="str">
        <f t="shared" si="3"/>
        <v>MAQUILLAJE_</v>
      </c>
    </row>
    <row r="198" ht="19.5" customHeight="1">
      <c r="A198" s="13" t="s">
        <v>1268</v>
      </c>
      <c r="B198" s="13" t="s">
        <v>232</v>
      </c>
      <c r="C198" s="13" t="s">
        <v>1269</v>
      </c>
      <c r="D198" s="13" t="s">
        <v>541</v>
      </c>
      <c r="E198" s="15" t="s">
        <v>40</v>
      </c>
      <c r="F198" s="15" t="s">
        <v>608</v>
      </c>
      <c r="G198" s="15" t="s">
        <v>232</v>
      </c>
      <c r="H198" s="15" t="s">
        <v>232</v>
      </c>
      <c r="I198" s="13" t="s">
        <v>1269</v>
      </c>
      <c r="J198" s="13" t="s">
        <v>232</v>
      </c>
      <c r="K198" s="13" t="s">
        <v>232</v>
      </c>
      <c r="L198" s="21" t="s">
        <v>234</v>
      </c>
      <c r="M198" s="23" t="s">
        <v>235</v>
      </c>
      <c r="N198" s="16">
        <v>0.0</v>
      </c>
      <c r="O198" s="13" t="s">
        <v>237</v>
      </c>
      <c r="P198" s="24"/>
      <c r="Q198" s="24"/>
      <c r="R198" s="20">
        <f t="shared" si="1"/>
        <v>0</v>
      </c>
      <c r="AA198" s="1" t="str">
        <f t="shared" si="2"/>
        <v>MAQUILLAJE</v>
      </c>
      <c r="AB198" s="1" t="str">
        <f t="shared" si="3"/>
        <v>MAQUILLAJE_</v>
      </c>
    </row>
    <row r="199" ht="19.5" customHeight="1">
      <c r="A199" s="28" t="s">
        <v>1272</v>
      </c>
      <c r="B199" s="28" t="s">
        <v>232</v>
      </c>
      <c r="C199" s="28" t="s">
        <v>1273</v>
      </c>
      <c r="D199" s="28" t="s">
        <v>541</v>
      </c>
      <c r="E199" s="30" t="s">
        <v>40</v>
      </c>
      <c r="F199" s="30" t="s">
        <v>608</v>
      </c>
      <c r="G199" s="30" t="s">
        <v>232</v>
      </c>
      <c r="H199" s="30" t="s">
        <v>232</v>
      </c>
      <c r="I199" s="28" t="s">
        <v>1273</v>
      </c>
      <c r="J199" s="28" t="s">
        <v>232</v>
      </c>
      <c r="K199" s="28" t="s">
        <v>232</v>
      </c>
      <c r="L199" s="32" t="s">
        <v>234</v>
      </c>
      <c r="M199" s="33" t="s">
        <v>235</v>
      </c>
      <c r="N199" s="34">
        <v>0.0</v>
      </c>
      <c r="O199" s="28" t="s">
        <v>237</v>
      </c>
      <c r="P199" s="24"/>
      <c r="Q199" s="24"/>
      <c r="R199" s="20">
        <f t="shared" si="1"/>
        <v>0</v>
      </c>
      <c r="AA199" s="1" t="str">
        <f t="shared" si="2"/>
        <v>MAQUILLAJE</v>
      </c>
      <c r="AB199" s="1" t="str">
        <f t="shared" si="3"/>
        <v>MAQUILLAJE_</v>
      </c>
    </row>
    <row r="200" ht="19.5" customHeight="1">
      <c r="A200" s="13" t="s">
        <v>1276</v>
      </c>
      <c r="B200" s="13" t="s">
        <v>232</v>
      </c>
      <c r="C200" s="13" t="s">
        <v>1278</v>
      </c>
      <c r="D200" s="13" t="s">
        <v>541</v>
      </c>
      <c r="E200" s="15" t="s">
        <v>40</v>
      </c>
      <c r="F200" s="15" t="s">
        <v>608</v>
      </c>
      <c r="G200" s="15" t="s">
        <v>232</v>
      </c>
      <c r="H200" s="15" t="s">
        <v>232</v>
      </c>
      <c r="I200" s="13" t="s">
        <v>1278</v>
      </c>
      <c r="J200" s="13" t="s">
        <v>232</v>
      </c>
      <c r="K200" s="13" t="s">
        <v>232</v>
      </c>
      <c r="L200" s="21" t="s">
        <v>234</v>
      </c>
      <c r="M200" s="23" t="s">
        <v>235</v>
      </c>
      <c r="N200" s="16">
        <v>0.0</v>
      </c>
      <c r="O200" s="13" t="s">
        <v>237</v>
      </c>
      <c r="P200" s="24"/>
      <c r="Q200" s="24"/>
      <c r="R200" s="20">
        <f t="shared" si="1"/>
        <v>0</v>
      </c>
      <c r="AA200" s="1" t="str">
        <f t="shared" si="2"/>
        <v>MAQUILLAJE</v>
      </c>
      <c r="AB200" s="1" t="str">
        <f t="shared" si="3"/>
        <v>MAQUILLAJE_</v>
      </c>
    </row>
    <row r="201" ht="19.5" customHeight="1">
      <c r="A201" s="28" t="s">
        <v>1280</v>
      </c>
      <c r="B201" s="28" t="s">
        <v>1281</v>
      </c>
      <c r="C201" s="28" t="s">
        <v>1282</v>
      </c>
      <c r="D201" s="28" t="s">
        <v>541</v>
      </c>
      <c r="E201" s="30" t="s">
        <v>40</v>
      </c>
      <c r="F201" s="30" t="s">
        <v>608</v>
      </c>
      <c r="G201" s="30" t="s">
        <v>232</v>
      </c>
      <c r="H201" s="30" t="s">
        <v>232</v>
      </c>
      <c r="I201" s="28" t="s">
        <v>1282</v>
      </c>
      <c r="J201" s="28" t="s">
        <v>1284</v>
      </c>
      <c r="K201" s="28" t="s">
        <v>232</v>
      </c>
      <c r="L201" s="32" t="s">
        <v>234</v>
      </c>
      <c r="M201" s="33" t="s">
        <v>235</v>
      </c>
      <c r="N201" s="34">
        <v>0.0</v>
      </c>
      <c r="O201" s="28" t="s">
        <v>237</v>
      </c>
      <c r="P201" s="24"/>
      <c r="Q201" s="24"/>
      <c r="R201" s="20">
        <f t="shared" si="1"/>
        <v>0</v>
      </c>
      <c r="AA201" s="1" t="str">
        <f t="shared" si="2"/>
        <v>MAQUILLAJE</v>
      </c>
      <c r="AB201" s="1" t="str">
        <f t="shared" si="3"/>
        <v>MAQUILLAJE_</v>
      </c>
    </row>
    <row r="202" ht="19.5" customHeight="1">
      <c r="A202" s="13" t="s">
        <v>1286</v>
      </c>
      <c r="B202" s="13" t="s">
        <v>1288</v>
      </c>
      <c r="C202" s="13" t="s">
        <v>1289</v>
      </c>
      <c r="D202" s="13" t="s">
        <v>541</v>
      </c>
      <c r="E202" s="15" t="s">
        <v>40</v>
      </c>
      <c r="F202" s="15" t="s">
        <v>608</v>
      </c>
      <c r="G202" s="15" t="s">
        <v>232</v>
      </c>
      <c r="H202" s="15" t="s">
        <v>232</v>
      </c>
      <c r="I202" s="13" t="s">
        <v>1289</v>
      </c>
      <c r="J202" s="13" t="s">
        <v>232</v>
      </c>
      <c r="K202" s="13" t="s">
        <v>232</v>
      </c>
      <c r="L202" s="21" t="s">
        <v>234</v>
      </c>
      <c r="M202" s="23" t="s">
        <v>235</v>
      </c>
      <c r="N202" s="16">
        <v>0.0</v>
      </c>
      <c r="O202" s="13" t="s">
        <v>237</v>
      </c>
      <c r="P202" s="24"/>
      <c r="Q202" s="24"/>
      <c r="R202" s="20">
        <f t="shared" si="1"/>
        <v>0</v>
      </c>
      <c r="AA202" s="1" t="str">
        <f t="shared" si="2"/>
        <v>MAQUILLAJE</v>
      </c>
      <c r="AB202" s="1" t="str">
        <f t="shared" si="3"/>
        <v>MAQUILLAJE_</v>
      </c>
    </row>
    <row r="203" ht="19.5" customHeight="1">
      <c r="A203" s="28" t="s">
        <v>1292</v>
      </c>
      <c r="B203" s="28" t="s">
        <v>1293</v>
      </c>
      <c r="C203" s="28" t="s">
        <v>1294</v>
      </c>
      <c r="D203" s="28" t="s">
        <v>541</v>
      </c>
      <c r="E203" s="30" t="s">
        <v>40</v>
      </c>
      <c r="F203" s="30" t="s">
        <v>608</v>
      </c>
      <c r="G203" s="30" t="s">
        <v>232</v>
      </c>
      <c r="H203" s="30" t="s">
        <v>232</v>
      </c>
      <c r="I203" s="28" t="s">
        <v>1294</v>
      </c>
      <c r="J203" s="28" t="s">
        <v>232</v>
      </c>
      <c r="K203" s="28" t="s">
        <v>232</v>
      </c>
      <c r="L203" s="32" t="s">
        <v>234</v>
      </c>
      <c r="M203" s="33" t="s">
        <v>235</v>
      </c>
      <c r="N203" s="34">
        <v>0.0</v>
      </c>
      <c r="O203" s="28" t="s">
        <v>237</v>
      </c>
      <c r="P203" s="24"/>
      <c r="Q203" s="24"/>
      <c r="R203" s="20">
        <f t="shared" si="1"/>
        <v>0</v>
      </c>
      <c r="AA203" s="1" t="str">
        <f t="shared" si="2"/>
        <v>MAQUILLAJE</v>
      </c>
      <c r="AB203" s="1" t="str">
        <f t="shared" si="3"/>
        <v>MAQUILLAJE_</v>
      </c>
    </row>
    <row r="204" ht="19.5" customHeight="1">
      <c r="A204" s="13" t="s">
        <v>1297</v>
      </c>
      <c r="B204" s="13" t="s">
        <v>1298</v>
      </c>
      <c r="C204" s="13" t="s">
        <v>1300</v>
      </c>
      <c r="D204" s="13" t="s">
        <v>541</v>
      </c>
      <c r="E204" s="15" t="s">
        <v>40</v>
      </c>
      <c r="F204" s="15" t="s">
        <v>608</v>
      </c>
      <c r="G204" s="15" t="s">
        <v>232</v>
      </c>
      <c r="H204" s="15" t="s">
        <v>232</v>
      </c>
      <c r="I204" s="13" t="s">
        <v>1300</v>
      </c>
      <c r="J204" s="13" t="s">
        <v>232</v>
      </c>
      <c r="K204" s="13" t="s">
        <v>232</v>
      </c>
      <c r="L204" s="21" t="s">
        <v>234</v>
      </c>
      <c r="M204" s="23" t="s">
        <v>235</v>
      </c>
      <c r="N204" s="16">
        <v>0.0</v>
      </c>
      <c r="O204" s="13" t="s">
        <v>237</v>
      </c>
      <c r="P204" s="24"/>
      <c r="Q204" s="24"/>
      <c r="R204" s="20">
        <f t="shared" si="1"/>
        <v>0</v>
      </c>
      <c r="AA204" s="1" t="str">
        <f t="shared" si="2"/>
        <v>MAQUILLAJE</v>
      </c>
      <c r="AB204" s="1" t="str">
        <f t="shared" si="3"/>
        <v>MAQUILLAJE_</v>
      </c>
    </row>
    <row r="205" ht="19.5" customHeight="1">
      <c r="A205" s="28" t="s">
        <v>1302</v>
      </c>
      <c r="B205" s="28" t="s">
        <v>1303</v>
      </c>
      <c r="C205" s="28" t="s">
        <v>1304</v>
      </c>
      <c r="D205" s="28" t="s">
        <v>541</v>
      </c>
      <c r="E205" s="30" t="s">
        <v>40</v>
      </c>
      <c r="F205" s="30" t="s">
        <v>608</v>
      </c>
      <c r="G205" s="30" t="s">
        <v>232</v>
      </c>
      <c r="H205" s="30" t="s">
        <v>232</v>
      </c>
      <c r="I205" s="28" t="s">
        <v>1304</v>
      </c>
      <c r="J205" s="28" t="s">
        <v>232</v>
      </c>
      <c r="K205" s="28" t="s">
        <v>232</v>
      </c>
      <c r="L205" s="32" t="s">
        <v>234</v>
      </c>
      <c r="M205" s="33" t="s">
        <v>235</v>
      </c>
      <c r="N205" s="34">
        <v>0.0</v>
      </c>
      <c r="O205" s="28" t="s">
        <v>237</v>
      </c>
      <c r="P205" s="24"/>
      <c r="Q205" s="24"/>
      <c r="R205" s="20">
        <f t="shared" si="1"/>
        <v>0</v>
      </c>
      <c r="AA205" s="1" t="str">
        <f t="shared" si="2"/>
        <v>MAQUILLAJE</v>
      </c>
      <c r="AB205" s="1" t="str">
        <f t="shared" si="3"/>
        <v>MAQUILLAJE_</v>
      </c>
    </row>
    <row r="206" ht="19.5" customHeight="1">
      <c r="A206" s="13" t="s">
        <v>1306</v>
      </c>
      <c r="B206" s="13" t="s">
        <v>1307</v>
      </c>
      <c r="C206" s="13" t="s">
        <v>1308</v>
      </c>
      <c r="D206" s="13" t="s">
        <v>541</v>
      </c>
      <c r="E206" s="15" t="s">
        <v>40</v>
      </c>
      <c r="F206" s="15" t="s">
        <v>608</v>
      </c>
      <c r="G206" s="15" t="s">
        <v>232</v>
      </c>
      <c r="H206" s="15" t="s">
        <v>232</v>
      </c>
      <c r="I206" s="13" t="s">
        <v>1308</v>
      </c>
      <c r="J206" s="13" t="s">
        <v>1310</v>
      </c>
      <c r="K206" s="13" t="s">
        <v>232</v>
      </c>
      <c r="L206" s="21" t="s">
        <v>234</v>
      </c>
      <c r="M206" s="23" t="s">
        <v>235</v>
      </c>
      <c r="N206" s="16">
        <v>0.0</v>
      </c>
      <c r="O206" s="13" t="s">
        <v>237</v>
      </c>
      <c r="P206" s="24"/>
      <c r="Q206" s="24"/>
      <c r="R206" s="20">
        <f t="shared" si="1"/>
        <v>0</v>
      </c>
      <c r="AA206" s="1" t="str">
        <f t="shared" si="2"/>
        <v>MAQUILLAJE</v>
      </c>
      <c r="AB206" s="1" t="str">
        <f t="shared" si="3"/>
        <v>MAQUILLAJE_</v>
      </c>
    </row>
    <row r="207" ht="19.5" customHeight="1">
      <c r="A207" s="28" t="s">
        <v>1313</v>
      </c>
      <c r="B207" s="28" t="s">
        <v>1314</v>
      </c>
      <c r="C207" s="28" t="s">
        <v>1315</v>
      </c>
      <c r="D207" s="28" t="s">
        <v>541</v>
      </c>
      <c r="E207" s="30" t="s">
        <v>40</v>
      </c>
      <c r="F207" s="30" t="s">
        <v>608</v>
      </c>
      <c r="G207" s="30" t="s">
        <v>232</v>
      </c>
      <c r="H207" s="30" t="s">
        <v>232</v>
      </c>
      <c r="I207" s="28" t="s">
        <v>1315</v>
      </c>
      <c r="J207" s="28" t="s">
        <v>232</v>
      </c>
      <c r="K207" s="28" t="s">
        <v>232</v>
      </c>
      <c r="L207" s="32" t="s">
        <v>234</v>
      </c>
      <c r="M207" s="33" t="s">
        <v>235</v>
      </c>
      <c r="N207" s="34">
        <v>0.0</v>
      </c>
      <c r="O207" s="28" t="s">
        <v>237</v>
      </c>
      <c r="P207" s="24"/>
      <c r="Q207" s="24"/>
      <c r="R207" s="20">
        <f t="shared" si="1"/>
        <v>0</v>
      </c>
      <c r="AA207" s="1" t="str">
        <f t="shared" si="2"/>
        <v>MAQUILLAJE</v>
      </c>
      <c r="AB207" s="1" t="str">
        <f t="shared" si="3"/>
        <v>MAQUILLAJE_</v>
      </c>
    </row>
    <row r="208" ht="19.5" customHeight="1">
      <c r="A208" s="13" t="s">
        <v>1318</v>
      </c>
      <c r="B208" s="13" t="s">
        <v>1319</v>
      </c>
      <c r="C208" s="13" t="s">
        <v>1320</v>
      </c>
      <c r="D208" s="13" t="s">
        <v>541</v>
      </c>
      <c r="E208" s="15" t="s">
        <v>40</v>
      </c>
      <c r="F208" s="15" t="s">
        <v>608</v>
      </c>
      <c r="G208" s="15" t="s">
        <v>232</v>
      </c>
      <c r="H208" s="15" t="s">
        <v>232</v>
      </c>
      <c r="I208" s="13" t="s">
        <v>1320</v>
      </c>
      <c r="J208" s="13" t="s">
        <v>232</v>
      </c>
      <c r="K208" s="13" t="s">
        <v>232</v>
      </c>
      <c r="L208" s="21" t="s">
        <v>234</v>
      </c>
      <c r="M208" s="23" t="s">
        <v>235</v>
      </c>
      <c r="N208" s="16">
        <v>0.0</v>
      </c>
      <c r="O208" s="13" t="s">
        <v>237</v>
      </c>
      <c r="P208" s="24"/>
      <c r="Q208" s="24"/>
      <c r="R208" s="20">
        <f t="shared" si="1"/>
        <v>0</v>
      </c>
      <c r="AA208" s="1" t="str">
        <f t="shared" si="2"/>
        <v>MAQUILLAJE</v>
      </c>
      <c r="AB208" s="1" t="str">
        <f t="shared" si="3"/>
        <v>MAQUILLAJE_</v>
      </c>
    </row>
    <row r="209" ht="19.5" customHeight="1">
      <c r="A209" s="28" t="s">
        <v>1323</v>
      </c>
      <c r="B209" s="28" t="s">
        <v>1324</v>
      </c>
      <c r="C209" s="28" t="s">
        <v>1325</v>
      </c>
      <c r="D209" s="28" t="s">
        <v>541</v>
      </c>
      <c r="E209" s="30" t="s">
        <v>40</v>
      </c>
      <c r="F209" s="30" t="s">
        <v>608</v>
      </c>
      <c r="G209" s="30" t="s">
        <v>232</v>
      </c>
      <c r="H209" s="30" t="s">
        <v>232</v>
      </c>
      <c r="I209" s="28" t="s">
        <v>1325</v>
      </c>
      <c r="J209" s="28" t="s">
        <v>232</v>
      </c>
      <c r="K209" s="28" t="s">
        <v>232</v>
      </c>
      <c r="L209" s="32" t="s">
        <v>234</v>
      </c>
      <c r="M209" s="33" t="s">
        <v>235</v>
      </c>
      <c r="N209" s="34">
        <v>0.0</v>
      </c>
      <c r="O209" s="28" t="s">
        <v>237</v>
      </c>
      <c r="P209" s="24"/>
      <c r="Q209" s="24"/>
      <c r="R209" s="20">
        <f t="shared" si="1"/>
        <v>0</v>
      </c>
      <c r="AA209" s="1" t="str">
        <f t="shared" si="2"/>
        <v>MAQUILLAJE</v>
      </c>
      <c r="AB209" s="1" t="str">
        <f t="shared" si="3"/>
        <v>MAQUILLAJE_</v>
      </c>
    </row>
    <row r="210" ht="19.5" customHeight="1">
      <c r="A210" s="13" t="s">
        <v>1328</v>
      </c>
      <c r="B210" s="13" t="s">
        <v>1329</v>
      </c>
      <c r="C210" s="13" t="s">
        <v>1331</v>
      </c>
      <c r="D210" s="13" t="s">
        <v>541</v>
      </c>
      <c r="E210" s="15" t="s">
        <v>40</v>
      </c>
      <c r="F210" s="15" t="s">
        <v>608</v>
      </c>
      <c r="G210" s="15" t="s">
        <v>232</v>
      </c>
      <c r="H210" s="15" t="s">
        <v>232</v>
      </c>
      <c r="I210" s="13" t="s">
        <v>1331</v>
      </c>
      <c r="J210" s="13" t="s">
        <v>232</v>
      </c>
      <c r="K210" s="13" t="s">
        <v>232</v>
      </c>
      <c r="L210" s="21" t="s">
        <v>234</v>
      </c>
      <c r="M210" s="23" t="s">
        <v>235</v>
      </c>
      <c r="N210" s="16">
        <v>0.0</v>
      </c>
      <c r="O210" s="13" t="s">
        <v>237</v>
      </c>
      <c r="P210" s="24"/>
      <c r="Q210" s="24"/>
      <c r="R210" s="20">
        <f t="shared" si="1"/>
        <v>0</v>
      </c>
      <c r="AA210" s="1" t="str">
        <f t="shared" si="2"/>
        <v>MAQUILLAJE</v>
      </c>
      <c r="AB210" s="1" t="str">
        <f t="shared" si="3"/>
        <v>MAQUILLAJE_</v>
      </c>
    </row>
    <row r="211" ht="19.5" customHeight="1">
      <c r="A211" s="28" t="s">
        <v>1333</v>
      </c>
      <c r="B211" s="28" t="s">
        <v>1334</v>
      </c>
      <c r="C211" s="28" t="s">
        <v>1335</v>
      </c>
      <c r="D211" s="28" t="s">
        <v>541</v>
      </c>
      <c r="E211" s="30" t="s">
        <v>40</v>
      </c>
      <c r="F211" s="30" t="s">
        <v>608</v>
      </c>
      <c r="G211" s="30" t="s">
        <v>232</v>
      </c>
      <c r="H211" s="30" t="s">
        <v>232</v>
      </c>
      <c r="I211" s="28" t="s">
        <v>1335</v>
      </c>
      <c r="J211" s="28" t="s">
        <v>232</v>
      </c>
      <c r="K211" s="28" t="s">
        <v>232</v>
      </c>
      <c r="L211" s="32" t="s">
        <v>234</v>
      </c>
      <c r="M211" s="33" t="s">
        <v>235</v>
      </c>
      <c r="N211" s="34">
        <v>0.0</v>
      </c>
      <c r="O211" s="28" t="s">
        <v>237</v>
      </c>
      <c r="P211" s="24"/>
      <c r="Q211" s="24"/>
      <c r="R211" s="20">
        <f t="shared" si="1"/>
        <v>0</v>
      </c>
      <c r="AA211" s="1" t="str">
        <f t="shared" si="2"/>
        <v>MAQUILLAJE</v>
      </c>
      <c r="AB211" s="1" t="str">
        <f t="shared" si="3"/>
        <v>MAQUILLAJE_</v>
      </c>
    </row>
    <row r="212" ht="19.5" customHeight="1">
      <c r="A212" s="13" t="s">
        <v>1337</v>
      </c>
      <c r="B212" s="13" t="s">
        <v>1338</v>
      </c>
      <c r="C212" s="13" t="s">
        <v>1339</v>
      </c>
      <c r="D212" s="13" t="s">
        <v>541</v>
      </c>
      <c r="E212" s="15" t="s">
        <v>40</v>
      </c>
      <c r="F212" s="15" t="s">
        <v>608</v>
      </c>
      <c r="G212" s="15" t="s">
        <v>232</v>
      </c>
      <c r="H212" s="15" t="s">
        <v>232</v>
      </c>
      <c r="I212" s="13" t="s">
        <v>1339</v>
      </c>
      <c r="J212" s="13" t="s">
        <v>232</v>
      </c>
      <c r="K212" s="13" t="s">
        <v>232</v>
      </c>
      <c r="L212" s="21" t="s">
        <v>234</v>
      </c>
      <c r="M212" s="23" t="s">
        <v>235</v>
      </c>
      <c r="N212" s="16">
        <v>0.0</v>
      </c>
      <c r="O212" s="13" t="s">
        <v>237</v>
      </c>
      <c r="P212" s="24"/>
      <c r="Q212" s="24"/>
      <c r="R212" s="20">
        <f t="shared" si="1"/>
        <v>0</v>
      </c>
      <c r="AA212" s="1" t="str">
        <f t="shared" si="2"/>
        <v>MAQUILLAJE</v>
      </c>
      <c r="AB212" s="1" t="str">
        <f t="shared" si="3"/>
        <v>MAQUILLAJE_</v>
      </c>
    </row>
    <row r="213" ht="19.5" customHeight="1">
      <c r="A213" s="28" t="s">
        <v>1341</v>
      </c>
      <c r="B213" s="28" t="s">
        <v>1343</v>
      </c>
      <c r="C213" s="28" t="s">
        <v>1344</v>
      </c>
      <c r="D213" s="28" t="s">
        <v>541</v>
      </c>
      <c r="E213" s="30" t="s">
        <v>40</v>
      </c>
      <c r="F213" s="30" t="s">
        <v>608</v>
      </c>
      <c r="G213" s="30" t="s">
        <v>232</v>
      </c>
      <c r="H213" s="30" t="s">
        <v>232</v>
      </c>
      <c r="I213" s="28" t="s">
        <v>1344</v>
      </c>
      <c r="J213" s="28" t="s">
        <v>232</v>
      </c>
      <c r="K213" s="28" t="s">
        <v>232</v>
      </c>
      <c r="L213" s="32" t="s">
        <v>234</v>
      </c>
      <c r="M213" s="33" t="s">
        <v>235</v>
      </c>
      <c r="N213" s="34">
        <v>0.0</v>
      </c>
      <c r="O213" s="28" t="s">
        <v>237</v>
      </c>
      <c r="P213" s="24"/>
      <c r="Q213" s="24"/>
      <c r="R213" s="20">
        <f t="shared" si="1"/>
        <v>0</v>
      </c>
      <c r="AA213" s="1" t="str">
        <f t="shared" si="2"/>
        <v>MAQUILLAJE</v>
      </c>
      <c r="AB213" s="1" t="str">
        <f t="shared" si="3"/>
        <v>MAQUILLAJE_</v>
      </c>
    </row>
    <row r="214" ht="19.5" customHeight="1">
      <c r="A214" s="13" t="s">
        <v>1346</v>
      </c>
      <c r="B214" s="13" t="s">
        <v>1347</v>
      </c>
      <c r="C214" s="13" t="s">
        <v>1348</v>
      </c>
      <c r="D214" s="13" t="s">
        <v>541</v>
      </c>
      <c r="E214" s="15" t="s">
        <v>40</v>
      </c>
      <c r="F214" s="15" t="s">
        <v>608</v>
      </c>
      <c r="G214" s="15" t="s">
        <v>232</v>
      </c>
      <c r="H214" s="15" t="s">
        <v>232</v>
      </c>
      <c r="I214" s="13" t="s">
        <v>1348</v>
      </c>
      <c r="J214" s="13" t="s">
        <v>232</v>
      </c>
      <c r="K214" s="13" t="s">
        <v>232</v>
      </c>
      <c r="L214" s="21" t="s">
        <v>234</v>
      </c>
      <c r="M214" s="23" t="s">
        <v>235</v>
      </c>
      <c r="N214" s="16">
        <v>0.0</v>
      </c>
      <c r="O214" s="13" t="s">
        <v>237</v>
      </c>
      <c r="P214" s="24"/>
      <c r="Q214" s="24"/>
      <c r="R214" s="20">
        <f t="shared" si="1"/>
        <v>0</v>
      </c>
      <c r="AA214" s="1" t="str">
        <f t="shared" si="2"/>
        <v>MAQUILLAJE</v>
      </c>
      <c r="AB214" s="1" t="str">
        <f t="shared" si="3"/>
        <v>MAQUILLAJE_</v>
      </c>
    </row>
    <row r="215" ht="19.5" customHeight="1">
      <c r="A215" s="28" t="s">
        <v>1350</v>
      </c>
      <c r="B215" s="28" t="s">
        <v>1351</v>
      </c>
      <c r="C215" s="28" t="s">
        <v>1352</v>
      </c>
      <c r="D215" s="28" t="s">
        <v>541</v>
      </c>
      <c r="E215" s="30" t="s">
        <v>40</v>
      </c>
      <c r="F215" s="30" t="s">
        <v>608</v>
      </c>
      <c r="G215" s="30" t="s">
        <v>232</v>
      </c>
      <c r="H215" s="30" t="s">
        <v>232</v>
      </c>
      <c r="I215" s="28" t="s">
        <v>1352</v>
      </c>
      <c r="J215" s="28" t="s">
        <v>232</v>
      </c>
      <c r="K215" s="28" t="s">
        <v>232</v>
      </c>
      <c r="L215" s="32" t="s">
        <v>234</v>
      </c>
      <c r="M215" s="33" t="s">
        <v>235</v>
      </c>
      <c r="N215" s="34">
        <v>0.0</v>
      </c>
      <c r="O215" s="28" t="s">
        <v>237</v>
      </c>
      <c r="P215" s="24"/>
      <c r="Q215" s="24"/>
      <c r="R215" s="20">
        <f t="shared" si="1"/>
        <v>0</v>
      </c>
      <c r="AA215" s="1" t="str">
        <f t="shared" si="2"/>
        <v>MAQUILLAJE</v>
      </c>
      <c r="AB215" s="1" t="str">
        <f t="shared" si="3"/>
        <v>MAQUILLAJE_</v>
      </c>
    </row>
    <row r="216" ht="19.5" customHeight="1">
      <c r="A216" s="13" t="s">
        <v>1354</v>
      </c>
      <c r="B216" s="13" t="s">
        <v>1355</v>
      </c>
      <c r="C216" s="13" t="s">
        <v>1356</v>
      </c>
      <c r="D216" s="13" t="s">
        <v>541</v>
      </c>
      <c r="E216" s="15" t="s">
        <v>40</v>
      </c>
      <c r="F216" s="15" t="s">
        <v>608</v>
      </c>
      <c r="G216" s="15" t="s">
        <v>232</v>
      </c>
      <c r="H216" s="15" t="s">
        <v>232</v>
      </c>
      <c r="I216" s="13" t="s">
        <v>1356</v>
      </c>
      <c r="J216" s="13" t="s">
        <v>232</v>
      </c>
      <c r="K216" s="13" t="s">
        <v>232</v>
      </c>
      <c r="L216" s="21" t="s">
        <v>234</v>
      </c>
      <c r="M216" s="23" t="s">
        <v>235</v>
      </c>
      <c r="N216" s="16">
        <v>0.0</v>
      </c>
      <c r="O216" s="13" t="s">
        <v>237</v>
      </c>
      <c r="P216" s="24"/>
      <c r="Q216" s="24"/>
      <c r="R216" s="20">
        <f t="shared" si="1"/>
        <v>0</v>
      </c>
      <c r="AA216" s="1" t="str">
        <f t="shared" si="2"/>
        <v>MAQUILLAJE</v>
      </c>
      <c r="AB216" s="1" t="str">
        <f t="shared" si="3"/>
        <v>MAQUILLAJE_</v>
      </c>
    </row>
    <row r="217" ht="19.5" customHeight="1">
      <c r="A217" s="28" t="s">
        <v>1358</v>
      </c>
      <c r="B217" s="28" t="s">
        <v>1359</v>
      </c>
      <c r="C217" s="28" t="s">
        <v>1360</v>
      </c>
      <c r="D217" s="28" t="s">
        <v>541</v>
      </c>
      <c r="E217" s="30" t="s">
        <v>40</v>
      </c>
      <c r="F217" s="30" t="s">
        <v>608</v>
      </c>
      <c r="G217" s="30" t="s">
        <v>232</v>
      </c>
      <c r="H217" s="30" t="s">
        <v>232</v>
      </c>
      <c r="I217" s="28" t="s">
        <v>1360</v>
      </c>
      <c r="J217" s="28" t="s">
        <v>232</v>
      </c>
      <c r="K217" s="28" t="s">
        <v>232</v>
      </c>
      <c r="L217" s="32" t="s">
        <v>234</v>
      </c>
      <c r="M217" s="33" t="s">
        <v>235</v>
      </c>
      <c r="N217" s="34">
        <v>0.0</v>
      </c>
      <c r="O217" s="28" t="s">
        <v>237</v>
      </c>
      <c r="P217" s="24"/>
      <c r="Q217" s="24"/>
      <c r="R217" s="20">
        <f t="shared" si="1"/>
        <v>0</v>
      </c>
      <c r="AA217" s="1" t="str">
        <f t="shared" si="2"/>
        <v>MAQUILLAJE</v>
      </c>
      <c r="AB217" s="1" t="str">
        <f t="shared" si="3"/>
        <v>MAQUILLAJE_</v>
      </c>
    </row>
    <row r="218" ht="19.5" customHeight="1">
      <c r="A218" s="13" t="s">
        <v>1362</v>
      </c>
      <c r="B218" s="13" t="s">
        <v>1363</v>
      </c>
      <c r="C218" s="13" t="s">
        <v>1364</v>
      </c>
      <c r="D218" s="13" t="s">
        <v>232</v>
      </c>
      <c r="E218" s="15" t="s">
        <v>40</v>
      </c>
      <c r="F218" s="15" t="s">
        <v>232</v>
      </c>
      <c r="G218" s="15" t="s">
        <v>232</v>
      </c>
      <c r="H218" s="15" t="s">
        <v>232</v>
      </c>
      <c r="I218" s="13" t="s">
        <v>1364</v>
      </c>
      <c r="J218" s="13" t="s">
        <v>232</v>
      </c>
      <c r="K218" s="13" t="s">
        <v>232</v>
      </c>
      <c r="L218" s="21" t="s">
        <v>234</v>
      </c>
      <c r="M218" s="23" t="s">
        <v>235</v>
      </c>
      <c r="N218" s="16">
        <v>0.0</v>
      </c>
      <c r="O218" s="13" t="s">
        <v>237</v>
      </c>
      <c r="P218" s="24"/>
      <c r="Q218" s="24"/>
      <c r="R218" s="20">
        <f t="shared" si="1"/>
        <v>0</v>
      </c>
      <c r="AA218" s="1" t="str">
        <f t="shared" si="2"/>
        <v/>
      </c>
      <c r="AB218" s="1" t="str">
        <f t="shared" si="3"/>
        <v>_</v>
      </c>
    </row>
    <row r="219" ht="19.5" customHeight="1">
      <c r="A219" s="28" t="s">
        <v>1367</v>
      </c>
      <c r="B219" s="28" t="s">
        <v>1368</v>
      </c>
      <c r="C219" s="28" t="s">
        <v>1369</v>
      </c>
      <c r="D219" s="28" t="s">
        <v>232</v>
      </c>
      <c r="E219" s="30" t="s">
        <v>40</v>
      </c>
      <c r="F219" s="30" t="s">
        <v>232</v>
      </c>
      <c r="G219" s="30" t="s">
        <v>232</v>
      </c>
      <c r="H219" s="30" t="s">
        <v>232</v>
      </c>
      <c r="I219" s="28" t="s">
        <v>1369</v>
      </c>
      <c r="J219" s="28" t="s">
        <v>232</v>
      </c>
      <c r="K219" s="28" t="s">
        <v>232</v>
      </c>
      <c r="L219" s="32" t="s">
        <v>234</v>
      </c>
      <c r="M219" s="33" t="s">
        <v>235</v>
      </c>
      <c r="N219" s="34">
        <v>0.0</v>
      </c>
      <c r="O219" s="28" t="s">
        <v>237</v>
      </c>
      <c r="P219" s="24"/>
      <c r="Q219" s="24"/>
      <c r="R219" s="20">
        <f t="shared" si="1"/>
        <v>0</v>
      </c>
      <c r="AA219" s="1" t="str">
        <f t="shared" si="2"/>
        <v/>
      </c>
      <c r="AB219" s="1" t="str">
        <f t="shared" si="3"/>
        <v>_</v>
      </c>
    </row>
    <row r="220" ht="19.5" customHeight="1">
      <c r="A220" s="13" t="s">
        <v>1371</v>
      </c>
      <c r="B220" s="13" t="s">
        <v>1372</v>
      </c>
      <c r="C220" s="13" t="s">
        <v>1373</v>
      </c>
      <c r="D220" s="13" t="s">
        <v>230</v>
      </c>
      <c r="E220" s="15" t="s">
        <v>40</v>
      </c>
      <c r="F220" s="15" t="s">
        <v>1374</v>
      </c>
      <c r="G220" s="15" t="s">
        <v>232</v>
      </c>
      <c r="H220" s="15" t="s">
        <v>232</v>
      </c>
      <c r="I220" s="13" t="s">
        <v>1373</v>
      </c>
      <c r="J220" s="13" t="s">
        <v>1376</v>
      </c>
      <c r="K220" s="13" t="s">
        <v>232</v>
      </c>
      <c r="L220" s="21" t="s">
        <v>234</v>
      </c>
      <c r="M220" s="23" t="s">
        <v>235</v>
      </c>
      <c r="N220" s="16">
        <v>0.0</v>
      </c>
      <c r="O220" s="13" t="s">
        <v>237</v>
      </c>
      <c r="P220" s="24"/>
      <c r="Q220" s="24"/>
      <c r="R220" s="20">
        <f t="shared" si="1"/>
        <v>0</v>
      </c>
      <c r="AA220" s="1" t="str">
        <f t="shared" si="2"/>
        <v>FRAG_IMPORTADAS_FEM</v>
      </c>
      <c r="AB220" s="1" t="str">
        <f t="shared" si="3"/>
        <v>FRAG_IMPORTADAS_FEM_</v>
      </c>
    </row>
    <row r="221" ht="19.5" customHeight="1">
      <c r="A221" s="28" t="s">
        <v>1377</v>
      </c>
      <c r="B221" s="28" t="s">
        <v>1378</v>
      </c>
      <c r="C221" s="28" t="s">
        <v>1379</v>
      </c>
      <c r="D221" s="28" t="s">
        <v>490</v>
      </c>
      <c r="E221" s="30" t="s">
        <v>40</v>
      </c>
      <c r="F221" s="30" t="s">
        <v>608</v>
      </c>
      <c r="G221" s="30" t="s">
        <v>232</v>
      </c>
      <c r="H221" s="30" t="s">
        <v>232</v>
      </c>
      <c r="I221" s="28" t="s">
        <v>1379</v>
      </c>
      <c r="J221" s="28" t="s">
        <v>232</v>
      </c>
      <c r="K221" s="28" t="s">
        <v>232</v>
      </c>
      <c r="L221" s="32" t="s">
        <v>234</v>
      </c>
      <c r="M221" s="33" t="s">
        <v>235</v>
      </c>
      <c r="N221" s="34">
        <v>0.0</v>
      </c>
      <c r="O221" s="28" t="s">
        <v>237</v>
      </c>
      <c r="P221" s="24">
        <v>500.0</v>
      </c>
      <c r="Q221" s="24">
        <v>400.0</v>
      </c>
      <c r="R221" s="20">
        <f t="shared" si="1"/>
        <v>20</v>
      </c>
      <c r="AA221" s="1" t="str">
        <f t="shared" si="2"/>
        <v>MAQUILLAJE</v>
      </c>
      <c r="AB221" s="1" t="str">
        <f t="shared" si="3"/>
        <v>MAQUILLAJE_</v>
      </c>
    </row>
    <row r="222" ht="15.75" customHeight="1">
      <c r="E222" s="1"/>
      <c r="F222" s="1"/>
      <c r="G222" s="1"/>
      <c r="H222" s="1"/>
      <c r="L222" s="1"/>
      <c r="M222" s="1"/>
      <c r="AA222" s="1" t="str">
        <f t="shared" si="2"/>
        <v/>
      </c>
      <c r="AB222" s="1" t="str">
        <f t="shared" si="3"/>
        <v>_</v>
      </c>
    </row>
    <row r="223" ht="15.75" customHeight="1">
      <c r="E223" s="1"/>
      <c r="F223" s="1"/>
      <c r="G223" s="1"/>
      <c r="H223" s="1"/>
      <c r="L223" s="1"/>
      <c r="M223" s="1"/>
      <c r="AA223" s="1" t="str">
        <f t="shared" si="2"/>
        <v/>
      </c>
      <c r="AB223" s="1" t="str">
        <f t="shared" si="3"/>
        <v>_</v>
      </c>
    </row>
    <row r="224" ht="15.75" customHeight="1">
      <c r="E224" s="1"/>
      <c r="F224" s="1"/>
      <c r="G224" s="1"/>
      <c r="H224" s="1"/>
      <c r="L224" s="1"/>
      <c r="M224" s="1"/>
      <c r="AA224" s="1" t="str">
        <f t="shared" si="2"/>
        <v/>
      </c>
      <c r="AB224" s="1" t="str">
        <f t="shared" si="3"/>
        <v>_</v>
      </c>
    </row>
    <row r="225" ht="15.75" customHeight="1">
      <c r="E225" s="1"/>
      <c r="F225" s="1"/>
      <c r="G225" s="1"/>
      <c r="H225" s="1"/>
      <c r="L225" s="1"/>
      <c r="M225" s="1"/>
      <c r="AA225" s="1" t="str">
        <f t="shared" si="2"/>
        <v/>
      </c>
      <c r="AB225" s="1" t="str">
        <f t="shared" si="3"/>
        <v>_</v>
      </c>
    </row>
    <row r="226" ht="15.75" customHeight="1">
      <c r="E226" s="1"/>
      <c r="F226" s="1"/>
      <c r="G226" s="1"/>
      <c r="H226" s="1"/>
      <c r="L226" s="1"/>
      <c r="M226" s="1"/>
      <c r="AA226" s="1" t="str">
        <f t="shared" si="2"/>
        <v/>
      </c>
      <c r="AB226" s="1" t="str">
        <f t="shared" si="3"/>
        <v>_</v>
      </c>
    </row>
    <row r="227" ht="15.75" customHeight="1">
      <c r="E227" s="1"/>
      <c r="F227" s="1"/>
      <c r="G227" s="1"/>
      <c r="H227" s="1"/>
      <c r="L227" s="1"/>
      <c r="M227" s="1"/>
      <c r="AA227" s="1" t="str">
        <f t="shared" si="2"/>
        <v/>
      </c>
      <c r="AB227" s="1" t="str">
        <f t="shared" si="3"/>
        <v>_</v>
      </c>
    </row>
    <row r="228" ht="15.75" customHeight="1">
      <c r="E228" s="1"/>
      <c r="F228" s="1"/>
      <c r="G228" s="1"/>
      <c r="H228" s="1"/>
      <c r="L228" s="1"/>
      <c r="M228" s="1"/>
      <c r="AA228" s="1" t="str">
        <f t="shared" si="2"/>
        <v/>
      </c>
      <c r="AB228" s="1" t="str">
        <f t="shared" si="3"/>
        <v>_</v>
      </c>
    </row>
    <row r="229" ht="15.75" customHeight="1">
      <c r="E229" s="1"/>
      <c r="F229" s="1"/>
      <c r="G229" s="1"/>
      <c r="H229" s="1"/>
      <c r="L229" s="1"/>
      <c r="M229" s="1"/>
      <c r="AA229" s="1" t="str">
        <f t="shared" si="2"/>
        <v/>
      </c>
      <c r="AB229" s="1" t="str">
        <f t="shared" si="3"/>
        <v>_</v>
      </c>
    </row>
    <row r="230" ht="15.75" customHeight="1">
      <c r="E230" s="1"/>
      <c r="F230" s="1"/>
      <c r="G230" s="1"/>
      <c r="H230" s="1"/>
      <c r="L230" s="1"/>
      <c r="M230" s="1"/>
      <c r="AA230" s="1" t="str">
        <f t="shared" si="2"/>
        <v/>
      </c>
      <c r="AB230" s="1" t="str">
        <f t="shared" si="3"/>
        <v>_</v>
      </c>
    </row>
    <row r="231" ht="15.75" customHeight="1">
      <c r="E231" s="1"/>
      <c r="F231" s="1"/>
      <c r="G231" s="1"/>
      <c r="H231" s="1"/>
      <c r="L231" s="1"/>
      <c r="M231" s="1"/>
      <c r="AA231" s="1" t="str">
        <f t="shared" si="2"/>
        <v/>
      </c>
      <c r="AB231" s="1" t="str">
        <f t="shared" si="3"/>
        <v>_</v>
      </c>
    </row>
    <row r="232" ht="15.75" customHeight="1">
      <c r="E232" s="1"/>
      <c r="F232" s="1"/>
      <c r="G232" s="1"/>
      <c r="H232" s="1"/>
      <c r="L232" s="1"/>
      <c r="M232" s="1"/>
      <c r="AA232" s="1" t="str">
        <f t="shared" si="2"/>
        <v/>
      </c>
      <c r="AB232" s="1" t="str">
        <f t="shared" si="3"/>
        <v>_</v>
      </c>
    </row>
    <row r="233" ht="15.75" customHeight="1">
      <c r="E233" s="1"/>
      <c r="F233" s="1"/>
      <c r="G233" s="1"/>
      <c r="H233" s="1"/>
      <c r="L233" s="1"/>
      <c r="M233" s="1"/>
      <c r="AA233" s="1" t="str">
        <f t="shared" si="2"/>
        <v/>
      </c>
      <c r="AB233" s="1" t="str">
        <f t="shared" si="3"/>
        <v>_</v>
      </c>
    </row>
    <row r="234" ht="15.75" customHeight="1">
      <c r="E234" s="1"/>
      <c r="F234" s="1"/>
      <c r="G234" s="1"/>
      <c r="H234" s="1"/>
      <c r="L234" s="1"/>
      <c r="M234" s="1"/>
      <c r="AA234" s="1" t="str">
        <f t="shared" si="2"/>
        <v/>
      </c>
      <c r="AB234" s="1" t="str">
        <f t="shared" si="3"/>
        <v>_</v>
      </c>
    </row>
    <row r="235" ht="15.75" customHeight="1">
      <c r="E235" s="1"/>
      <c r="F235" s="1"/>
      <c r="G235" s="1"/>
      <c r="H235" s="1"/>
      <c r="L235" s="1"/>
      <c r="M235" s="1"/>
      <c r="AA235" s="1" t="str">
        <f t="shared" si="2"/>
        <v/>
      </c>
      <c r="AB235" s="1" t="str">
        <f t="shared" si="3"/>
        <v>_</v>
      </c>
    </row>
    <row r="236" ht="15.75" customHeight="1">
      <c r="E236" s="1"/>
      <c r="F236" s="1"/>
      <c r="G236" s="1"/>
      <c r="H236" s="1"/>
      <c r="L236" s="1"/>
      <c r="M236" s="1"/>
      <c r="AA236" s="1" t="str">
        <f t="shared" si="2"/>
        <v/>
      </c>
      <c r="AB236" s="1" t="str">
        <f t="shared" si="3"/>
        <v>_</v>
      </c>
    </row>
    <row r="237" ht="15.75" customHeight="1">
      <c r="E237" s="1"/>
      <c r="F237" s="1"/>
      <c r="G237" s="1"/>
      <c r="H237" s="1"/>
      <c r="L237" s="1"/>
      <c r="M237" s="1"/>
      <c r="AA237" s="1" t="str">
        <f t="shared" si="2"/>
        <v/>
      </c>
      <c r="AB237" s="1" t="str">
        <f t="shared" si="3"/>
        <v>_</v>
      </c>
    </row>
    <row r="238" ht="15.75" customHeight="1">
      <c r="E238" s="1"/>
      <c r="F238" s="1"/>
      <c r="G238" s="1"/>
      <c r="H238" s="1"/>
      <c r="L238" s="1"/>
      <c r="M238" s="1"/>
      <c r="AA238" s="1" t="str">
        <f t="shared" si="2"/>
        <v/>
      </c>
      <c r="AB238" s="1" t="str">
        <f t="shared" si="3"/>
        <v>_</v>
      </c>
    </row>
    <row r="239" ht="15.75" customHeight="1">
      <c r="E239" s="1"/>
      <c r="F239" s="1"/>
      <c r="G239" s="1"/>
      <c r="H239" s="1"/>
      <c r="L239" s="1"/>
      <c r="M239" s="1"/>
      <c r="AA239" s="1" t="str">
        <f t="shared" si="2"/>
        <v/>
      </c>
      <c r="AB239" s="1" t="str">
        <f t="shared" si="3"/>
        <v>_</v>
      </c>
    </row>
    <row r="240" ht="15.75" customHeight="1">
      <c r="E240" s="1"/>
      <c r="F240" s="1"/>
      <c r="G240" s="1"/>
      <c r="H240" s="1"/>
      <c r="L240" s="1"/>
      <c r="M240" s="1"/>
      <c r="AA240" s="1" t="str">
        <f t="shared" si="2"/>
        <v/>
      </c>
      <c r="AB240" s="1" t="str">
        <f t="shared" si="3"/>
        <v>_</v>
      </c>
    </row>
    <row r="241" ht="15.75" customHeight="1">
      <c r="E241" s="1"/>
      <c r="F241" s="1"/>
      <c r="G241" s="1"/>
      <c r="H241" s="1"/>
      <c r="L241" s="1"/>
      <c r="M241" s="1"/>
      <c r="AA241" s="1" t="str">
        <f t="shared" si="2"/>
        <v/>
      </c>
      <c r="AB241" s="1" t="str">
        <f t="shared" si="3"/>
        <v>_</v>
      </c>
    </row>
    <row r="242" ht="15.75" customHeight="1">
      <c r="E242" s="1"/>
      <c r="F242" s="1"/>
      <c r="G242" s="1"/>
      <c r="H242" s="1"/>
      <c r="L242" s="1"/>
      <c r="M242" s="1"/>
      <c r="AA242" s="1" t="str">
        <f t="shared" si="2"/>
        <v/>
      </c>
      <c r="AB242" s="1" t="str">
        <f t="shared" si="3"/>
        <v>_</v>
      </c>
    </row>
    <row r="243" ht="15.75" customHeight="1">
      <c r="E243" s="1"/>
      <c r="F243" s="1"/>
      <c r="G243" s="1"/>
      <c r="H243" s="1"/>
      <c r="L243" s="1"/>
      <c r="M243" s="1"/>
      <c r="AA243" s="1" t="str">
        <f t="shared" si="2"/>
        <v/>
      </c>
      <c r="AB243" s="1" t="str">
        <f t="shared" si="3"/>
        <v>_</v>
      </c>
    </row>
    <row r="244" ht="15.75" customHeight="1">
      <c r="E244" s="1"/>
      <c r="F244" s="1"/>
      <c r="G244" s="1"/>
      <c r="H244" s="1"/>
      <c r="L244" s="1"/>
      <c r="M244" s="1"/>
      <c r="AA244" s="1" t="str">
        <f t="shared" si="2"/>
        <v/>
      </c>
      <c r="AB244" s="1" t="str">
        <f t="shared" si="3"/>
        <v>_</v>
      </c>
    </row>
    <row r="245" ht="15.75" customHeight="1">
      <c r="E245" s="1"/>
      <c r="F245" s="1"/>
      <c r="G245" s="1"/>
      <c r="H245" s="1"/>
      <c r="L245" s="1"/>
      <c r="M245" s="1"/>
      <c r="AA245" s="1" t="str">
        <f t="shared" si="2"/>
        <v/>
      </c>
      <c r="AB245" s="1" t="str">
        <f t="shared" si="3"/>
        <v>_</v>
      </c>
    </row>
    <row r="246" ht="15.75" customHeight="1">
      <c r="E246" s="1"/>
      <c r="F246" s="1"/>
      <c r="G246" s="1"/>
      <c r="H246" s="1"/>
      <c r="L246" s="1"/>
      <c r="M246" s="1"/>
      <c r="AA246" s="1" t="str">
        <f t="shared" si="2"/>
        <v/>
      </c>
      <c r="AB246" s="1" t="str">
        <f t="shared" si="3"/>
        <v>_</v>
      </c>
    </row>
    <row r="247" ht="15.75" customHeight="1">
      <c r="E247" s="1"/>
      <c r="F247" s="1"/>
      <c r="G247" s="1"/>
      <c r="H247" s="1"/>
      <c r="L247" s="1"/>
      <c r="M247" s="1"/>
      <c r="AA247" s="1" t="str">
        <f t="shared" si="2"/>
        <v/>
      </c>
      <c r="AB247" s="1" t="str">
        <f t="shared" si="3"/>
        <v>_</v>
      </c>
    </row>
    <row r="248" ht="15.75" customHeight="1">
      <c r="E248" s="1"/>
      <c r="F248" s="1"/>
      <c r="G248" s="1"/>
      <c r="H248" s="1"/>
      <c r="L248" s="1"/>
      <c r="M248" s="1"/>
      <c r="AA248" s="1" t="str">
        <f t="shared" si="2"/>
        <v/>
      </c>
      <c r="AB248" s="1" t="str">
        <f t="shared" si="3"/>
        <v>_</v>
      </c>
    </row>
    <row r="249" ht="15.75" customHeight="1">
      <c r="E249" s="1"/>
      <c r="F249" s="1"/>
      <c r="G249" s="1"/>
      <c r="H249" s="1"/>
      <c r="L249" s="1"/>
      <c r="M249" s="1"/>
      <c r="AA249" s="1" t="str">
        <f t="shared" si="2"/>
        <v/>
      </c>
      <c r="AB249" s="1" t="str">
        <f t="shared" si="3"/>
        <v>_</v>
      </c>
    </row>
    <row r="250" ht="15.75" customHeight="1">
      <c r="E250" s="1"/>
      <c r="F250" s="1"/>
      <c r="G250" s="1"/>
      <c r="H250" s="1"/>
      <c r="L250" s="1"/>
      <c r="M250" s="1"/>
      <c r="AA250" s="1" t="str">
        <f t="shared" si="2"/>
        <v/>
      </c>
      <c r="AB250" s="1" t="str">
        <f t="shared" si="3"/>
        <v>_</v>
      </c>
    </row>
    <row r="251" ht="15.75" customHeight="1">
      <c r="E251" s="1"/>
      <c r="F251" s="1"/>
      <c r="G251" s="1"/>
      <c r="H251" s="1"/>
      <c r="L251" s="1"/>
      <c r="M251" s="1"/>
      <c r="AA251" s="1" t="str">
        <f t="shared" si="2"/>
        <v/>
      </c>
      <c r="AB251" s="1" t="str">
        <f t="shared" si="3"/>
        <v>_</v>
      </c>
    </row>
    <row r="252" ht="15.75" customHeight="1">
      <c r="E252" s="1"/>
      <c r="F252" s="1"/>
      <c r="G252" s="1"/>
      <c r="H252" s="1"/>
      <c r="L252" s="1"/>
      <c r="M252" s="1"/>
      <c r="AA252" s="1" t="str">
        <f t="shared" si="2"/>
        <v/>
      </c>
      <c r="AB252" s="1" t="str">
        <f t="shared" si="3"/>
        <v>_</v>
      </c>
    </row>
    <row r="253" ht="15.75" customHeight="1">
      <c r="E253" s="1"/>
      <c r="F253" s="1"/>
      <c r="G253" s="1"/>
      <c r="H253" s="1"/>
      <c r="L253" s="1"/>
      <c r="M253" s="1"/>
      <c r="AA253" s="1" t="str">
        <f t="shared" si="2"/>
        <v/>
      </c>
      <c r="AB253" s="1" t="str">
        <f t="shared" si="3"/>
        <v>_</v>
      </c>
    </row>
    <row r="254" ht="15.75" customHeight="1">
      <c r="E254" s="1"/>
      <c r="F254" s="1"/>
      <c r="G254" s="1"/>
      <c r="H254" s="1"/>
      <c r="L254" s="1"/>
      <c r="M254" s="1"/>
      <c r="AA254" s="1" t="str">
        <f t="shared" si="2"/>
        <v/>
      </c>
      <c r="AB254" s="1" t="str">
        <f t="shared" si="3"/>
        <v>_</v>
      </c>
    </row>
    <row r="255" ht="15.75" customHeight="1">
      <c r="E255" s="1"/>
      <c r="F255" s="1"/>
      <c r="G255" s="1"/>
      <c r="H255" s="1"/>
      <c r="L255" s="1"/>
      <c r="M255" s="1"/>
      <c r="AA255" s="1" t="str">
        <f t="shared" si="2"/>
        <v/>
      </c>
      <c r="AB255" s="1" t="str">
        <f t="shared" si="3"/>
        <v>_</v>
      </c>
    </row>
    <row r="256" ht="15.75" customHeight="1">
      <c r="E256" s="1"/>
      <c r="F256" s="1"/>
      <c r="G256" s="1"/>
      <c r="H256" s="1"/>
      <c r="L256" s="1"/>
      <c r="M256" s="1"/>
      <c r="AA256" s="1" t="str">
        <f t="shared" si="2"/>
        <v/>
      </c>
      <c r="AB256" s="1" t="str">
        <f t="shared" si="3"/>
        <v>_</v>
      </c>
    </row>
    <row r="257" ht="15.75" customHeight="1">
      <c r="E257" s="1"/>
      <c r="F257" s="1"/>
      <c r="G257" s="1"/>
      <c r="H257" s="1"/>
      <c r="L257" s="1"/>
      <c r="M257" s="1"/>
      <c r="AA257" s="1" t="str">
        <f t="shared" si="2"/>
        <v/>
      </c>
      <c r="AB257" s="1" t="str">
        <f t="shared" si="3"/>
        <v>_</v>
      </c>
    </row>
    <row r="258" ht="15.75" customHeight="1">
      <c r="E258" s="1"/>
      <c r="F258" s="1"/>
      <c r="G258" s="1"/>
      <c r="H258" s="1"/>
      <c r="L258" s="1"/>
      <c r="M258" s="1"/>
      <c r="AA258" s="1" t="str">
        <f t="shared" si="2"/>
        <v/>
      </c>
      <c r="AB258" s="1" t="str">
        <f t="shared" si="3"/>
        <v>_</v>
      </c>
    </row>
    <row r="259" ht="15.75" customHeight="1">
      <c r="E259" s="1"/>
      <c r="F259" s="1"/>
      <c r="G259" s="1"/>
      <c r="H259" s="1"/>
      <c r="L259" s="1"/>
      <c r="M259" s="1"/>
      <c r="AA259" s="1" t="str">
        <f t="shared" si="2"/>
        <v/>
      </c>
      <c r="AB259" s="1" t="str">
        <f t="shared" si="3"/>
        <v>_</v>
      </c>
    </row>
    <row r="260" ht="15.75" customHeight="1">
      <c r="E260" s="1"/>
      <c r="F260" s="1"/>
      <c r="G260" s="1"/>
      <c r="H260" s="1"/>
      <c r="L260" s="1"/>
      <c r="M260" s="1"/>
      <c r="AA260" s="1" t="str">
        <f t="shared" si="2"/>
        <v/>
      </c>
      <c r="AB260" s="1" t="str">
        <f t="shared" si="3"/>
        <v>_</v>
      </c>
    </row>
    <row r="261" ht="15.75" customHeight="1">
      <c r="E261" s="1"/>
      <c r="F261" s="1"/>
      <c r="G261" s="1"/>
      <c r="H261" s="1"/>
      <c r="L261" s="1"/>
      <c r="M261" s="1"/>
      <c r="AA261" s="1" t="str">
        <f t="shared" si="2"/>
        <v/>
      </c>
      <c r="AB261" s="1" t="str">
        <f t="shared" si="3"/>
        <v>_</v>
      </c>
    </row>
    <row r="262" ht="15.75" customHeight="1">
      <c r="E262" s="1"/>
      <c r="F262" s="1"/>
      <c r="G262" s="1"/>
      <c r="H262" s="1"/>
      <c r="L262" s="1"/>
      <c r="M262" s="1"/>
      <c r="AA262" s="1" t="str">
        <f t="shared" si="2"/>
        <v/>
      </c>
      <c r="AB262" s="1" t="str">
        <f t="shared" si="3"/>
        <v>_</v>
      </c>
    </row>
    <row r="263" ht="15.75" customHeight="1">
      <c r="E263" s="1"/>
      <c r="F263" s="1"/>
      <c r="G263" s="1"/>
      <c r="H263" s="1"/>
      <c r="L263" s="1"/>
      <c r="M263" s="1"/>
      <c r="AA263" s="1" t="str">
        <f t="shared" si="2"/>
        <v/>
      </c>
      <c r="AB263" s="1" t="str">
        <f t="shared" si="3"/>
        <v>_</v>
      </c>
    </row>
    <row r="264" ht="15.75" customHeight="1">
      <c r="E264" s="1"/>
      <c r="F264" s="1"/>
      <c r="G264" s="1"/>
      <c r="H264" s="1"/>
      <c r="L264" s="1"/>
      <c r="M264" s="1"/>
      <c r="AA264" s="1" t="str">
        <f t="shared" si="2"/>
        <v/>
      </c>
      <c r="AB264" s="1" t="str">
        <f t="shared" si="3"/>
        <v>_</v>
      </c>
    </row>
    <row r="265" ht="15.75" customHeight="1">
      <c r="E265" s="1"/>
      <c r="F265" s="1"/>
      <c r="G265" s="1"/>
      <c r="H265" s="1"/>
      <c r="L265" s="1"/>
      <c r="M265" s="1"/>
      <c r="AA265" s="1" t="str">
        <f t="shared" si="2"/>
        <v/>
      </c>
      <c r="AB265" s="1" t="str">
        <f t="shared" si="3"/>
        <v>_</v>
      </c>
    </row>
    <row r="266" ht="15.75" customHeight="1">
      <c r="E266" s="1"/>
      <c r="F266" s="1"/>
      <c r="G266" s="1"/>
      <c r="H266" s="1"/>
      <c r="L266" s="1"/>
      <c r="M266" s="1"/>
      <c r="AA266" s="1" t="str">
        <f t="shared" si="2"/>
        <v/>
      </c>
      <c r="AB266" s="1" t="str">
        <f t="shared" si="3"/>
        <v>_</v>
      </c>
    </row>
    <row r="267" ht="15.75" customHeight="1">
      <c r="E267" s="1"/>
      <c r="F267" s="1"/>
      <c r="G267" s="1"/>
      <c r="H267" s="1"/>
      <c r="L267" s="1"/>
      <c r="M267" s="1"/>
      <c r="AA267" s="1" t="str">
        <f t="shared" si="2"/>
        <v/>
      </c>
      <c r="AB267" s="1" t="str">
        <f t="shared" si="3"/>
        <v>_</v>
      </c>
    </row>
    <row r="268" ht="15.75" customHeight="1">
      <c r="E268" s="1"/>
      <c r="F268" s="1"/>
      <c r="G268" s="1"/>
      <c r="H268" s="1"/>
      <c r="L268" s="1"/>
      <c r="M268" s="1"/>
      <c r="AA268" s="1" t="str">
        <f t="shared" si="2"/>
        <v/>
      </c>
      <c r="AB268" s="1" t="str">
        <f t="shared" si="3"/>
        <v>_</v>
      </c>
    </row>
    <row r="269" ht="15.75" customHeight="1">
      <c r="E269" s="1"/>
      <c r="F269" s="1"/>
      <c r="G269" s="1"/>
      <c r="H269" s="1"/>
      <c r="L269" s="1"/>
      <c r="M269" s="1"/>
      <c r="AA269" s="1" t="str">
        <f t="shared" si="2"/>
        <v/>
      </c>
      <c r="AB269" s="1" t="str">
        <f t="shared" si="3"/>
        <v>_</v>
      </c>
    </row>
    <row r="270" ht="15.75" customHeight="1">
      <c r="E270" s="1"/>
      <c r="F270" s="1"/>
      <c r="G270" s="1"/>
      <c r="H270" s="1"/>
      <c r="L270" s="1"/>
      <c r="M270" s="1"/>
      <c r="AA270" s="1" t="str">
        <f t="shared" si="2"/>
        <v/>
      </c>
      <c r="AB270" s="1" t="str">
        <f t="shared" si="3"/>
        <v>_</v>
      </c>
    </row>
    <row r="271" ht="15.75" customHeight="1">
      <c r="E271" s="1"/>
      <c r="F271" s="1"/>
      <c r="G271" s="1"/>
      <c r="H271" s="1"/>
      <c r="L271" s="1"/>
      <c r="M271" s="1"/>
      <c r="AA271" s="1" t="str">
        <f t="shared" si="2"/>
        <v/>
      </c>
      <c r="AB271" s="1" t="str">
        <f t="shared" si="3"/>
        <v>_</v>
      </c>
    </row>
    <row r="272" ht="15.75" customHeight="1">
      <c r="E272" s="1"/>
      <c r="F272" s="1"/>
      <c r="G272" s="1"/>
      <c r="H272" s="1"/>
      <c r="L272" s="1"/>
      <c r="M272" s="1"/>
      <c r="AA272" s="1" t="str">
        <f t="shared" si="2"/>
        <v/>
      </c>
      <c r="AB272" s="1" t="str">
        <f t="shared" si="3"/>
        <v>_</v>
      </c>
    </row>
    <row r="273" ht="15.75" customHeight="1">
      <c r="E273" s="1"/>
      <c r="F273" s="1"/>
      <c r="G273" s="1"/>
      <c r="H273" s="1"/>
      <c r="L273" s="1"/>
      <c r="M273" s="1"/>
      <c r="AA273" s="1" t="str">
        <f t="shared" si="2"/>
        <v/>
      </c>
      <c r="AB273" s="1" t="str">
        <f t="shared" si="3"/>
        <v>_</v>
      </c>
    </row>
    <row r="274" ht="15.75" customHeight="1">
      <c r="E274" s="1"/>
      <c r="F274" s="1"/>
      <c r="G274" s="1"/>
      <c r="H274" s="1"/>
      <c r="L274" s="1"/>
      <c r="M274" s="1"/>
      <c r="AA274" s="1" t="str">
        <f t="shared" si="2"/>
        <v/>
      </c>
      <c r="AB274" s="1" t="str">
        <f t="shared" si="3"/>
        <v>_</v>
      </c>
    </row>
    <row r="275" ht="15.75" customHeight="1">
      <c r="E275" s="1"/>
      <c r="F275" s="1"/>
      <c r="G275" s="1"/>
      <c r="H275" s="1"/>
      <c r="L275" s="1"/>
      <c r="M275" s="1"/>
      <c r="AA275" s="1" t="str">
        <f t="shared" si="2"/>
        <v/>
      </c>
      <c r="AB275" s="1" t="str">
        <f t="shared" si="3"/>
        <v>_</v>
      </c>
    </row>
    <row r="276" ht="15.75" customHeight="1">
      <c r="E276" s="1"/>
      <c r="F276" s="1"/>
      <c r="G276" s="1"/>
      <c r="H276" s="1"/>
      <c r="L276" s="1"/>
      <c r="M276" s="1"/>
      <c r="AA276" s="1" t="str">
        <f t="shared" si="2"/>
        <v/>
      </c>
      <c r="AB276" s="1" t="str">
        <f t="shared" si="3"/>
        <v>_</v>
      </c>
    </row>
    <row r="277" ht="15.75" customHeight="1">
      <c r="E277" s="1"/>
      <c r="F277" s="1"/>
      <c r="G277" s="1"/>
      <c r="H277" s="1"/>
      <c r="L277" s="1"/>
      <c r="M277" s="1"/>
      <c r="AA277" s="1" t="str">
        <f t="shared" si="2"/>
        <v/>
      </c>
      <c r="AB277" s="1" t="str">
        <f t="shared" si="3"/>
        <v>_</v>
      </c>
    </row>
    <row r="278" ht="15.75" customHeight="1">
      <c r="E278" s="1"/>
      <c r="F278" s="1"/>
      <c r="G278" s="1"/>
      <c r="H278" s="1"/>
      <c r="L278" s="1"/>
      <c r="M278" s="1"/>
      <c r="AA278" s="1" t="str">
        <f t="shared" si="2"/>
        <v/>
      </c>
      <c r="AB278" s="1" t="str">
        <f t="shared" si="3"/>
        <v>_</v>
      </c>
    </row>
    <row r="279" ht="15.75" customHeight="1">
      <c r="E279" s="1"/>
      <c r="F279" s="1"/>
      <c r="G279" s="1"/>
      <c r="H279" s="1"/>
      <c r="L279" s="1"/>
      <c r="M279" s="1"/>
      <c r="AA279" s="1" t="str">
        <f t="shared" si="2"/>
        <v/>
      </c>
      <c r="AB279" s="1" t="str">
        <f t="shared" si="3"/>
        <v>_</v>
      </c>
    </row>
    <row r="280" ht="15.75" customHeight="1">
      <c r="E280" s="1"/>
      <c r="F280" s="1"/>
      <c r="G280" s="1"/>
      <c r="H280" s="1"/>
      <c r="L280" s="1"/>
      <c r="M280" s="1"/>
      <c r="AA280" s="1" t="str">
        <f t="shared" si="2"/>
        <v/>
      </c>
      <c r="AB280" s="1" t="str">
        <f t="shared" si="3"/>
        <v>_</v>
      </c>
    </row>
    <row r="281" ht="15.75" customHeight="1">
      <c r="E281" s="1"/>
      <c r="F281" s="1"/>
      <c r="G281" s="1"/>
      <c r="H281" s="1"/>
      <c r="L281" s="1"/>
      <c r="M281" s="1"/>
      <c r="AA281" s="1" t="str">
        <f t="shared" si="2"/>
        <v/>
      </c>
      <c r="AB281" s="1" t="str">
        <f t="shared" si="3"/>
        <v>_</v>
      </c>
    </row>
    <row r="282" ht="15.75" customHeight="1">
      <c r="E282" s="1"/>
      <c r="F282" s="1"/>
      <c r="G282" s="1"/>
      <c r="H282" s="1"/>
      <c r="L282" s="1"/>
      <c r="M282" s="1"/>
      <c r="AA282" s="1" t="str">
        <f t="shared" si="2"/>
        <v/>
      </c>
      <c r="AB282" s="1" t="str">
        <f t="shared" si="3"/>
        <v>_</v>
      </c>
    </row>
    <row r="283" ht="15.75" customHeight="1">
      <c r="E283" s="1"/>
      <c r="F283" s="1"/>
      <c r="G283" s="1"/>
      <c r="H283" s="1"/>
      <c r="L283" s="1"/>
      <c r="M283" s="1"/>
      <c r="AA283" s="1" t="str">
        <f t="shared" si="2"/>
        <v/>
      </c>
      <c r="AB283" s="1" t="str">
        <f t="shared" si="3"/>
        <v>_</v>
      </c>
    </row>
    <row r="284" ht="15.75" customHeight="1">
      <c r="E284" s="1"/>
      <c r="F284" s="1"/>
      <c r="G284" s="1"/>
      <c r="H284" s="1"/>
      <c r="L284" s="1"/>
      <c r="M284" s="1"/>
      <c r="AA284" s="1" t="str">
        <f t="shared" si="2"/>
        <v/>
      </c>
      <c r="AB284" s="1" t="str">
        <f t="shared" si="3"/>
        <v>_</v>
      </c>
    </row>
    <row r="285" ht="15.75" customHeight="1">
      <c r="E285" s="1"/>
      <c r="F285" s="1"/>
      <c r="G285" s="1"/>
      <c r="H285" s="1"/>
      <c r="L285" s="1"/>
      <c r="M285" s="1"/>
      <c r="AA285" s="1" t="str">
        <f t="shared" si="2"/>
        <v/>
      </c>
      <c r="AB285" s="1" t="str">
        <f t="shared" si="3"/>
        <v>_</v>
      </c>
    </row>
    <row r="286" ht="15.75" customHeight="1">
      <c r="E286" s="1"/>
      <c r="F286" s="1"/>
      <c r="G286" s="1"/>
      <c r="H286" s="1"/>
      <c r="L286" s="1"/>
      <c r="M286" s="1"/>
      <c r="AA286" s="1" t="str">
        <f t="shared" si="2"/>
        <v/>
      </c>
      <c r="AB286" s="1" t="str">
        <f t="shared" si="3"/>
        <v>_</v>
      </c>
    </row>
    <row r="287" ht="15.75" customHeight="1">
      <c r="E287" s="1"/>
      <c r="F287" s="1"/>
      <c r="G287" s="1"/>
      <c r="H287" s="1"/>
      <c r="L287" s="1"/>
      <c r="M287" s="1"/>
      <c r="AA287" s="1" t="str">
        <f t="shared" si="2"/>
        <v/>
      </c>
      <c r="AB287" s="1" t="str">
        <f t="shared" si="3"/>
        <v>_</v>
      </c>
    </row>
    <row r="288" ht="15.75" customHeight="1">
      <c r="E288" s="1"/>
      <c r="F288" s="1"/>
      <c r="G288" s="1"/>
      <c r="H288" s="1"/>
      <c r="L288" s="1"/>
      <c r="M288" s="1"/>
      <c r="AA288" s="1" t="str">
        <f t="shared" si="2"/>
        <v/>
      </c>
      <c r="AB288" s="1" t="str">
        <f t="shared" si="3"/>
        <v>_</v>
      </c>
    </row>
    <row r="289" ht="15.75" customHeight="1">
      <c r="E289" s="1"/>
      <c r="F289" s="1"/>
      <c r="G289" s="1"/>
      <c r="H289" s="1"/>
      <c r="L289" s="1"/>
      <c r="M289" s="1"/>
      <c r="AA289" s="1" t="str">
        <f t="shared" si="2"/>
        <v/>
      </c>
      <c r="AB289" s="1" t="str">
        <f t="shared" si="3"/>
        <v>_</v>
      </c>
    </row>
    <row r="290" ht="15.75" customHeight="1">
      <c r="E290" s="1"/>
      <c r="F290" s="1"/>
      <c r="G290" s="1"/>
      <c r="H290" s="1"/>
      <c r="L290" s="1"/>
      <c r="M290" s="1"/>
      <c r="AA290" s="1" t="str">
        <f t="shared" si="2"/>
        <v/>
      </c>
      <c r="AB290" s="1" t="str">
        <f t="shared" si="3"/>
        <v>_</v>
      </c>
    </row>
    <row r="291" ht="15.75" customHeight="1">
      <c r="E291" s="1"/>
      <c r="F291" s="1"/>
      <c r="G291" s="1"/>
      <c r="H291" s="1"/>
      <c r="L291" s="1"/>
      <c r="M291" s="1"/>
      <c r="AA291" s="1" t="str">
        <f t="shared" si="2"/>
        <v/>
      </c>
      <c r="AB291" s="1" t="str">
        <f t="shared" si="3"/>
        <v>_</v>
      </c>
    </row>
    <row r="292" ht="15.75" customHeight="1">
      <c r="E292" s="1"/>
      <c r="F292" s="1"/>
      <c r="G292" s="1"/>
      <c r="H292" s="1"/>
      <c r="L292" s="1"/>
      <c r="M292" s="1"/>
      <c r="AA292" s="1" t="str">
        <f t="shared" si="2"/>
        <v/>
      </c>
      <c r="AB292" s="1" t="str">
        <f t="shared" si="3"/>
        <v>_</v>
      </c>
    </row>
    <row r="293" ht="15.75" customHeight="1">
      <c r="E293" s="1"/>
      <c r="F293" s="1"/>
      <c r="G293" s="1"/>
      <c r="H293" s="1"/>
      <c r="L293" s="1"/>
      <c r="M293" s="1"/>
      <c r="AA293" s="1" t="str">
        <f t="shared" si="2"/>
        <v/>
      </c>
      <c r="AB293" s="1" t="str">
        <f t="shared" si="3"/>
        <v>_</v>
      </c>
    </row>
    <row r="294" ht="15.75" customHeight="1">
      <c r="E294" s="1"/>
      <c r="F294" s="1"/>
      <c r="G294" s="1"/>
      <c r="H294" s="1"/>
      <c r="L294" s="1"/>
      <c r="M294" s="1"/>
      <c r="AA294" s="1" t="str">
        <f t="shared" si="2"/>
        <v/>
      </c>
      <c r="AB294" s="1" t="str">
        <f t="shared" si="3"/>
        <v>_</v>
      </c>
    </row>
    <row r="295" ht="15.75" customHeight="1">
      <c r="E295" s="1"/>
      <c r="F295" s="1"/>
      <c r="G295" s="1"/>
      <c r="H295" s="1"/>
      <c r="L295" s="1"/>
      <c r="M295" s="1"/>
      <c r="AA295" s="1" t="str">
        <f t="shared" si="2"/>
        <v/>
      </c>
      <c r="AB295" s="1" t="str">
        <f t="shared" si="3"/>
        <v>_</v>
      </c>
    </row>
    <row r="296" ht="15.75" customHeight="1">
      <c r="E296" s="1"/>
      <c r="F296" s="1"/>
      <c r="G296" s="1"/>
      <c r="H296" s="1"/>
      <c r="L296" s="1"/>
      <c r="M296" s="1"/>
      <c r="AA296" s="1" t="str">
        <f t="shared" si="2"/>
        <v/>
      </c>
      <c r="AB296" s="1" t="str">
        <f t="shared" si="3"/>
        <v>_</v>
      </c>
    </row>
    <row r="297" ht="15.75" customHeight="1">
      <c r="E297" s="1"/>
      <c r="F297" s="1"/>
      <c r="G297" s="1"/>
      <c r="H297" s="1"/>
      <c r="L297" s="1"/>
      <c r="M297" s="1"/>
      <c r="AA297" s="1" t="str">
        <f t="shared" si="2"/>
        <v/>
      </c>
      <c r="AB297" s="1" t="str">
        <f t="shared" si="3"/>
        <v>_</v>
      </c>
    </row>
    <row r="298" ht="15.75" customHeight="1">
      <c r="E298" s="1"/>
      <c r="F298" s="1"/>
      <c r="G298" s="1"/>
      <c r="H298" s="1"/>
      <c r="L298" s="1"/>
      <c r="M298" s="1"/>
      <c r="AA298" s="1" t="str">
        <f t="shared" si="2"/>
        <v/>
      </c>
      <c r="AB298" s="1" t="str">
        <f t="shared" si="3"/>
        <v>_</v>
      </c>
    </row>
    <row r="299" ht="15.75" customHeight="1">
      <c r="E299" s="1"/>
      <c r="F299" s="1"/>
      <c r="G299" s="1"/>
      <c r="H299" s="1"/>
      <c r="L299" s="1"/>
      <c r="M299" s="1"/>
      <c r="AA299" s="1" t="str">
        <f t="shared" si="2"/>
        <v/>
      </c>
      <c r="AB299" s="1" t="str">
        <f t="shared" si="3"/>
        <v>_</v>
      </c>
    </row>
    <row r="300" ht="15.75" customHeight="1">
      <c r="E300" s="1"/>
      <c r="F300" s="1"/>
      <c r="G300" s="1"/>
      <c r="H300" s="1"/>
      <c r="L300" s="1"/>
      <c r="M300" s="1"/>
      <c r="AA300" s="1" t="str">
        <f t="shared" si="2"/>
        <v/>
      </c>
      <c r="AB300" s="1" t="str">
        <f t="shared" si="3"/>
        <v>_</v>
      </c>
    </row>
    <row r="301" ht="15.75" customHeight="1">
      <c r="E301" s="1"/>
      <c r="F301" s="1"/>
      <c r="G301" s="1"/>
      <c r="H301" s="1"/>
      <c r="L301" s="1"/>
      <c r="M301" s="1"/>
      <c r="AA301" s="1" t="str">
        <f t="shared" si="2"/>
        <v/>
      </c>
      <c r="AB301" s="1" t="str">
        <f t="shared" si="3"/>
        <v>_</v>
      </c>
    </row>
    <row r="302" ht="15.75" customHeight="1">
      <c r="E302" s="1"/>
      <c r="F302" s="1"/>
      <c r="G302" s="1"/>
      <c r="H302" s="1"/>
      <c r="L302" s="1"/>
      <c r="M302" s="1"/>
      <c r="AA302" s="1" t="str">
        <f t="shared" si="2"/>
        <v/>
      </c>
      <c r="AB302" s="1" t="str">
        <f t="shared" si="3"/>
        <v>_</v>
      </c>
    </row>
    <row r="303" ht="15.75" customHeight="1">
      <c r="E303" s="1"/>
      <c r="F303" s="1"/>
      <c r="G303" s="1"/>
      <c r="H303" s="1"/>
      <c r="L303" s="1"/>
      <c r="M303" s="1"/>
      <c r="AA303" s="1" t="str">
        <f t="shared" si="2"/>
        <v/>
      </c>
      <c r="AB303" s="1" t="str">
        <f t="shared" si="3"/>
        <v>_</v>
      </c>
    </row>
    <row r="304" ht="15.75" customHeight="1">
      <c r="E304" s="1"/>
      <c r="F304" s="1"/>
      <c r="G304" s="1"/>
      <c r="H304" s="1"/>
      <c r="L304" s="1"/>
      <c r="M304" s="1"/>
      <c r="AA304" s="1" t="str">
        <f t="shared" si="2"/>
        <v/>
      </c>
      <c r="AB304" s="1" t="str">
        <f t="shared" si="3"/>
        <v>_</v>
      </c>
    </row>
    <row r="305" ht="15.75" customHeight="1">
      <c r="E305" s="1"/>
      <c r="F305" s="1"/>
      <c r="G305" s="1"/>
      <c r="H305" s="1"/>
      <c r="L305" s="1"/>
      <c r="M305" s="1"/>
      <c r="AA305" s="1" t="str">
        <f t="shared" si="2"/>
        <v/>
      </c>
      <c r="AB305" s="1" t="str">
        <f t="shared" si="3"/>
        <v>_</v>
      </c>
    </row>
    <row r="306" ht="15.75" customHeight="1">
      <c r="E306" s="1"/>
      <c r="F306" s="1"/>
      <c r="G306" s="1"/>
      <c r="H306" s="1"/>
      <c r="L306" s="1"/>
      <c r="M306" s="1"/>
      <c r="AA306" s="1" t="str">
        <f t="shared" si="2"/>
        <v/>
      </c>
      <c r="AB306" s="1" t="str">
        <f t="shared" si="3"/>
        <v>_</v>
      </c>
    </row>
    <row r="307" ht="15.75" customHeight="1">
      <c r="E307" s="1"/>
      <c r="F307" s="1"/>
      <c r="G307" s="1"/>
      <c r="H307" s="1"/>
      <c r="L307" s="1"/>
      <c r="M307" s="1"/>
      <c r="AA307" s="1" t="str">
        <f t="shared" si="2"/>
        <v/>
      </c>
      <c r="AB307" s="1" t="str">
        <f t="shared" si="3"/>
        <v>_</v>
      </c>
    </row>
    <row r="308" ht="15.75" customHeight="1">
      <c r="E308" s="1"/>
      <c r="F308" s="1"/>
      <c r="G308" s="1"/>
      <c r="H308" s="1"/>
      <c r="L308" s="1"/>
      <c r="M308" s="1"/>
      <c r="AA308" s="1" t="str">
        <f t="shared" si="2"/>
        <v/>
      </c>
      <c r="AB308" s="1" t="str">
        <f t="shared" si="3"/>
        <v>_</v>
      </c>
    </row>
    <row r="309" ht="15.75" customHeight="1">
      <c r="E309" s="1"/>
      <c r="F309" s="1"/>
      <c r="G309" s="1"/>
      <c r="H309" s="1"/>
      <c r="L309" s="1"/>
      <c r="M309" s="1"/>
      <c r="AA309" s="1" t="str">
        <f t="shared" si="2"/>
        <v/>
      </c>
      <c r="AB309" s="1" t="str">
        <f t="shared" si="3"/>
        <v>_</v>
      </c>
    </row>
    <row r="310" ht="15.75" customHeight="1">
      <c r="E310" s="1"/>
      <c r="F310" s="1"/>
      <c r="G310" s="1"/>
      <c r="H310" s="1"/>
      <c r="L310" s="1"/>
      <c r="M310" s="1"/>
      <c r="AA310" s="1" t="str">
        <f t="shared" si="2"/>
        <v/>
      </c>
      <c r="AB310" s="1" t="str">
        <f t="shared" si="3"/>
        <v>_</v>
      </c>
    </row>
    <row r="311" ht="15.75" customHeight="1">
      <c r="E311" s="1"/>
      <c r="F311" s="1"/>
      <c r="G311" s="1"/>
      <c r="H311" s="1"/>
      <c r="L311" s="1"/>
      <c r="M311" s="1"/>
      <c r="AA311" s="1" t="str">
        <f t="shared" si="2"/>
        <v/>
      </c>
      <c r="AB311" s="1" t="str">
        <f t="shared" si="3"/>
        <v>_</v>
      </c>
    </row>
    <row r="312" ht="15.75" customHeight="1">
      <c r="E312" s="1"/>
      <c r="F312" s="1"/>
      <c r="G312" s="1"/>
      <c r="H312" s="1"/>
      <c r="L312" s="1"/>
      <c r="M312" s="1"/>
      <c r="AA312" s="1" t="str">
        <f t="shared" si="2"/>
        <v/>
      </c>
      <c r="AB312" s="1" t="str">
        <f t="shared" si="3"/>
        <v>_</v>
      </c>
    </row>
    <row r="313" ht="15.75" customHeight="1">
      <c r="E313" s="1"/>
      <c r="F313" s="1"/>
      <c r="G313" s="1"/>
      <c r="H313" s="1"/>
      <c r="L313" s="1"/>
      <c r="M313" s="1"/>
      <c r="AA313" s="1" t="str">
        <f t="shared" si="2"/>
        <v/>
      </c>
      <c r="AB313" s="1" t="str">
        <f t="shared" si="3"/>
        <v>_</v>
      </c>
    </row>
    <row r="314" ht="15.75" customHeight="1">
      <c r="E314" s="1"/>
      <c r="F314" s="1"/>
      <c r="G314" s="1"/>
      <c r="H314" s="1"/>
      <c r="L314" s="1"/>
      <c r="M314" s="1"/>
      <c r="AA314" s="1" t="str">
        <f t="shared" si="2"/>
        <v/>
      </c>
      <c r="AB314" s="1" t="str">
        <f t="shared" si="3"/>
        <v>_</v>
      </c>
    </row>
    <row r="315" ht="15.75" customHeight="1">
      <c r="E315" s="1"/>
      <c r="F315" s="1"/>
      <c r="G315" s="1"/>
      <c r="H315" s="1"/>
      <c r="L315" s="1"/>
      <c r="M315" s="1"/>
      <c r="AA315" s="1" t="str">
        <f t="shared" si="2"/>
        <v/>
      </c>
      <c r="AB315" s="1" t="str">
        <f t="shared" si="3"/>
        <v>_</v>
      </c>
    </row>
    <row r="316" ht="15.75" customHeight="1">
      <c r="E316" s="1"/>
      <c r="F316" s="1"/>
      <c r="G316" s="1"/>
      <c r="H316" s="1"/>
      <c r="L316" s="1"/>
      <c r="M316" s="1"/>
      <c r="AA316" s="1" t="str">
        <f t="shared" si="2"/>
        <v/>
      </c>
      <c r="AB316" s="1" t="str">
        <f t="shared" si="3"/>
        <v>_</v>
      </c>
    </row>
    <row r="317" ht="15.75" customHeight="1">
      <c r="E317" s="1"/>
      <c r="F317" s="1"/>
      <c r="G317" s="1"/>
      <c r="H317" s="1"/>
      <c r="L317" s="1"/>
      <c r="M317" s="1"/>
      <c r="AA317" s="1" t="str">
        <f t="shared" si="2"/>
        <v/>
      </c>
      <c r="AB317" s="1" t="str">
        <f t="shared" si="3"/>
        <v>_</v>
      </c>
    </row>
    <row r="318" ht="15.75" customHeight="1">
      <c r="E318" s="1"/>
      <c r="F318" s="1"/>
      <c r="G318" s="1"/>
      <c r="H318" s="1"/>
      <c r="L318" s="1"/>
      <c r="M318" s="1"/>
      <c r="AA318" s="1" t="str">
        <f t="shared" si="2"/>
        <v/>
      </c>
      <c r="AB318" s="1" t="str">
        <f t="shared" si="3"/>
        <v>_</v>
      </c>
    </row>
    <row r="319" ht="15.75" customHeight="1">
      <c r="E319" s="1"/>
      <c r="F319" s="1"/>
      <c r="G319" s="1"/>
      <c r="H319" s="1"/>
      <c r="L319" s="1"/>
      <c r="M319" s="1"/>
      <c r="AA319" s="1" t="str">
        <f t="shared" si="2"/>
        <v/>
      </c>
      <c r="AB319" s="1" t="str">
        <f t="shared" si="3"/>
        <v>_</v>
      </c>
    </row>
    <row r="320" ht="15.75" customHeight="1">
      <c r="E320" s="1"/>
      <c r="F320" s="1"/>
      <c r="G320" s="1"/>
      <c r="H320" s="1"/>
      <c r="L320" s="1"/>
      <c r="M320" s="1"/>
      <c r="AA320" s="1" t="str">
        <f t="shared" si="2"/>
        <v/>
      </c>
      <c r="AB320" s="1" t="str">
        <f t="shared" si="3"/>
        <v>_</v>
      </c>
    </row>
    <row r="321" ht="15.75" customHeight="1">
      <c r="E321" s="1"/>
      <c r="F321" s="1"/>
      <c r="G321" s="1"/>
      <c r="H321" s="1"/>
      <c r="L321" s="1"/>
      <c r="M321" s="1"/>
      <c r="AA321" s="1" t="str">
        <f t="shared" si="2"/>
        <v/>
      </c>
      <c r="AB321" s="1" t="str">
        <f t="shared" si="3"/>
        <v>_</v>
      </c>
    </row>
    <row r="322" ht="15.75" customHeight="1">
      <c r="E322" s="1"/>
      <c r="F322" s="1"/>
      <c r="G322" s="1"/>
      <c r="H322" s="1"/>
      <c r="L322" s="1"/>
      <c r="M322" s="1"/>
      <c r="AA322" s="1" t="str">
        <f t="shared" si="2"/>
        <v/>
      </c>
      <c r="AB322" s="1" t="str">
        <f t="shared" si="3"/>
        <v>_</v>
      </c>
    </row>
    <row r="323" ht="15.75" customHeight="1">
      <c r="E323" s="1"/>
      <c r="F323" s="1"/>
      <c r="G323" s="1"/>
      <c r="H323" s="1"/>
      <c r="L323" s="1"/>
      <c r="M323" s="1"/>
      <c r="AA323" s="1" t="str">
        <f t="shared" si="2"/>
        <v/>
      </c>
      <c r="AB323" s="1" t="str">
        <f t="shared" si="3"/>
        <v>_</v>
      </c>
    </row>
    <row r="324" ht="15.75" customHeight="1">
      <c r="E324" s="1"/>
      <c r="F324" s="1"/>
      <c r="G324" s="1"/>
      <c r="H324" s="1"/>
      <c r="L324" s="1"/>
      <c r="M324" s="1"/>
      <c r="AA324" s="1" t="str">
        <f t="shared" si="2"/>
        <v/>
      </c>
      <c r="AB324" s="1" t="str">
        <f t="shared" si="3"/>
        <v>_</v>
      </c>
    </row>
    <row r="325" ht="15.75" customHeight="1">
      <c r="E325" s="1"/>
      <c r="F325" s="1"/>
      <c r="G325" s="1"/>
      <c r="H325" s="1"/>
      <c r="L325" s="1"/>
      <c r="M325" s="1"/>
      <c r="AA325" s="1" t="str">
        <f t="shared" si="2"/>
        <v/>
      </c>
      <c r="AB325" s="1" t="str">
        <f t="shared" si="3"/>
        <v>_</v>
      </c>
    </row>
    <row r="326" ht="15.75" customHeight="1">
      <c r="E326" s="1"/>
      <c r="F326" s="1"/>
      <c r="G326" s="1"/>
      <c r="H326" s="1"/>
      <c r="L326" s="1"/>
      <c r="M326" s="1"/>
      <c r="AA326" s="1" t="str">
        <f t="shared" si="2"/>
        <v/>
      </c>
      <c r="AB326" s="1" t="str">
        <f t="shared" si="3"/>
        <v>_</v>
      </c>
    </row>
    <row r="327" ht="15.75" customHeight="1">
      <c r="E327" s="1"/>
      <c r="F327" s="1"/>
      <c r="G327" s="1"/>
      <c r="H327" s="1"/>
      <c r="L327" s="1"/>
      <c r="M327" s="1"/>
      <c r="AA327" s="1" t="str">
        <f t="shared" si="2"/>
        <v/>
      </c>
      <c r="AB327" s="1" t="str">
        <f t="shared" si="3"/>
        <v>_</v>
      </c>
    </row>
    <row r="328" ht="15.75" customHeight="1">
      <c r="E328" s="1"/>
      <c r="F328" s="1"/>
      <c r="G328" s="1"/>
      <c r="H328" s="1"/>
      <c r="L328" s="1"/>
      <c r="M328" s="1"/>
      <c r="AA328" s="1" t="str">
        <f t="shared" si="2"/>
        <v/>
      </c>
      <c r="AB328" s="1" t="str">
        <f t="shared" si="3"/>
        <v>_</v>
      </c>
    </row>
    <row r="329" ht="15.75" customHeight="1">
      <c r="E329" s="1"/>
      <c r="F329" s="1"/>
      <c r="G329" s="1"/>
      <c r="H329" s="1"/>
      <c r="L329" s="1"/>
      <c r="M329" s="1"/>
      <c r="AA329" s="1" t="str">
        <f t="shared" si="2"/>
        <v/>
      </c>
      <c r="AB329" s="1" t="str">
        <f t="shared" si="3"/>
        <v>_</v>
      </c>
    </row>
    <row r="330" ht="15.75" customHeight="1">
      <c r="E330" s="1"/>
      <c r="F330" s="1"/>
      <c r="G330" s="1"/>
      <c r="H330" s="1"/>
      <c r="L330" s="1"/>
      <c r="M330" s="1"/>
      <c r="AA330" s="1" t="str">
        <f t="shared" si="2"/>
        <v/>
      </c>
      <c r="AB330" s="1" t="str">
        <f t="shared" si="3"/>
        <v>_</v>
      </c>
    </row>
    <row r="331" ht="15.75" customHeight="1">
      <c r="E331" s="1"/>
      <c r="F331" s="1"/>
      <c r="G331" s="1"/>
      <c r="H331" s="1"/>
      <c r="L331" s="1"/>
      <c r="M331" s="1"/>
      <c r="AA331" s="1" t="str">
        <f t="shared" si="2"/>
        <v/>
      </c>
      <c r="AB331" s="1" t="str">
        <f t="shared" si="3"/>
        <v>_</v>
      </c>
    </row>
    <row r="332" ht="15.75" customHeight="1">
      <c r="E332" s="1"/>
      <c r="F332" s="1"/>
      <c r="G332" s="1"/>
      <c r="H332" s="1"/>
      <c r="L332" s="1"/>
      <c r="M332" s="1"/>
      <c r="AA332" s="1" t="str">
        <f t="shared" si="2"/>
        <v/>
      </c>
      <c r="AB332" s="1" t="str">
        <f t="shared" si="3"/>
        <v>_</v>
      </c>
    </row>
    <row r="333" ht="15.75" customHeight="1">
      <c r="E333" s="1"/>
      <c r="F333" s="1"/>
      <c r="G333" s="1"/>
      <c r="H333" s="1"/>
      <c r="L333" s="1"/>
      <c r="M333" s="1"/>
      <c r="AA333" s="1" t="str">
        <f t="shared" si="2"/>
        <v/>
      </c>
      <c r="AB333" s="1" t="str">
        <f t="shared" si="3"/>
        <v>_</v>
      </c>
    </row>
    <row r="334" ht="15.75" customHeight="1">
      <c r="E334" s="1"/>
      <c r="F334" s="1"/>
      <c r="G334" s="1"/>
      <c r="H334" s="1"/>
      <c r="L334" s="1"/>
      <c r="M334" s="1"/>
      <c r="AA334" s="1" t="str">
        <f t="shared" si="2"/>
        <v/>
      </c>
      <c r="AB334" s="1" t="str">
        <f t="shared" si="3"/>
        <v>_</v>
      </c>
    </row>
    <row r="335" ht="15.75" customHeight="1">
      <c r="E335" s="1"/>
      <c r="F335" s="1"/>
      <c r="G335" s="1"/>
      <c r="H335" s="1"/>
      <c r="L335" s="1"/>
      <c r="M335" s="1"/>
      <c r="AA335" s="1" t="str">
        <f t="shared" si="2"/>
        <v/>
      </c>
      <c r="AB335" s="1" t="str">
        <f t="shared" si="3"/>
        <v>_</v>
      </c>
    </row>
    <row r="336" ht="15.75" customHeight="1">
      <c r="E336" s="1"/>
      <c r="F336" s="1"/>
      <c r="G336" s="1"/>
      <c r="H336" s="1"/>
      <c r="L336" s="1"/>
      <c r="M336" s="1"/>
      <c r="AA336" s="1" t="str">
        <f t="shared" si="2"/>
        <v/>
      </c>
      <c r="AB336" s="1" t="str">
        <f t="shared" si="3"/>
        <v>_</v>
      </c>
    </row>
    <row r="337" ht="15.75" customHeight="1">
      <c r="E337" s="1"/>
      <c r="F337" s="1"/>
      <c r="G337" s="1"/>
      <c r="H337" s="1"/>
      <c r="L337" s="1"/>
      <c r="M337" s="1"/>
      <c r="AA337" s="1" t="str">
        <f t="shared" si="2"/>
        <v/>
      </c>
      <c r="AB337" s="1" t="str">
        <f t="shared" si="3"/>
        <v>_</v>
      </c>
    </row>
    <row r="338" ht="15.75" customHeight="1">
      <c r="E338" s="1"/>
      <c r="F338" s="1"/>
      <c r="G338" s="1"/>
      <c r="H338" s="1"/>
      <c r="L338" s="1"/>
      <c r="M338" s="1"/>
      <c r="AA338" s="1" t="str">
        <f t="shared" si="2"/>
        <v/>
      </c>
      <c r="AB338" s="1" t="str">
        <f t="shared" si="3"/>
        <v>_</v>
      </c>
    </row>
    <row r="339" ht="15.75" customHeight="1">
      <c r="E339" s="1"/>
      <c r="F339" s="1"/>
      <c r="G339" s="1"/>
      <c r="H339" s="1"/>
      <c r="L339" s="1"/>
      <c r="M339" s="1"/>
      <c r="AA339" s="1" t="str">
        <f t="shared" si="2"/>
        <v/>
      </c>
      <c r="AB339" s="1" t="str">
        <f t="shared" si="3"/>
        <v>_</v>
      </c>
    </row>
    <row r="340" ht="15.75" customHeight="1">
      <c r="E340" s="1"/>
      <c r="F340" s="1"/>
      <c r="G340" s="1"/>
      <c r="H340" s="1"/>
      <c r="L340" s="1"/>
      <c r="M340" s="1"/>
      <c r="AA340" s="1" t="str">
        <f t="shared" si="2"/>
        <v/>
      </c>
      <c r="AB340" s="1" t="str">
        <f t="shared" si="3"/>
        <v>_</v>
      </c>
    </row>
    <row r="341" ht="15.75" customHeight="1">
      <c r="E341" s="1"/>
      <c r="F341" s="1"/>
      <c r="G341" s="1"/>
      <c r="H341" s="1"/>
      <c r="L341" s="1"/>
      <c r="M341" s="1"/>
      <c r="AA341" s="1" t="str">
        <f t="shared" si="2"/>
        <v/>
      </c>
      <c r="AB341" s="1" t="str">
        <f t="shared" si="3"/>
        <v>_</v>
      </c>
    </row>
    <row r="342" ht="15.75" customHeight="1">
      <c r="E342" s="1"/>
      <c r="F342" s="1"/>
      <c r="G342" s="1"/>
      <c r="H342" s="1"/>
      <c r="L342" s="1"/>
      <c r="M342" s="1"/>
      <c r="AA342" s="1" t="str">
        <f t="shared" si="2"/>
        <v/>
      </c>
      <c r="AB342" s="1" t="str">
        <f t="shared" si="3"/>
        <v>_</v>
      </c>
    </row>
    <row r="343" ht="15.75" customHeight="1">
      <c r="E343" s="1"/>
      <c r="F343" s="1"/>
      <c r="G343" s="1"/>
      <c r="H343" s="1"/>
      <c r="L343" s="1"/>
      <c r="M343" s="1"/>
      <c r="AA343" s="1" t="str">
        <f t="shared" si="2"/>
        <v/>
      </c>
      <c r="AB343" s="1" t="str">
        <f t="shared" si="3"/>
        <v>_</v>
      </c>
    </row>
    <row r="344" ht="15.75" customHeight="1">
      <c r="E344" s="1"/>
      <c r="F344" s="1"/>
      <c r="G344" s="1"/>
      <c r="H344" s="1"/>
      <c r="L344" s="1"/>
      <c r="M344" s="1"/>
      <c r="AA344" s="1" t="str">
        <f t="shared" si="2"/>
        <v/>
      </c>
      <c r="AB344" s="1" t="str">
        <f t="shared" si="3"/>
        <v>_</v>
      </c>
    </row>
    <row r="345" ht="15.75" customHeight="1">
      <c r="E345" s="1"/>
      <c r="F345" s="1"/>
      <c r="G345" s="1"/>
      <c r="H345" s="1"/>
      <c r="L345" s="1"/>
      <c r="M345" s="1"/>
      <c r="AA345" s="1" t="str">
        <f t="shared" si="2"/>
        <v/>
      </c>
      <c r="AB345" s="1" t="str">
        <f t="shared" si="3"/>
        <v>_</v>
      </c>
    </row>
    <row r="346" ht="15.75" customHeight="1">
      <c r="E346" s="1"/>
      <c r="F346" s="1"/>
      <c r="G346" s="1"/>
      <c r="H346" s="1"/>
      <c r="L346" s="1"/>
      <c r="M346" s="1"/>
      <c r="AA346" s="1" t="str">
        <f t="shared" si="2"/>
        <v/>
      </c>
      <c r="AB346" s="1" t="str">
        <f t="shared" si="3"/>
        <v>_</v>
      </c>
    </row>
    <row r="347" ht="15.75" customHeight="1">
      <c r="E347" s="1"/>
      <c r="F347" s="1"/>
      <c r="G347" s="1"/>
      <c r="H347" s="1"/>
      <c r="L347" s="1"/>
      <c r="M347" s="1"/>
      <c r="AA347" s="1" t="str">
        <f t="shared" si="2"/>
        <v/>
      </c>
      <c r="AB347" s="1" t="str">
        <f t="shared" si="3"/>
        <v>_</v>
      </c>
    </row>
    <row r="348" ht="15.75" customHeight="1">
      <c r="E348" s="1"/>
      <c r="F348" s="1"/>
      <c r="G348" s="1"/>
      <c r="H348" s="1"/>
      <c r="L348" s="1"/>
      <c r="M348" s="1"/>
      <c r="AA348" s="1" t="str">
        <f t="shared" si="2"/>
        <v/>
      </c>
      <c r="AB348" s="1" t="str">
        <f t="shared" si="3"/>
        <v>_</v>
      </c>
    </row>
    <row r="349" ht="15.75" customHeight="1">
      <c r="E349" s="1"/>
      <c r="F349" s="1"/>
      <c r="G349" s="1"/>
      <c r="H349" s="1"/>
      <c r="L349" s="1"/>
      <c r="M349" s="1"/>
      <c r="AA349" s="1" t="str">
        <f t="shared" si="2"/>
        <v/>
      </c>
      <c r="AB349" s="1" t="str">
        <f t="shared" si="3"/>
        <v>_</v>
      </c>
    </row>
    <row r="350" ht="15.75" customHeight="1">
      <c r="E350" s="1"/>
      <c r="F350" s="1"/>
      <c r="G350" s="1"/>
      <c r="H350" s="1"/>
      <c r="L350" s="1"/>
      <c r="M350" s="1"/>
      <c r="AA350" s="1" t="str">
        <f t="shared" si="2"/>
        <v/>
      </c>
      <c r="AB350" s="1" t="str">
        <f t="shared" si="3"/>
        <v>_</v>
      </c>
    </row>
    <row r="351" ht="15.75" customHeight="1">
      <c r="E351" s="1"/>
      <c r="F351" s="1"/>
      <c r="G351" s="1"/>
      <c r="H351" s="1"/>
      <c r="L351" s="1"/>
      <c r="M351" s="1"/>
      <c r="AA351" s="1" t="str">
        <f t="shared" si="2"/>
        <v/>
      </c>
      <c r="AB351" s="1" t="str">
        <f t="shared" si="3"/>
        <v>_</v>
      </c>
    </row>
    <row r="352" ht="15.75" customHeight="1">
      <c r="E352" s="1"/>
      <c r="F352" s="1"/>
      <c r="G352" s="1"/>
      <c r="H352" s="1"/>
      <c r="L352" s="1"/>
      <c r="M352" s="1"/>
      <c r="AA352" s="1" t="str">
        <f t="shared" si="2"/>
        <v/>
      </c>
      <c r="AB352" s="1" t="str">
        <f t="shared" si="3"/>
        <v>_</v>
      </c>
    </row>
    <row r="353" ht="15.75" customHeight="1">
      <c r="E353" s="1"/>
      <c r="F353" s="1"/>
      <c r="G353" s="1"/>
      <c r="H353" s="1"/>
      <c r="L353" s="1"/>
      <c r="M353" s="1"/>
      <c r="AA353" s="1" t="str">
        <f t="shared" si="2"/>
        <v/>
      </c>
      <c r="AB353" s="1" t="str">
        <f t="shared" si="3"/>
        <v>_</v>
      </c>
    </row>
    <row r="354" ht="15.75" customHeight="1">
      <c r="E354" s="1"/>
      <c r="F354" s="1"/>
      <c r="G354" s="1"/>
      <c r="H354" s="1"/>
      <c r="L354" s="1"/>
      <c r="M354" s="1"/>
      <c r="AA354" s="1" t="str">
        <f t="shared" si="2"/>
        <v/>
      </c>
      <c r="AB354" s="1" t="str">
        <f t="shared" si="3"/>
        <v>_</v>
      </c>
    </row>
    <row r="355" ht="15.75" customHeight="1">
      <c r="E355" s="1"/>
      <c r="F355" s="1"/>
      <c r="G355" s="1"/>
      <c r="H355" s="1"/>
      <c r="L355" s="1"/>
      <c r="M355" s="1"/>
      <c r="AA355" s="1" t="str">
        <f t="shared" si="2"/>
        <v/>
      </c>
      <c r="AB355" s="1" t="str">
        <f t="shared" si="3"/>
        <v>_</v>
      </c>
    </row>
    <row r="356" ht="15.75" customHeight="1">
      <c r="E356" s="1"/>
      <c r="F356" s="1"/>
      <c r="G356" s="1"/>
      <c r="H356" s="1"/>
      <c r="L356" s="1"/>
      <c r="M356" s="1"/>
      <c r="AA356" s="1" t="str">
        <f t="shared" si="2"/>
        <v/>
      </c>
      <c r="AB356" s="1" t="str">
        <f t="shared" si="3"/>
        <v>_</v>
      </c>
    </row>
    <row r="357" ht="15.75" customHeight="1">
      <c r="E357" s="1"/>
      <c r="F357" s="1"/>
      <c r="G357" s="1"/>
      <c r="H357" s="1"/>
      <c r="L357" s="1"/>
      <c r="M357" s="1"/>
      <c r="AA357" s="1" t="str">
        <f t="shared" si="2"/>
        <v/>
      </c>
      <c r="AB357" s="1" t="str">
        <f t="shared" si="3"/>
        <v>_</v>
      </c>
    </row>
    <row r="358" ht="15.75" customHeight="1">
      <c r="E358" s="1"/>
      <c r="F358" s="1"/>
      <c r="G358" s="1"/>
      <c r="H358" s="1"/>
      <c r="L358" s="1"/>
      <c r="M358" s="1"/>
      <c r="AA358" s="1" t="str">
        <f t="shared" si="2"/>
        <v/>
      </c>
      <c r="AB358" s="1" t="str">
        <f t="shared" si="3"/>
        <v>_</v>
      </c>
    </row>
    <row r="359" ht="15.75" customHeight="1">
      <c r="E359" s="1"/>
      <c r="F359" s="1"/>
      <c r="G359" s="1"/>
      <c r="H359" s="1"/>
      <c r="L359" s="1"/>
      <c r="M359" s="1"/>
      <c r="AA359" s="1" t="str">
        <f t="shared" si="2"/>
        <v/>
      </c>
      <c r="AB359" s="1" t="str">
        <f t="shared" si="3"/>
        <v>_</v>
      </c>
    </row>
    <row r="360" ht="15.75" customHeight="1">
      <c r="E360" s="1"/>
      <c r="F360" s="1"/>
      <c r="G360" s="1"/>
      <c r="H360" s="1"/>
      <c r="L360" s="1"/>
      <c r="M360" s="1"/>
      <c r="AA360" s="1" t="str">
        <f t="shared" si="2"/>
        <v/>
      </c>
      <c r="AB360" s="1" t="str">
        <f t="shared" si="3"/>
        <v>_</v>
      </c>
    </row>
    <row r="361" ht="15.75" customHeight="1">
      <c r="E361" s="1"/>
      <c r="F361" s="1"/>
      <c r="G361" s="1"/>
      <c r="H361" s="1"/>
      <c r="L361" s="1"/>
      <c r="M361" s="1"/>
      <c r="AA361" s="1" t="str">
        <f t="shared" si="2"/>
        <v/>
      </c>
      <c r="AB361" s="1" t="str">
        <f t="shared" si="3"/>
        <v>_</v>
      </c>
    </row>
    <row r="362" ht="15.75" customHeight="1">
      <c r="E362" s="1"/>
      <c r="F362" s="1"/>
      <c r="G362" s="1"/>
      <c r="H362" s="1"/>
      <c r="L362" s="1"/>
      <c r="M362" s="1"/>
      <c r="AA362" s="1" t="str">
        <f t="shared" si="2"/>
        <v/>
      </c>
      <c r="AB362" s="1" t="str">
        <f t="shared" si="3"/>
        <v>_</v>
      </c>
    </row>
    <row r="363" ht="15.75" customHeight="1">
      <c r="E363" s="1"/>
      <c r="F363" s="1"/>
      <c r="G363" s="1"/>
      <c r="H363" s="1"/>
      <c r="L363" s="1"/>
      <c r="M363" s="1"/>
      <c r="AA363" s="1" t="str">
        <f t="shared" si="2"/>
        <v/>
      </c>
      <c r="AB363" s="1" t="str">
        <f t="shared" si="3"/>
        <v>_</v>
      </c>
    </row>
    <row r="364" ht="15.75" customHeight="1">
      <c r="E364" s="1"/>
      <c r="F364" s="1"/>
      <c r="G364" s="1"/>
      <c r="H364" s="1"/>
      <c r="L364" s="1"/>
      <c r="M364" s="1"/>
      <c r="AA364" s="1" t="str">
        <f t="shared" si="2"/>
        <v/>
      </c>
      <c r="AB364" s="1" t="str">
        <f t="shared" si="3"/>
        <v>_</v>
      </c>
    </row>
    <row r="365" ht="15.75" customHeight="1">
      <c r="E365" s="1"/>
      <c r="F365" s="1"/>
      <c r="G365" s="1"/>
      <c r="H365" s="1"/>
      <c r="L365" s="1"/>
      <c r="M365" s="1"/>
      <c r="AA365" s="1" t="str">
        <f t="shared" si="2"/>
        <v/>
      </c>
      <c r="AB365" s="1" t="str">
        <f t="shared" si="3"/>
        <v>_</v>
      </c>
    </row>
    <row r="366" ht="15.75" customHeight="1">
      <c r="E366" s="1"/>
      <c r="F366" s="1"/>
      <c r="G366" s="1"/>
      <c r="H366" s="1"/>
      <c r="L366" s="1"/>
      <c r="M366" s="1"/>
      <c r="AA366" s="1" t="str">
        <f t="shared" si="2"/>
        <v/>
      </c>
      <c r="AB366" s="1" t="str">
        <f t="shared" si="3"/>
        <v>_</v>
      </c>
    </row>
    <row r="367" ht="15.75" customHeight="1">
      <c r="E367" s="1"/>
      <c r="F367" s="1"/>
      <c r="G367" s="1"/>
      <c r="H367" s="1"/>
      <c r="L367" s="1"/>
      <c r="M367" s="1"/>
      <c r="AA367" s="1" t="str">
        <f t="shared" si="2"/>
        <v/>
      </c>
      <c r="AB367" s="1" t="str">
        <f t="shared" si="3"/>
        <v>_</v>
      </c>
    </row>
    <row r="368" ht="15.75" customHeight="1">
      <c r="E368" s="1"/>
      <c r="F368" s="1"/>
      <c r="G368" s="1"/>
      <c r="H368" s="1"/>
      <c r="L368" s="1"/>
      <c r="M368" s="1"/>
      <c r="AA368" s="1" t="str">
        <f t="shared" si="2"/>
        <v/>
      </c>
      <c r="AB368" s="1" t="str">
        <f t="shared" si="3"/>
        <v>_</v>
      </c>
    </row>
    <row r="369" ht="15.75" customHeight="1">
      <c r="E369" s="1"/>
      <c r="F369" s="1"/>
      <c r="G369" s="1"/>
      <c r="H369" s="1"/>
      <c r="L369" s="1"/>
      <c r="M369" s="1"/>
      <c r="AA369" s="1" t="str">
        <f t="shared" si="2"/>
        <v/>
      </c>
      <c r="AB369" s="1" t="str">
        <f t="shared" si="3"/>
        <v>_</v>
      </c>
    </row>
    <row r="370" ht="15.75" customHeight="1">
      <c r="E370" s="1"/>
      <c r="F370" s="1"/>
      <c r="G370" s="1"/>
      <c r="H370" s="1"/>
      <c r="L370" s="1"/>
      <c r="M370" s="1"/>
      <c r="AA370" s="1" t="str">
        <f t="shared" si="2"/>
        <v/>
      </c>
      <c r="AB370" s="1" t="str">
        <f t="shared" si="3"/>
        <v>_</v>
      </c>
    </row>
    <row r="371" ht="15.75" customHeight="1">
      <c r="E371" s="1"/>
      <c r="F371" s="1"/>
      <c r="G371" s="1"/>
      <c r="H371" s="1"/>
      <c r="L371" s="1"/>
      <c r="M371" s="1"/>
      <c r="AA371" s="1" t="str">
        <f t="shared" si="2"/>
        <v/>
      </c>
      <c r="AB371" s="1" t="str">
        <f t="shared" si="3"/>
        <v>_</v>
      </c>
    </row>
    <row r="372" ht="15.75" customHeight="1">
      <c r="E372" s="1"/>
      <c r="F372" s="1"/>
      <c r="G372" s="1"/>
      <c r="H372" s="1"/>
      <c r="L372" s="1"/>
      <c r="M372" s="1"/>
      <c r="AA372" s="1" t="str">
        <f t="shared" si="2"/>
        <v/>
      </c>
      <c r="AB372" s="1" t="str">
        <f t="shared" si="3"/>
        <v>_</v>
      </c>
    </row>
    <row r="373" ht="15.75" customHeight="1">
      <c r="E373" s="1"/>
      <c r="F373" s="1"/>
      <c r="G373" s="1"/>
      <c r="H373" s="1"/>
      <c r="L373" s="1"/>
      <c r="M373" s="1"/>
      <c r="AA373" s="1" t="str">
        <f t="shared" si="2"/>
        <v/>
      </c>
      <c r="AB373" s="1" t="str">
        <f t="shared" si="3"/>
        <v>_</v>
      </c>
    </row>
    <row r="374" ht="15.75" customHeight="1">
      <c r="E374" s="1"/>
      <c r="F374" s="1"/>
      <c r="G374" s="1"/>
      <c r="H374" s="1"/>
      <c r="L374" s="1"/>
      <c r="M374" s="1"/>
      <c r="AA374" s="1" t="str">
        <f t="shared" si="2"/>
        <v/>
      </c>
      <c r="AB374" s="1" t="str">
        <f t="shared" si="3"/>
        <v>_</v>
      </c>
    </row>
    <row r="375" ht="15.75" customHeight="1">
      <c r="E375" s="1"/>
      <c r="F375" s="1"/>
      <c r="G375" s="1"/>
      <c r="H375" s="1"/>
      <c r="L375" s="1"/>
      <c r="M375" s="1"/>
      <c r="AA375" s="1" t="str">
        <f t="shared" si="2"/>
        <v/>
      </c>
      <c r="AB375" s="1" t="str">
        <f t="shared" si="3"/>
        <v>_</v>
      </c>
    </row>
    <row r="376" ht="15.75" customHeight="1">
      <c r="E376" s="1"/>
      <c r="F376" s="1"/>
      <c r="G376" s="1"/>
      <c r="H376" s="1"/>
      <c r="L376" s="1"/>
      <c r="M376" s="1"/>
      <c r="AA376" s="1" t="str">
        <f t="shared" si="2"/>
        <v/>
      </c>
      <c r="AB376" s="1" t="str">
        <f t="shared" si="3"/>
        <v>_</v>
      </c>
    </row>
    <row r="377" ht="15.75" customHeight="1">
      <c r="E377" s="1"/>
      <c r="F377" s="1"/>
      <c r="G377" s="1"/>
      <c r="H377" s="1"/>
      <c r="L377" s="1"/>
      <c r="M377" s="1"/>
      <c r="AA377" s="1" t="str">
        <f t="shared" si="2"/>
        <v/>
      </c>
      <c r="AB377" s="1" t="str">
        <f t="shared" si="3"/>
        <v>_</v>
      </c>
    </row>
    <row r="378" ht="15.75" customHeight="1">
      <c r="E378" s="1"/>
      <c r="F378" s="1"/>
      <c r="G378" s="1"/>
      <c r="H378" s="1"/>
      <c r="L378" s="1"/>
      <c r="M378" s="1"/>
      <c r="AA378" s="1" t="str">
        <f t="shared" si="2"/>
        <v/>
      </c>
      <c r="AB378" s="1" t="str">
        <f t="shared" si="3"/>
        <v>_</v>
      </c>
    </row>
    <row r="379" ht="15.75" customHeight="1">
      <c r="E379" s="1"/>
      <c r="F379" s="1"/>
      <c r="G379" s="1"/>
      <c r="H379" s="1"/>
      <c r="L379" s="1"/>
      <c r="M379" s="1"/>
      <c r="AA379" s="1" t="str">
        <f t="shared" si="2"/>
        <v/>
      </c>
      <c r="AB379" s="1" t="str">
        <f t="shared" si="3"/>
        <v>_</v>
      </c>
    </row>
    <row r="380" ht="15.75" customHeight="1">
      <c r="E380" s="1"/>
      <c r="F380" s="1"/>
      <c r="G380" s="1"/>
      <c r="H380" s="1"/>
      <c r="L380" s="1"/>
      <c r="M380" s="1"/>
      <c r="AA380" s="1" t="str">
        <f t="shared" si="2"/>
        <v/>
      </c>
      <c r="AB380" s="1" t="str">
        <f t="shared" si="3"/>
        <v>_</v>
      </c>
    </row>
    <row r="381" ht="15.75" customHeight="1">
      <c r="E381" s="1"/>
      <c r="F381" s="1"/>
      <c r="G381" s="1"/>
      <c r="H381" s="1"/>
      <c r="L381" s="1"/>
      <c r="M381" s="1"/>
      <c r="AA381" s="1" t="str">
        <f t="shared" si="2"/>
        <v/>
      </c>
      <c r="AB381" s="1" t="str">
        <f t="shared" si="3"/>
        <v>_</v>
      </c>
    </row>
    <row r="382" ht="15.75" customHeight="1">
      <c r="E382" s="1"/>
      <c r="F382" s="1"/>
      <c r="G382" s="1"/>
      <c r="H382" s="1"/>
      <c r="L382" s="1"/>
      <c r="M382" s="1"/>
      <c r="AA382" s="1" t="str">
        <f t="shared" si="2"/>
        <v/>
      </c>
      <c r="AB382" s="1" t="str">
        <f t="shared" si="3"/>
        <v>_</v>
      </c>
    </row>
    <row r="383" ht="15.75" customHeight="1">
      <c r="E383" s="1"/>
      <c r="F383" s="1"/>
      <c r="G383" s="1"/>
      <c r="H383" s="1"/>
      <c r="L383" s="1"/>
      <c r="M383" s="1"/>
      <c r="AA383" s="1" t="str">
        <f t="shared" si="2"/>
        <v/>
      </c>
      <c r="AB383" s="1" t="str">
        <f t="shared" si="3"/>
        <v>_</v>
      </c>
    </row>
    <row r="384" ht="15.75" customHeight="1">
      <c r="E384" s="1"/>
      <c r="F384" s="1"/>
      <c r="G384" s="1"/>
      <c r="H384" s="1"/>
      <c r="L384" s="1"/>
      <c r="M384" s="1"/>
      <c r="AA384" s="1" t="str">
        <f t="shared" si="2"/>
        <v/>
      </c>
      <c r="AB384" s="1" t="str">
        <f t="shared" si="3"/>
        <v>_</v>
      </c>
    </row>
    <row r="385" ht="15.75" customHeight="1">
      <c r="E385" s="1"/>
      <c r="F385" s="1"/>
      <c r="G385" s="1"/>
      <c r="H385" s="1"/>
      <c r="L385" s="1"/>
      <c r="M385" s="1"/>
      <c r="AA385" s="1" t="str">
        <f t="shared" si="2"/>
        <v/>
      </c>
      <c r="AB385" s="1" t="str">
        <f t="shared" si="3"/>
        <v>_</v>
      </c>
    </row>
    <row r="386" ht="15.75" customHeight="1">
      <c r="E386" s="1"/>
      <c r="F386" s="1"/>
      <c r="G386" s="1"/>
      <c r="H386" s="1"/>
      <c r="L386" s="1"/>
      <c r="M386" s="1"/>
      <c r="AA386" s="1" t="str">
        <f t="shared" si="2"/>
        <v/>
      </c>
      <c r="AB386" s="1" t="str">
        <f t="shared" si="3"/>
        <v>_</v>
      </c>
    </row>
    <row r="387" ht="15.75" customHeight="1">
      <c r="E387" s="1"/>
      <c r="F387" s="1"/>
      <c r="G387" s="1"/>
      <c r="H387" s="1"/>
      <c r="L387" s="1"/>
      <c r="M387" s="1"/>
      <c r="AA387" s="1" t="str">
        <f t="shared" si="2"/>
        <v/>
      </c>
      <c r="AB387" s="1" t="str">
        <f t="shared" si="3"/>
        <v>_</v>
      </c>
    </row>
    <row r="388" ht="15.75" customHeight="1">
      <c r="E388" s="1"/>
      <c r="F388" s="1"/>
      <c r="G388" s="1"/>
      <c r="H388" s="1"/>
      <c r="L388" s="1"/>
      <c r="M388" s="1"/>
      <c r="AA388" s="1" t="str">
        <f t="shared" si="2"/>
        <v/>
      </c>
      <c r="AB388" s="1" t="str">
        <f t="shared" si="3"/>
        <v>_</v>
      </c>
    </row>
    <row r="389" ht="15.75" customHeight="1">
      <c r="E389" s="1"/>
      <c r="F389" s="1"/>
      <c r="G389" s="1"/>
      <c r="H389" s="1"/>
      <c r="L389" s="1"/>
      <c r="M389" s="1"/>
      <c r="AA389" s="1" t="str">
        <f t="shared" si="2"/>
        <v/>
      </c>
      <c r="AB389" s="1" t="str">
        <f t="shared" si="3"/>
        <v>_</v>
      </c>
    </row>
    <row r="390" ht="15.75" customHeight="1">
      <c r="E390" s="1"/>
      <c r="F390" s="1"/>
      <c r="G390" s="1"/>
      <c r="H390" s="1"/>
      <c r="L390" s="1"/>
      <c r="M390" s="1"/>
      <c r="AA390" s="1" t="str">
        <f t="shared" si="2"/>
        <v/>
      </c>
      <c r="AB390" s="1" t="str">
        <f t="shared" si="3"/>
        <v>_</v>
      </c>
    </row>
    <row r="391" ht="15.75" customHeight="1">
      <c r="E391" s="1"/>
      <c r="F391" s="1"/>
      <c r="G391" s="1"/>
      <c r="H391" s="1"/>
      <c r="L391" s="1"/>
      <c r="M391" s="1"/>
      <c r="AA391" s="1" t="str">
        <f t="shared" si="2"/>
        <v/>
      </c>
      <c r="AB391" s="1" t="str">
        <f t="shared" si="3"/>
        <v>_</v>
      </c>
    </row>
    <row r="392" ht="15.75" customHeight="1">
      <c r="E392" s="1"/>
      <c r="F392" s="1"/>
      <c r="G392" s="1"/>
      <c r="H392" s="1"/>
      <c r="L392" s="1"/>
      <c r="M392" s="1"/>
      <c r="AA392" s="1" t="str">
        <f t="shared" si="2"/>
        <v/>
      </c>
      <c r="AB392" s="1" t="str">
        <f t="shared" si="3"/>
        <v>_</v>
      </c>
    </row>
    <row r="393" ht="15.75" customHeight="1">
      <c r="E393" s="1"/>
      <c r="F393" s="1"/>
      <c r="G393" s="1"/>
      <c r="H393" s="1"/>
      <c r="L393" s="1"/>
      <c r="M393" s="1"/>
      <c r="AA393" s="1" t="str">
        <f t="shared" si="2"/>
        <v/>
      </c>
      <c r="AB393" s="1" t="str">
        <f t="shared" si="3"/>
        <v>_</v>
      </c>
    </row>
    <row r="394" ht="15.75" customHeight="1">
      <c r="E394" s="1"/>
      <c r="F394" s="1"/>
      <c r="G394" s="1"/>
      <c r="H394" s="1"/>
      <c r="L394" s="1"/>
      <c r="M394" s="1"/>
      <c r="AA394" s="1" t="str">
        <f t="shared" si="2"/>
        <v/>
      </c>
      <c r="AB394" s="1" t="str">
        <f t="shared" si="3"/>
        <v>_</v>
      </c>
    </row>
    <row r="395" ht="15.75" customHeight="1">
      <c r="E395" s="1"/>
      <c r="F395" s="1"/>
      <c r="G395" s="1"/>
      <c r="H395" s="1"/>
      <c r="L395" s="1"/>
      <c r="M395" s="1"/>
      <c r="AA395" s="1" t="str">
        <f t="shared" si="2"/>
        <v/>
      </c>
      <c r="AB395" s="1" t="str">
        <f t="shared" si="3"/>
        <v>_</v>
      </c>
    </row>
    <row r="396" ht="15.75" customHeight="1">
      <c r="E396" s="1"/>
      <c r="F396" s="1"/>
      <c r="G396" s="1"/>
      <c r="H396" s="1"/>
      <c r="L396" s="1"/>
      <c r="M396" s="1"/>
      <c r="AA396" s="1" t="str">
        <f t="shared" si="2"/>
        <v/>
      </c>
      <c r="AB396" s="1" t="str">
        <f t="shared" si="3"/>
        <v>_</v>
      </c>
    </row>
    <row r="397" ht="15.75" customHeight="1">
      <c r="E397" s="1"/>
      <c r="F397" s="1"/>
      <c r="G397" s="1"/>
      <c r="H397" s="1"/>
      <c r="L397" s="1"/>
      <c r="M397" s="1"/>
      <c r="AA397" s="1" t="str">
        <f t="shared" si="2"/>
        <v/>
      </c>
      <c r="AB397" s="1" t="str">
        <f t="shared" si="3"/>
        <v>_</v>
      </c>
    </row>
    <row r="398" ht="15.75" customHeight="1">
      <c r="E398" s="1"/>
      <c r="F398" s="1"/>
      <c r="G398" s="1"/>
      <c r="H398" s="1"/>
      <c r="L398" s="1"/>
      <c r="M398" s="1"/>
      <c r="AA398" s="1" t="str">
        <f t="shared" si="2"/>
        <v/>
      </c>
      <c r="AB398" s="1" t="str">
        <f t="shared" si="3"/>
        <v>_</v>
      </c>
    </row>
    <row r="399" ht="15.75" customHeight="1">
      <c r="E399" s="1"/>
      <c r="F399" s="1"/>
      <c r="G399" s="1"/>
      <c r="H399" s="1"/>
      <c r="L399" s="1"/>
      <c r="M399" s="1"/>
      <c r="AA399" s="1" t="str">
        <f t="shared" si="2"/>
        <v/>
      </c>
      <c r="AB399" s="1" t="str">
        <f t="shared" si="3"/>
        <v>_</v>
      </c>
    </row>
    <row r="400" ht="15.75" customHeight="1">
      <c r="E400" s="1"/>
      <c r="F400" s="1"/>
      <c r="G400" s="1"/>
      <c r="H400" s="1"/>
      <c r="L400" s="1"/>
      <c r="M400" s="1"/>
      <c r="AA400" s="1" t="str">
        <f t="shared" si="2"/>
        <v/>
      </c>
      <c r="AB400" s="1" t="str">
        <f t="shared" si="3"/>
        <v>_</v>
      </c>
    </row>
    <row r="401" ht="15.75" customHeight="1">
      <c r="E401" s="1"/>
      <c r="F401" s="1"/>
      <c r="G401" s="1"/>
      <c r="H401" s="1"/>
      <c r="L401" s="1"/>
      <c r="M401" s="1"/>
      <c r="AA401" s="1" t="str">
        <f t="shared" si="2"/>
        <v/>
      </c>
      <c r="AB401" s="1" t="str">
        <f t="shared" si="3"/>
        <v>_</v>
      </c>
    </row>
    <row r="402" ht="15.75" customHeight="1">
      <c r="E402" s="1"/>
      <c r="F402" s="1"/>
      <c r="G402" s="1"/>
      <c r="H402" s="1"/>
      <c r="L402" s="1"/>
      <c r="M402" s="1"/>
      <c r="AA402" s="1" t="str">
        <f t="shared" si="2"/>
        <v/>
      </c>
      <c r="AB402" s="1" t="str">
        <f t="shared" si="3"/>
        <v>_</v>
      </c>
    </row>
    <row r="403" ht="15.75" customHeight="1">
      <c r="E403" s="1"/>
      <c r="F403" s="1"/>
      <c r="G403" s="1"/>
      <c r="H403" s="1"/>
      <c r="L403" s="1"/>
      <c r="M403" s="1"/>
      <c r="AA403" s="1" t="str">
        <f t="shared" si="2"/>
        <v/>
      </c>
      <c r="AB403" s="1" t="str">
        <f t="shared" si="3"/>
        <v>_</v>
      </c>
    </row>
    <row r="404" ht="15.75" customHeight="1">
      <c r="E404" s="1"/>
      <c r="F404" s="1"/>
      <c r="G404" s="1"/>
      <c r="H404" s="1"/>
      <c r="L404" s="1"/>
      <c r="M404" s="1"/>
      <c r="AA404" s="1" t="str">
        <f t="shared" si="2"/>
        <v/>
      </c>
      <c r="AB404" s="1" t="str">
        <f t="shared" si="3"/>
        <v>_</v>
      </c>
    </row>
    <row r="405" ht="15.75" customHeight="1">
      <c r="E405" s="1"/>
      <c r="F405" s="1"/>
      <c r="G405" s="1"/>
      <c r="H405" s="1"/>
      <c r="L405" s="1"/>
      <c r="M405" s="1"/>
      <c r="AA405" s="1" t="str">
        <f t="shared" si="2"/>
        <v/>
      </c>
      <c r="AB405" s="1" t="str">
        <f t="shared" si="3"/>
        <v>_</v>
      </c>
    </row>
    <row r="406" ht="15.75" customHeight="1">
      <c r="E406" s="1"/>
      <c r="F406" s="1"/>
      <c r="G406" s="1"/>
      <c r="H406" s="1"/>
      <c r="L406" s="1"/>
      <c r="M406" s="1"/>
      <c r="AA406" s="1" t="str">
        <f t="shared" si="2"/>
        <v/>
      </c>
      <c r="AB406" s="1" t="str">
        <f t="shared" si="3"/>
        <v>_</v>
      </c>
    </row>
    <row r="407" ht="15.75" customHeight="1">
      <c r="E407" s="1"/>
      <c r="F407" s="1"/>
      <c r="G407" s="1"/>
      <c r="H407" s="1"/>
      <c r="L407" s="1"/>
      <c r="M407" s="1"/>
      <c r="AA407" s="1" t="str">
        <f t="shared" si="2"/>
        <v/>
      </c>
      <c r="AB407" s="1" t="str">
        <f t="shared" si="3"/>
        <v>_</v>
      </c>
    </row>
    <row r="408" ht="15.75" customHeight="1">
      <c r="E408" s="1"/>
      <c r="F408" s="1"/>
      <c r="G408" s="1"/>
      <c r="H408" s="1"/>
      <c r="L408" s="1"/>
      <c r="M408" s="1"/>
      <c r="AA408" s="1" t="str">
        <f t="shared" si="2"/>
        <v/>
      </c>
      <c r="AB408" s="1" t="str">
        <f t="shared" si="3"/>
        <v>_</v>
      </c>
    </row>
    <row r="409" ht="15.75" customHeight="1">
      <c r="E409" s="1"/>
      <c r="F409" s="1"/>
      <c r="G409" s="1"/>
      <c r="H409" s="1"/>
      <c r="L409" s="1"/>
      <c r="M409" s="1"/>
      <c r="AA409" s="1" t="str">
        <f t="shared" si="2"/>
        <v/>
      </c>
      <c r="AB409" s="1" t="str">
        <f t="shared" si="3"/>
        <v>_</v>
      </c>
    </row>
    <row r="410" ht="15.75" customHeight="1">
      <c r="E410" s="1"/>
      <c r="F410" s="1"/>
      <c r="G410" s="1"/>
      <c r="H410" s="1"/>
      <c r="L410" s="1"/>
      <c r="M410" s="1"/>
      <c r="AA410" s="1" t="str">
        <f t="shared" si="2"/>
        <v/>
      </c>
      <c r="AB410" s="1" t="str">
        <f t="shared" si="3"/>
        <v>_</v>
      </c>
    </row>
    <row r="411" ht="15.75" customHeight="1">
      <c r="E411" s="1"/>
      <c r="F411" s="1"/>
      <c r="G411" s="1"/>
      <c r="H411" s="1"/>
      <c r="L411" s="1"/>
      <c r="M411" s="1"/>
      <c r="AA411" s="1" t="str">
        <f t="shared" si="2"/>
        <v/>
      </c>
      <c r="AB411" s="1" t="str">
        <f t="shared" si="3"/>
        <v>_</v>
      </c>
    </row>
    <row r="412" ht="15.75" customHeight="1">
      <c r="E412" s="1"/>
      <c r="F412" s="1"/>
      <c r="G412" s="1"/>
      <c r="H412" s="1"/>
      <c r="L412" s="1"/>
      <c r="M412" s="1"/>
      <c r="AA412" s="1" t="str">
        <f t="shared" si="2"/>
        <v/>
      </c>
      <c r="AB412" s="1" t="str">
        <f t="shared" si="3"/>
        <v>_</v>
      </c>
    </row>
    <row r="413" ht="15.75" customHeight="1">
      <c r="E413" s="1"/>
      <c r="F413" s="1"/>
      <c r="G413" s="1"/>
      <c r="H413" s="1"/>
      <c r="L413" s="1"/>
      <c r="M413" s="1"/>
      <c r="AA413" s="1" t="str">
        <f t="shared" si="2"/>
        <v/>
      </c>
      <c r="AB413" s="1" t="str">
        <f t="shared" si="3"/>
        <v>_</v>
      </c>
    </row>
    <row r="414" ht="15.75" customHeight="1">
      <c r="E414" s="1"/>
      <c r="F414" s="1"/>
      <c r="G414" s="1"/>
      <c r="H414" s="1"/>
      <c r="L414" s="1"/>
      <c r="M414" s="1"/>
      <c r="AA414" s="1" t="str">
        <f t="shared" si="2"/>
        <v/>
      </c>
      <c r="AB414" s="1" t="str">
        <f t="shared" si="3"/>
        <v>_</v>
      </c>
    </row>
    <row r="415" ht="15.75" customHeight="1">
      <c r="E415" s="1"/>
      <c r="F415" s="1"/>
      <c r="G415" s="1"/>
      <c r="H415" s="1"/>
      <c r="L415" s="1"/>
      <c r="M415" s="1"/>
      <c r="AA415" s="1" t="str">
        <f t="shared" si="2"/>
        <v/>
      </c>
      <c r="AB415" s="1" t="str">
        <f t="shared" si="3"/>
        <v>_</v>
      </c>
    </row>
    <row r="416" ht="15.75" customHeight="1">
      <c r="E416" s="1"/>
      <c r="F416" s="1"/>
      <c r="G416" s="1"/>
      <c r="H416" s="1"/>
      <c r="L416" s="1"/>
      <c r="M416" s="1"/>
      <c r="AA416" s="1" t="str">
        <f t="shared" si="2"/>
        <v/>
      </c>
      <c r="AB416" s="1" t="str">
        <f t="shared" si="3"/>
        <v>_</v>
      </c>
    </row>
    <row r="417" ht="15.75" customHeight="1">
      <c r="E417" s="1"/>
      <c r="F417" s="1"/>
      <c r="G417" s="1"/>
      <c r="H417" s="1"/>
      <c r="L417" s="1"/>
      <c r="M417" s="1"/>
      <c r="AA417" s="1" t="str">
        <f t="shared" si="2"/>
        <v/>
      </c>
      <c r="AB417" s="1" t="str">
        <f t="shared" si="3"/>
        <v>_</v>
      </c>
    </row>
    <row r="418" ht="15.75" customHeight="1">
      <c r="E418" s="1"/>
      <c r="F418" s="1"/>
      <c r="G418" s="1"/>
      <c r="H418" s="1"/>
      <c r="L418" s="1"/>
      <c r="M418" s="1"/>
      <c r="AA418" s="1" t="str">
        <f t="shared" si="2"/>
        <v/>
      </c>
      <c r="AB418" s="1" t="str">
        <f t="shared" si="3"/>
        <v>_</v>
      </c>
    </row>
    <row r="419" ht="15.75" customHeight="1">
      <c r="E419" s="1"/>
      <c r="F419" s="1"/>
      <c r="G419" s="1"/>
      <c r="H419" s="1"/>
      <c r="L419" s="1"/>
      <c r="M419" s="1"/>
      <c r="AA419" s="1" t="str">
        <f t="shared" si="2"/>
        <v/>
      </c>
      <c r="AB419" s="1" t="str">
        <f t="shared" si="3"/>
        <v>_</v>
      </c>
    </row>
    <row r="420" ht="15.75" customHeight="1">
      <c r="E420" s="1"/>
      <c r="F420" s="1"/>
      <c r="G420" s="1"/>
      <c r="H420" s="1"/>
      <c r="L420" s="1"/>
      <c r="M420" s="1"/>
      <c r="AA420" s="1" t="str">
        <f t="shared" si="2"/>
        <v/>
      </c>
      <c r="AB420" s="1" t="str">
        <f t="shared" si="3"/>
        <v>_</v>
      </c>
    </row>
    <row r="421" ht="15.75" customHeight="1">
      <c r="E421" s="1"/>
      <c r="F421" s="1"/>
      <c r="G421" s="1"/>
      <c r="H421" s="1"/>
      <c r="L421" s="1"/>
      <c r="M421" s="1"/>
      <c r="AA421" s="1" t="str">
        <f t="shared" si="2"/>
        <v/>
      </c>
      <c r="AB421" s="1" t="str">
        <f t="shared" si="3"/>
        <v>_</v>
      </c>
    </row>
    <row r="422" ht="15.75" customHeight="1">
      <c r="E422" s="1"/>
      <c r="F422" s="1"/>
      <c r="G422" s="1"/>
      <c r="H422" s="1"/>
      <c r="L422" s="1"/>
      <c r="M422" s="1"/>
      <c r="AA422" s="1" t="str">
        <f t="shared" si="2"/>
        <v/>
      </c>
      <c r="AB422" s="1" t="str">
        <f t="shared" si="3"/>
        <v>_</v>
      </c>
    </row>
    <row r="423" ht="15.75" customHeight="1">
      <c r="E423" s="1"/>
      <c r="F423" s="1"/>
      <c r="G423" s="1"/>
      <c r="H423" s="1"/>
      <c r="L423" s="1"/>
      <c r="M423" s="1"/>
      <c r="AA423" s="1" t="str">
        <f t="shared" si="2"/>
        <v/>
      </c>
      <c r="AB423" s="1" t="str">
        <f t="shared" si="3"/>
        <v>_</v>
      </c>
    </row>
    <row r="424" ht="15.75" customHeight="1">
      <c r="E424" s="1"/>
      <c r="F424" s="1"/>
      <c r="G424" s="1"/>
      <c r="H424" s="1"/>
      <c r="L424" s="1"/>
      <c r="M424" s="1"/>
      <c r="AA424" s="1" t="str">
        <f t="shared" si="2"/>
        <v/>
      </c>
      <c r="AB424" s="1" t="str">
        <f t="shared" si="3"/>
        <v>_</v>
      </c>
    </row>
    <row r="425" ht="15.75" customHeight="1">
      <c r="E425" s="1"/>
      <c r="F425" s="1"/>
      <c r="G425" s="1"/>
      <c r="H425" s="1"/>
      <c r="L425" s="1"/>
      <c r="M425" s="1"/>
      <c r="AA425" s="1" t="str">
        <f t="shared" si="2"/>
        <v/>
      </c>
      <c r="AB425" s="1" t="str">
        <f t="shared" si="3"/>
        <v>_</v>
      </c>
    </row>
    <row r="426" ht="15.75" customHeight="1">
      <c r="E426" s="1"/>
      <c r="F426" s="1"/>
      <c r="G426" s="1"/>
      <c r="H426" s="1"/>
      <c r="L426" s="1"/>
      <c r="M426" s="1"/>
      <c r="AA426" s="1" t="str">
        <f t="shared" si="2"/>
        <v/>
      </c>
      <c r="AB426" s="1" t="str">
        <f t="shared" si="3"/>
        <v>_</v>
      </c>
    </row>
    <row r="427" ht="15.75" customHeight="1">
      <c r="E427" s="1"/>
      <c r="F427" s="1"/>
      <c r="G427" s="1"/>
      <c r="H427" s="1"/>
      <c r="L427" s="1"/>
      <c r="M427" s="1"/>
      <c r="AA427" s="1" t="str">
        <f t="shared" si="2"/>
        <v/>
      </c>
      <c r="AB427" s="1" t="str">
        <f t="shared" si="3"/>
        <v>_</v>
      </c>
    </row>
    <row r="428" ht="15.75" customHeight="1">
      <c r="E428" s="1"/>
      <c r="F428" s="1"/>
      <c r="G428" s="1"/>
      <c r="H428" s="1"/>
      <c r="L428" s="1"/>
      <c r="M428" s="1"/>
      <c r="AA428" s="1" t="str">
        <f t="shared" si="2"/>
        <v/>
      </c>
      <c r="AB428" s="1" t="str">
        <f t="shared" si="3"/>
        <v>_</v>
      </c>
    </row>
    <row r="429" ht="15.75" customHeight="1">
      <c r="E429" s="1"/>
      <c r="F429" s="1"/>
      <c r="G429" s="1"/>
      <c r="H429" s="1"/>
      <c r="L429" s="1"/>
      <c r="M429" s="1"/>
      <c r="AA429" s="1" t="str">
        <f t="shared" si="2"/>
        <v/>
      </c>
      <c r="AB429" s="1" t="str">
        <f t="shared" si="3"/>
        <v>_</v>
      </c>
    </row>
    <row r="430" ht="15.75" customHeight="1">
      <c r="E430" s="1"/>
      <c r="F430" s="1"/>
      <c r="G430" s="1"/>
      <c r="H430" s="1"/>
      <c r="L430" s="1"/>
      <c r="M430" s="1"/>
      <c r="AA430" s="1" t="str">
        <f t="shared" si="2"/>
        <v/>
      </c>
      <c r="AB430" s="1" t="str">
        <f t="shared" si="3"/>
        <v>_</v>
      </c>
    </row>
    <row r="431" ht="15.75" customHeight="1">
      <c r="E431" s="1"/>
      <c r="F431" s="1"/>
      <c r="G431" s="1"/>
      <c r="H431" s="1"/>
      <c r="L431" s="1"/>
      <c r="M431" s="1"/>
      <c r="AA431" s="1" t="str">
        <f t="shared" si="2"/>
        <v/>
      </c>
      <c r="AB431" s="1" t="str">
        <f t="shared" si="3"/>
        <v>_</v>
      </c>
    </row>
    <row r="432" ht="15.75" customHeight="1">
      <c r="E432" s="1"/>
      <c r="F432" s="1"/>
      <c r="G432" s="1"/>
      <c r="H432" s="1"/>
      <c r="L432" s="1"/>
      <c r="M432" s="1"/>
      <c r="AA432" s="1" t="str">
        <f t="shared" si="2"/>
        <v/>
      </c>
      <c r="AB432" s="1" t="str">
        <f t="shared" si="3"/>
        <v>_</v>
      </c>
    </row>
    <row r="433" ht="15.75" customHeight="1">
      <c r="E433" s="1"/>
      <c r="F433" s="1"/>
      <c r="G433" s="1"/>
      <c r="H433" s="1"/>
      <c r="L433" s="1"/>
      <c r="M433" s="1"/>
      <c r="AA433" s="1" t="str">
        <f t="shared" si="2"/>
        <v/>
      </c>
      <c r="AB433" s="1" t="str">
        <f t="shared" si="3"/>
        <v>_</v>
      </c>
    </row>
    <row r="434" ht="15.75" customHeight="1">
      <c r="E434" s="1"/>
      <c r="F434" s="1"/>
      <c r="G434" s="1"/>
      <c r="H434" s="1"/>
      <c r="L434" s="1"/>
      <c r="M434" s="1"/>
      <c r="AA434" s="1" t="str">
        <f t="shared" si="2"/>
        <v/>
      </c>
      <c r="AB434" s="1" t="str">
        <f t="shared" si="3"/>
        <v>_</v>
      </c>
    </row>
    <row r="435" ht="15.75" customHeight="1">
      <c r="E435" s="1"/>
      <c r="F435" s="1"/>
      <c r="G435" s="1"/>
      <c r="H435" s="1"/>
      <c r="L435" s="1"/>
      <c r="M435" s="1"/>
      <c r="AA435" s="1" t="str">
        <f t="shared" si="2"/>
        <v/>
      </c>
      <c r="AB435" s="1" t="str">
        <f t="shared" si="3"/>
        <v>_</v>
      </c>
    </row>
    <row r="436" ht="15.75" customHeight="1">
      <c r="E436" s="1"/>
      <c r="F436" s="1"/>
      <c r="G436" s="1"/>
      <c r="H436" s="1"/>
      <c r="L436" s="1"/>
      <c r="M436" s="1"/>
      <c r="AA436" s="1" t="str">
        <f t="shared" si="2"/>
        <v/>
      </c>
      <c r="AB436" s="1" t="str">
        <f t="shared" si="3"/>
        <v>_</v>
      </c>
    </row>
    <row r="437" ht="15.75" customHeight="1">
      <c r="E437" s="1"/>
      <c r="F437" s="1"/>
      <c r="G437" s="1"/>
      <c r="H437" s="1"/>
      <c r="L437" s="1"/>
      <c r="M437" s="1"/>
      <c r="AA437" s="1" t="str">
        <f t="shared" si="2"/>
        <v/>
      </c>
      <c r="AB437" s="1" t="str">
        <f t="shared" si="3"/>
        <v>_</v>
      </c>
    </row>
    <row r="438" ht="15.75" customHeight="1">
      <c r="E438" s="1"/>
      <c r="F438" s="1"/>
      <c r="G438" s="1"/>
      <c r="H438" s="1"/>
      <c r="L438" s="1"/>
      <c r="M438" s="1"/>
      <c r="AA438" s="1" t="str">
        <f t="shared" si="2"/>
        <v/>
      </c>
      <c r="AB438" s="1" t="str">
        <f t="shared" si="3"/>
        <v>_</v>
      </c>
    </row>
    <row r="439" ht="15.75" customHeight="1">
      <c r="E439" s="1"/>
      <c r="F439" s="1"/>
      <c r="G439" s="1"/>
      <c r="H439" s="1"/>
      <c r="L439" s="1"/>
      <c r="M439" s="1"/>
      <c r="AA439" s="1" t="str">
        <f t="shared" si="2"/>
        <v/>
      </c>
      <c r="AB439" s="1" t="str">
        <f t="shared" si="3"/>
        <v>_</v>
      </c>
    </row>
    <row r="440" ht="15.75" customHeight="1">
      <c r="E440" s="1"/>
      <c r="F440" s="1"/>
      <c r="G440" s="1"/>
      <c r="H440" s="1"/>
      <c r="L440" s="1"/>
      <c r="M440" s="1"/>
      <c r="AA440" s="1" t="str">
        <f t="shared" si="2"/>
        <v/>
      </c>
      <c r="AB440" s="1" t="str">
        <f t="shared" si="3"/>
        <v>_</v>
      </c>
    </row>
    <row r="441" ht="15.75" customHeight="1">
      <c r="E441" s="1"/>
      <c r="F441" s="1"/>
      <c r="G441" s="1"/>
      <c r="H441" s="1"/>
      <c r="L441" s="1"/>
      <c r="M441" s="1"/>
      <c r="AA441" s="1" t="str">
        <f t="shared" si="2"/>
        <v/>
      </c>
      <c r="AB441" s="1" t="str">
        <f t="shared" si="3"/>
        <v>_</v>
      </c>
    </row>
    <row r="442" ht="15.75" customHeight="1">
      <c r="E442" s="1"/>
      <c r="F442" s="1"/>
      <c r="G442" s="1"/>
      <c r="H442" s="1"/>
      <c r="L442" s="1"/>
      <c r="M442" s="1"/>
      <c r="AA442" s="1" t="str">
        <f t="shared" si="2"/>
        <v/>
      </c>
      <c r="AB442" s="1" t="str">
        <f t="shared" si="3"/>
        <v>_</v>
      </c>
    </row>
    <row r="443" ht="15.75" customHeight="1">
      <c r="E443" s="1"/>
      <c r="F443" s="1"/>
      <c r="G443" s="1"/>
      <c r="H443" s="1"/>
      <c r="L443" s="1"/>
      <c r="M443" s="1"/>
      <c r="AA443" s="1" t="str">
        <f t="shared" si="2"/>
        <v/>
      </c>
      <c r="AB443" s="1" t="str">
        <f t="shared" si="3"/>
        <v>_</v>
      </c>
    </row>
    <row r="444" ht="15.75" customHeight="1">
      <c r="E444" s="1"/>
      <c r="F444" s="1"/>
      <c r="G444" s="1"/>
      <c r="H444" s="1"/>
      <c r="L444" s="1"/>
      <c r="M444" s="1"/>
      <c r="AA444" s="1" t="str">
        <f t="shared" si="2"/>
        <v/>
      </c>
      <c r="AB444" s="1" t="str">
        <f t="shared" si="3"/>
        <v>_</v>
      </c>
    </row>
    <row r="445" ht="15.75" customHeight="1">
      <c r="E445" s="1"/>
      <c r="F445" s="1"/>
      <c r="G445" s="1"/>
      <c r="H445" s="1"/>
      <c r="L445" s="1"/>
      <c r="M445" s="1"/>
      <c r="AA445" s="1" t="str">
        <f t="shared" si="2"/>
        <v/>
      </c>
      <c r="AB445" s="1" t="str">
        <f t="shared" si="3"/>
        <v>_</v>
      </c>
    </row>
    <row r="446" ht="15.75" customHeight="1">
      <c r="E446" s="1"/>
      <c r="F446" s="1"/>
      <c r="G446" s="1"/>
      <c r="H446" s="1"/>
      <c r="L446" s="1"/>
      <c r="M446" s="1"/>
      <c r="AA446" s="1" t="str">
        <f t="shared" si="2"/>
        <v/>
      </c>
      <c r="AB446" s="1" t="str">
        <f t="shared" si="3"/>
        <v>_</v>
      </c>
    </row>
    <row r="447" ht="15.75" customHeight="1">
      <c r="E447" s="1"/>
      <c r="F447" s="1"/>
      <c r="G447" s="1"/>
      <c r="H447" s="1"/>
      <c r="L447" s="1"/>
      <c r="M447" s="1"/>
      <c r="AA447" s="1" t="str">
        <f t="shared" si="2"/>
        <v/>
      </c>
      <c r="AB447" s="1" t="str">
        <f t="shared" si="3"/>
        <v>_</v>
      </c>
    </row>
    <row r="448" ht="15.75" customHeight="1">
      <c r="E448" s="1"/>
      <c r="F448" s="1"/>
      <c r="G448" s="1"/>
      <c r="H448" s="1"/>
      <c r="L448" s="1"/>
      <c r="M448" s="1"/>
      <c r="AA448" s="1" t="str">
        <f t="shared" si="2"/>
        <v/>
      </c>
      <c r="AB448" s="1" t="str">
        <f t="shared" si="3"/>
        <v>_</v>
      </c>
    </row>
    <row r="449" ht="15.75" customHeight="1">
      <c r="E449" s="1"/>
      <c r="F449" s="1"/>
      <c r="G449" s="1"/>
      <c r="H449" s="1"/>
      <c r="L449" s="1"/>
      <c r="M449" s="1"/>
      <c r="AA449" s="1" t="str">
        <f t="shared" si="2"/>
        <v/>
      </c>
      <c r="AB449" s="1" t="str">
        <f t="shared" si="3"/>
        <v>_</v>
      </c>
    </row>
    <row r="450" ht="15.75" customHeight="1">
      <c r="E450" s="1"/>
      <c r="F450" s="1"/>
      <c r="G450" s="1"/>
      <c r="H450" s="1"/>
      <c r="L450" s="1"/>
      <c r="M450" s="1"/>
      <c r="AA450" s="1" t="str">
        <f t="shared" si="2"/>
        <v/>
      </c>
      <c r="AB450" s="1" t="str">
        <f t="shared" si="3"/>
        <v>_</v>
      </c>
    </row>
    <row r="451" ht="15.75" customHeight="1">
      <c r="E451" s="1"/>
      <c r="F451" s="1"/>
      <c r="G451" s="1"/>
      <c r="H451" s="1"/>
      <c r="L451" s="1"/>
      <c r="M451" s="1"/>
      <c r="AA451" s="1" t="str">
        <f t="shared" si="2"/>
        <v/>
      </c>
      <c r="AB451" s="1" t="str">
        <f t="shared" si="3"/>
        <v>_</v>
      </c>
    </row>
    <row r="452" ht="15.75" customHeight="1">
      <c r="E452" s="1"/>
      <c r="F452" s="1"/>
      <c r="G452" s="1"/>
      <c r="H452" s="1"/>
      <c r="L452" s="1"/>
      <c r="M452" s="1"/>
      <c r="AA452" s="1" t="str">
        <f t="shared" si="2"/>
        <v/>
      </c>
      <c r="AB452" s="1" t="str">
        <f t="shared" si="3"/>
        <v>_</v>
      </c>
    </row>
    <row r="453" ht="15.75" customHeight="1">
      <c r="E453" s="1"/>
      <c r="F453" s="1"/>
      <c r="G453" s="1"/>
      <c r="H453" s="1"/>
      <c r="L453" s="1"/>
      <c r="M453" s="1"/>
      <c r="AA453" s="1" t="str">
        <f t="shared" si="2"/>
        <v/>
      </c>
      <c r="AB453" s="1" t="str">
        <f t="shared" si="3"/>
        <v>_</v>
      </c>
    </row>
    <row r="454" ht="15.75" customHeight="1">
      <c r="E454" s="1"/>
      <c r="F454" s="1"/>
      <c r="G454" s="1"/>
      <c r="H454" s="1"/>
      <c r="L454" s="1"/>
      <c r="M454" s="1"/>
      <c r="AA454" s="1" t="str">
        <f t="shared" si="2"/>
        <v/>
      </c>
      <c r="AB454" s="1" t="str">
        <f t="shared" si="3"/>
        <v>_</v>
      </c>
    </row>
    <row r="455" ht="15.75" customHeight="1">
      <c r="E455" s="1"/>
      <c r="F455" s="1"/>
      <c r="G455" s="1"/>
      <c r="H455" s="1"/>
      <c r="L455" s="1"/>
      <c r="M455" s="1"/>
      <c r="AA455" s="1" t="str">
        <f t="shared" si="2"/>
        <v/>
      </c>
      <c r="AB455" s="1" t="str">
        <f t="shared" si="3"/>
        <v>_</v>
      </c>
    </row>
    <row r="456" ht="15.75" customHeight="1">
      <c r="E456" s="1"/>
      <c r="F456" s="1"/>
      <c r="G456" s="1"/>
      <c r="H456" s="1"/>
      <c r="L456" s="1"/>
      <c r="M456" s="1"/>
      <c r="AA456" s="1" t="str">
        <f t="shared" si="2"/>
        <v/>
      </c>
      <c r="AB456" s="1" t="str">
        <f t="shared" si="3"/>
        <v>_</v>
      </c>
    </row>
    <row r="457" ht="15.75" customHeight="1">
      <c r="E457" s="1"/>
      <c r="F457" s="1"/>
      <c r="G457" s="1"/>
      <c r="H457" s="1"/>
      <c r="L457" s="1"/>
      <c r="M457" s="1"/>
      <c r="AA457" s="1" t="str">
        <f t="shared" si="2"/>
        <v/>
      </c>
      <c r="AB457" s="1" t="str">
        <f t="shared" si="3"/>
        <v>_</v>
      </c>
    </row>
    <row r="458" ht="15.75" customHeight="1">
      <c r="E458" s="1"/>
      <c r="F458" s="1"/>
      <c r="G458" s="1"/>
      <c r="H458" s="1"/>
      <c r="L458" s="1"/>
      <c r="M458" s="1"/>
      <c r="AA458" s="1" t="str">
        <f t="shared" si="2"/>
        <v/>
      </c>
      <c r="AB458" s="1" t="str">
        <f t="shared" si="3"/>
        <v>_</v>
      </c>
    </row>
    <row r="459" ht="15.75" customHeight="1">
      <c r="E459" s="1"/>
      <c r="F459" s="1"/>
      <c r="G459" s="1"/>
      <c r="H459" s="1"/>
      <c r="L459" s="1"/>
      <c r="M459" s="1"/>
      <c r="AA459" s="1" t="str">
        <f t="shared" si="2"/>
        <v/>
      </c>
      <c r="AB459" s="1" t="str">
        <f t="shared" si="3"/>
        <v>_</v>
      </c>
    </row>
    <row r="460" ht="15.75" customHeight="1">
      <c r="E460" s="1"/>
      <c r="F460" s="1"/>
      <c r="G460" s="1"/>
      <c r="H460" s="1"/>
      <c r="L460" s="1"/>
      <c r="M460" s="1"/>
      <c r="AA460" s="1" t="str">
        <f t="shared" si="2"/>
        <v/>
      </c>
      <c r="AB460" s="1" t="str">
        <f t="shared" si="3"/>
        <v>_</v>
      </c>
    </row>
    <row r="461" ht="15.75" customHeight="1">
      <c r="E461" s="1"/>
      <c r="F461" s="1"/>
      <c r="G461" s="1"/>
      <c r="H461" s="1"/>
      <c r="L461" s="1"/>
      <c r="M461" s="1"/>
      <c r="AA461" s="1" t="str">
        <f t="shared" si="2"/>
        <v/>
      </c>
      <c r="AB461" s="1" t="str">
        <f t="shared" si="3"/>
        <v>_</v>
      </c>
    </row>
    <row r="462" ht="15.75" customHeight="1">
      <c r="E462" s="1"/>
      <c r="F462" s="1"/>
      <c r="G462" s="1"/>
      <c r="H462" s="1"/>
      <c r="L462" s="1"/>
      <c r="M462" s="1"/>
      <c r="AA462" s="1" t="str">
        <f t="shared" si="2"/>
        <v/>
      </c>
      <c r="AB462" s="1" t="str">
        <f t="shared" si="3"/>
        <v>_</v>
      </c>
    </row>
    <row r="463" ht="15.75" customHeight="1">
      <c r="E463" s="1"/>
      <c r="F463" s="1"/>
      <c r="G463" s="1"/>
      <c r="H463" s="1"/>
      <c r="L463" s="1"/>
      <c r="M463" s="1"/>
      <c r="AA463" s="1" t="str">
        <f t="shared" si="2"/>
        <v/>
      </c>
      <c r="AB463" s="1" t="str">
        <f t="shared" si="3"/>
        <v>_</v>
      </c>
    </row>
    <row r="464" ht="15.75" customHeight="1">
      <c r="E464" s="1"/>
      <c r="F464" s="1"/>
      <c r="G464" s="1"/>
      <c r="H464" s="1"/>
      <c r="L464" s="1"/>
      <c r="M464" s="1"/>
      <c r="AA464" s="1" t="str">
        <f t="shared" si="2"/>
        <v/>
      </c>
      <c r="AB464" s="1" t="str">
        <f t="shared" si="3"/>
        <v>_</v>
      </c>
    </row>
    <row r="465" ht="15.75" customHeight="1">
      <c r="E465" s="1"/>
      <c r="F465" s="1"/>
      <c r="G465" s="1"/>
      <c r="H465" s="1"/>
      <c r="L465" s="1"/>
      <c r="M465" s="1"/>
      <c r="AA465" s="1" t="str">
        <f t="shared" si="2"/>
        <v/>
      </c>
      <c r="AB465" s="1" t="str">
        <f t="shared" si="3"/>
        <v>_</v>
      </c>
    </row>
    <row r="466" ht="15.75" customHeight="1">
      <c r="E466" s="1"/>
      <c r="F466" s="1"/>
      <c r="G466" s="1"/>
      <c r="H466" s="1"/>
      <c r="L466" s="1"/>
      <c r="M466" s="1"/>
      <c r="AA466" s="1" t="str">
        <f t="shared" si="2"/>
        <v/>
      </c>
      <c r="AB466" s="1" t="str">
        <f t="shared" si="3"/>
        <v>_</v>
      </c>
    </row>
    <row r="467" ht="15.75" customHeight="1">
      <c r="E467" s="1"/>
      <c r="F467" s="1"/>
      <c r="G467" s="1"/>
      <c r="H467" s="1"/>
      <c r="L467" s="1"/>
      <c r="M467" s="1"/>
      <c r="AA467" s="1" t="str">
        <f t="shared" si="2"/>
        <v/>
      </c>
      <c r="AB467" s="1" t="str">
        <f t="shared" si="3"/>
        <v>_</v>
      </c>
    </row>
    <row r="468" ht="15.75" customHeight="1">
      <c r="E468" s="1"/>
      <c r="F468" s="1"/>
      <c r="G468" s="1"/>
      <c r="H468" s="1"/>
      <c r="L468" s="1"/>
      <c r="M468" s="1"/>
      <c r="AA468" s="1" t="str">
        <f t="shared" si="2"/>
        <v/>
      </c>
      <c r="AB468" s="1" t="str">
        <f t="shared" si="3"/>
        <v>_</v>
      </c>
    </row>
    <row r="469" ht="15.75" customHeight="1">
      <c r="E469" s="1"/>
      <c r="F469" s="1"/>
      <c r="G469" s="1"/>
      <c r="H469" s="1"/>
      <c r="L469" s="1"/>
      <c r="M469" s="1"/>
      <c r="AA469" s="1" t="str">
        <f t="shared" si="2"/>
        <v/>
      </c>
      <c r="AB469" s="1" t="str">
        <f t="shared" si="3"/>
        <v>_</v>
      </c>
    </row>
    <row r="470" ht="15.75" customHeight="1">
      <c r="E470" s="1"/>
      <c r="F470" s="1"/>
      <c r="G470" s="1"/>
      <c r="H470" s="1"/>
      <c r="L470" s="1"/>
      <c r="M470" s="1"/>
      <c r="AA470" s="1" t="str">
        <f t="shared" si="2"/>
        <v/>
      </c>
      <c r="AB470" s="1" t="str">
        <f t="shared" si="3"/>
        <v>_</v>
      </c>
    </row>
    <row r="471" ht="15.75" customHeight="1">
      <c r="E471" s="1"/>
      <c r="F471" s="1"/>
      <c r="G471" s="1"/>
      <c r="H471" s="1"/>
      <c r="L471" s="1"/>
      <c r="M471" s="1"/>
      <c r="AA471" s="1" t="str">
        <f t="shared" si="2"/>
        <v/>
      </c>
      <c r="AB471" s="1" t="str">
        <f t="shared" si="3"/>
        <v>_</v>
      </c>
    </row>
    <row r="472" ht="15.75" customHeight="1">
      <c r="E472" s="1"/>
      <c r="F472" s="1"/>
      <c r="G472" s="1"/>
      <c r="H472" s="1"/>
      <c r="L472" s="1"/>
      <c r="M472" s="1"/>
      <c r="AA472" s="1" t="str">
        <f t="shared" si="2"/>
        <v/>
      </c>
      <c r="AB472" s="1" t="str">
        <f t="shared" si="3"/>
        <v>_</v>
      </c>
    </row>
    <row r="473" ht="15.75" customHeight="1">
      <c r="E473" s="1"/>
      <c r="F473" s="1"/>
      <c r="G473" s="1"/>
      <c r="H473" s="1"/>
      <c r="L473" s="1"/>
      <c r="M473" s="1"/>
      <c r="AA473" s="1" t="str">
        <f t="shared" si="2"/>
        <v/>
      </c>
      <c r="AB473" s="1" t="str">
        <f t="shared" si="3"/>
        <v>_</v>
      </c>
    </row>
    <row r="474" ht="15.75" customHeight="1">
      <c r="E474" s="1"/>
      <c r="F474" s="1"/>
      <c r="G474" s="1"/>
      <c r="H474" s="1"/>
      <c r="L474" s="1"/>
      <c r="M474" s="1"/>
      <c r="AA474" s="1" t="str">
        <f t="shared" si="2"/>
        <v/>
      </c>
      <c r="AB474" s="1" t="str">
        <f t="shared" si="3"/>
        <v>_</v>
      </c>
    </row>
    <row r="475" ht="15.75" customHeight="1">
      <c r="E475" s="1"/>
      <c r="F475" s="1"/>
      <c r="G475" s="1"/>
      <c r="H475" s="1"/>
      <c r="L475" s="1"/>
      <c r="M475" s="1"/>
      <c r="AA475" s="1" t="str">
        <f t="shared" si="2"/>
        <v/>
      </c>
      <c r="AB475" s="1" t="str">
        <f t="shared" si="3"/>
        <v>_</v>
      </c>
    </row>
    <row r="476" ht="15.75" customHeight="1">
      <c r="E476" s="1"/>
      <c r="F476" s="1"/>
      <c r="G476" s="1"/>
      <c r="H476" s="1"/>
      <c r="L476" s="1"/>
      <c r="M476" s="1"/>
      <c r="AA476" s="1" t="str">
        <f t="shared" si="2"/>
        <v/>
      </c>
      <c r="AB476" s="1" t="str">
        <f t="shared" si="3"/>
        <v>_</v>
      </c>
    </row>
    <row r="477" ht="15.75" customHeight="1">
      <c r="E477" s="1"/>
      <c r="F477" s="1"/>
      <c r="G477" s="1"/>
      <c r="H477" s="1"/>
      <c r="L477" s="1"/>
      <c r="M477" s="1"/>
      <c r="AA477" s="1" t="str">
        <f t="shared" si="2"/>
        <v/>
      </c>
      <c r="AB477" s="1" t="str">
        <f t="shared" si="3"/>
        <v>_</v>
      </c>
    </row>
    <row r="478" ht="15.75" customHeight="1">
      <c r="E478" s="1"/>
      <c r="F478" s="1"/>
      <c r="G478" s="1"/>
      <c r="H478" s="1"/>
      <c r="L478" s="1"/>
      <c r="M478" s="1"/>
      <c r="AA478" s="1" t="str">
        <f t="shared" si="2"/>
        <v/>
      </c>
      <c r="AB478" s="1" t="str">
        <f t="shared" si="3"/>
        <v>_</v>
      </c>
    </row>
    <row r="479" ht="15.75" customHeight="1">
      <c r="E479" s="1"/>
      <c r="F479" s="1"/>
      <c r="G479" s="1"/>
      <c r="H479" s="1"/>
      <c r="L479" s="1"/>
      <c r="M479" s="1"/>
      <c r="AA479" s="1" t="str">
        <f t="shared" si="2"/>
        <v/>
      </c>
      <c r="AB479" s="1" t="str">
        <f t="shared" si="3"/>
        <v>_</v>
      </c>
    </row>
    <row r="480" ht="15.75" customHeight="1">
      <c r="E480" s="1"/>
      <c r="F480" s="1"/>
      <c r="G480" s="1"/>
      <c r="H480" s="1"/>
      <c r="L480" s="1"/>
      <c r="M480" s="1"/>
      <c r="AA480" s="1" t="str">
        <f t="shared" si="2"/>
        <v/>
      </c>
      <c r="AB480" s="1" t="str">
        <f t="shared" si="3"/>
        <v>_</v>
      </c>
    </row>
    <row r="481" ht="15.75" customHeight="1">
      <c r="E481" s="1"/>
      <c r="F481" s="1"/>
      <c r="G481" s="1"/>
      <c r="H481" s="1"/>
      <c r="L481" s="1"/>
      <c r="M481" s="1"/>
      <c r="AA481" s="1" t="str">
        <f t="shared" si="2"/>
        <v/>
      </c>
      <c r="AB481" s="1" t="str">
        <f t="shared" si="3"/>
        <v>_</v>
      </c>
    </row>
    <row r="482" ht="15.75" customHeight="1">
      <c r="E482" s="1"/>
      <c r="F482" s="1"/>
      <c r="G482" s="1"/>
      <c r="H482" s="1"/>
      <c r="L482" s="1"/>
      <c r="M482" s="1"/>
      <c r="AA482" s="1" t="str">
        <f t="shared" si="2"/>
        <v/>
      </c>
      <c r="AB482" s="1" t="str">
        <f t="shared" si="3"/>
        <v>_</v>
      </c>
    </row>
    <row r="483" ht="15.75" customHeight="1">
      <c r="E483" s="1"/>
      <c r="F483" s="1"/>
      <c r="G483" s="1"/>
      <c r="H483" s="1"/>
      <c r="L483" s="1"/>
      <c r="M483" s="1"/>
      <c r="AA483" s="1" t="str">
        <f t="shared" si="2"/>
        <v/>
      </c>
      <c r="AB483" s="1" t="str">
        <f t="shared" si="3"/>
        <v>_</v>
      </c>
    </row>
    <row r="484" ht="15.75" customHeight="1">
      <c r="E484" s="1"/>
      <c r="F484" s="1"/>
      <c r="G484" s="1"/>
      <c r="H484" s="1"/>
      <c r="L484" s="1"/>
      <c r="M484" s="1"/>
      <c r="AA484" s="1" t="str">
        <f t="shared" si="2"/>
        <v/>
      </c>
      <c r="AB484" s="1" t="str">
        <f t="shared" si="3"/>
        <v>_</v>
      </c>
    </row>
    <row r="485" ht="15.75" customHeight="1">
      <c r="E485" s="1"/>
      <c r="F485" s="1"/>
      <c r="G485" s="1"/>
      <c r="H485" s="1"/>
      <c r="L485" s="1"/>
      <c r="M485" s="1"/>
      <c r="AA485" s="1" t="str">
        <f t="shared" si="2"/>
        <v/>
      </c>
      <c r="AB485" s="1" t="str">
        <f t="shared" si="3"/>
        <v>_</v>
      </c>
    </row>
    <row r="486" ht="15.75" customHeight="1">
      <c r="E486" s="1"/>
      <c r="F486" s="1"/>
      <c r="G486" s="1"/>
      <c r="H486" s="1"/>
      <c r="L486" s="1"/>
      <c r="M486" s="1"/>
      <c r="AA486" s="1" t="str">
        <f t="shared" si="2"/>
        <v/>
      </c>
      <c r="AB486" s="1" t="str">
        <f t="shared" si="3"/>
        <v>_</v>
      </c>
    </row>
    <row r="487" ht="15.75" customHeight="1">
      <c r="E487" s="1"/>
      <c r="F487" s="1"/>
      <c r="G487" s="1"/>
      <c r="H487" s="1"/>
      <c r="L487" s="1"/>
      <c r="M487" s="1"/>
      <c r="AA487" s="1" t="str">
        <f t="shared" si="2"/>
        <v/>
      </c>
      <c r="AB487" s="1" t="str">
        <f t="shared" si="3"/>
        <v>_</v>
      </c>
    </row>
    <row r="488" ht="15.75" customHeight="1">
      <c r="E488" s="1"/>
      <c r="F488" s="1"/>
      <c r="G488" s="1"/>
      <c r="H488" s="1"/>
      <c r="L488" s="1"/>
      <c r="M488" s="1"/>
      <c r="AA488" s="1" t="str">
        <f t="shared" si="2"/>
        <v/>
      </c>
      <c r="AB488" s="1" t="str">
        <f t="shared" si="3"/>
        <v>_</v>
      </c>
    </row>
    <row r="489" ht="15.75" customHeight="1">
      <c r="E489" s="1"/>
      <c r="F489" s="1"/>
      <c r="G489" s="1"/>
      <c r="H489" s="1"/>
      <c r="L489" s="1"/>
      <c r="M489" s="1"/>
      <c r="AA489" s="1" t="str">
        <f t="shared" si="2"/>
        <v/>
      </c>
      <c r="AB489" s="1" t="str">
        <f t="shared" si="3"/>
        <v>_</v>
      </c>
    </row>
    <row r="490" ht="15.75" customHeight="1">
      <c r="E490" s="1"/>
      <c r="F490" s="1"/>
      <c r="G490" s="1"/>
      <c r="H490" s="1"/>
      <c r="L490" s="1"/>
      <c r="M490" s="1"/>
      <c r="AA490" s="1" t="str">
        <f t="shared" si="2"/>
        <v/>
      </c>
      <c r="AB490" s="1" t="str">
        <f t="shared" si="3"/>
        <v>_</v>
      </c>
    </row>
    <row r="491" ht="15.75" customHeight="1">
      <c r="E491" s="1"/>
      <c r="F491" s="1"/>
      <c r="G491" s="1"/>
      <c r="H491" s="1"/>
      <c r="L491" s="1"/>
      <c r="M491" s="1"/>
      <c r="AA491" s="1" t="str">
        <f t="shared" si="2"/>
        <v/>
      </c>
      <c r="AB491" s="1" t="str">
        <f t="shared" si="3"/>
        <v>_</v>
      </c>
    </row>
    <row r="492" ht="15.75" customHeight="1">
      <c r="E492" s="1"/>
      <c r="F492" s="1"/>
      <c r="G492" s="1"/>
      <c r="H492" s="1"/>
      <c r="L492" s="1"/>
      <c r="M492" s="1"/>
      <c r="AA492" s="1" t="str">
        <f t="shared" si="2"/>
        <v/>
      </c>
      <c r="AB492" s="1" t="str">
        <f t="shared" si="3"/>
        <v>_</v>
      </c>
    </row>
    <row r="493" ht="15.75" customHeight="1">
      <c r="E493" s="1"/>
      <c r="F493" s="1"/>
      <c r="G493" s="1"/>
      <c r="H493" s="1"/>
      <c r="L493" s="1"/>
      <c r="M493" s="1"/>
      <c r="AA493" s="1" t="str">
        <f t="shared" si="2"/>
        <v/>
      </c>
      <c r="AB493" s="1" t="str">
        <f t="shared" si="3"/>
        <v>_</v>
      </c>
    </row>
    <row r="494" ht="15.75" customHeight="1">
      <c r="E494" s="1"/>
      <c r="F494" s="1"/>
      <c r="G494" s="1"/>
      <c r="H494" s="1"/>
      <c r="L494" s="1"/>
      <c r="M494" s="1"/>
      <c r="AA494" s="1" t="str">
        <f t="shared" si="2"/>
        <v/>
      </c>
      <c r="AB494" s="1" t="str">
        <f t="shared" si="3"/>
        <v>_</v>
      </c>
    </row>
    <row r="495" ht="15.75" customHeight="1">
      <c r="E495" s="1"/>
      <c r="F495" s="1"/>
      <c r="G495" s="1"/>
      <c r="H495" s="1"/>
      <c r="L495" s="1"/>
      <c r="M495" s="1"/>
      <c r="AA495" s="1" t="str">
        <f t="shared" si="2"/>
        <v/>
      </c>
      <c r="AB495" s="1" t="str">
        <f t="shared" si="3"/>
        <v>_</v>
      </c>
    </row>
    <row r="496" ht="15.75" customHeight="1">
      <c r="E496" s="1"/>
      <c r="F496" s="1"/>
      <c r="G496" s="1"/>
      <c r="H496" s="1"/>
      <c r="L496" s="1"/>
      <c r="M496" s="1"/>
      <c r="AA496" s="1" t="str">
        <f t="shared" si="2"/>
        <v/>
      </c>
      <c r="AB496" s="1" t="str">
        <f t="shared" si="3"/>
        <v>_</v>
      </c>
    </row>
    <row r="497" ht="15.75" customHeight="1">
      <c r="E497" s="1"/>
      <c r="F497" s="1"/>
      <c r="G497" s="1"/>
      <c r="H497" s="1"/>
      <c r="L497" s="1"/>
      <c r="M497" s="1"/>
      <c r="AA497" s="1" t="str">
        <f t="shared" si="2"/>
        <v/>
      </c>
      <c r="AB497" s="1" t="str">
        <f t="shared" si="3"/>
        <v>_</v>
      </c>
    </row>
    <row r="498" ht="15.75" customHeight="1">
      <c r="E498" s="1"/>
      <c r="F498" s="1"/>
      <c r="G498" s="1"/>
      <c r="H498" s="1"/>
      <c r="L498" s="1"/>
      <c r="M498" s="1"/>
      <c r="AA498" s="1" t="str">
        <f t="shared" si="2"/>
        <v/>
      </c>
      <c r="AB498" s="1" t="str">
        <f t="shared" si="3"/>
        <v>_</v>
      </c>
    </row>
    <row r="499" ht="15.75" customHeight="1">
      <c r="E499" s="1"/>
      <c r="F499" s="1"/>
      <c r="G499" s="1"/>
      <c r="H499" s="1"/>
      <c r="L499" s="1"/>
      <c r="M499" s="1"/>
      <c r="AA499" s="1" t="str">
        <f t="shared" si="2"/>
        <v/>
      </c>
      <c r="AB499" s="1" t="str">
        <f t="shared" si="3"/>
        <v>_</v>
      </c>
    </row>
    <row r="500" ht="15.75" customHeight="1">
      <c r="E500" s="1"/>
      <c r="F500" s="1"/>
      <c r="G500" s="1"/>
      <c r="H500" s="1"/>
      <c r="L500" s="1"/>
      <c r="M500" s="1"/>
      <c r="AA500" s="1" t="str">
        <f t="shared" si="2"/>
        <v/>
      </c>
      <c r="AB500" s="1" t="str">
        <f t="shared" si="3"/>
        <v>_</v>
      </c>
    </row>
    <row r="501" ht="15.75" customHeight="1">
      <c r="E501" s="1"/>
      <c r="F501" s="1"/>
      <c r="G501" s="1"/>
      <c r="H501" s="1"/>
      <c r="L501" s="1"/>
      <c r="M501" s="1"/>
      <c r="AA501" s="1" t="str">
        <f t="shared" si="2"/>
        <v/>
      </c>
      <c r="AB501" s="1" t="str">
        <f t="shared" si="3"/>
        <v>_</v>
      </c>
    </row>
    <row r="502" ht="15.75" customHeight="1">
      <c r="E502" s="1"/>
      <c r="F502" s="1"/>
      <c r="G502" s="1"/>
      <c r="H502" s="1"/>
      <c r="L502" s="1"/>
      <c r="M502" s="1"/>
      <c r="AA502" s="1" t="str">
        <f t="shared" si="2"/>
        <v/>
      </c>
      <c r="AB502" s="1" t="str">
        <f t="shared" si="3"/>
        <v>_</v>
      </c>
    </row>
    <row r="503" ht="15.75" customHeight="1">
      <c r="E503" s="1"/>
      <c r="F503" s="1"/>
      <c r="G503" s="1"/>
      <c r="H503" s="1"/>
      <c r="L503" s="1"/>
      <c r="M503" s="1"/>
      <c r="AA503" s="1" t="str">
        <f t="shared" si="2"/>
        <v/>
      </c>
      <c r="AB503" s="1" t="str">
        <f t="shared" si="3"/>
        <v>_</v>
      </c>
    </row>
    <row r="504" ht="15.75" customHeight="1">
      <c r="E504" s="1"/>
      <c r="F504" s="1"/>
      <c r="G504" s="1"/>
      <c r="H504" s="1"/>
      <c r="L504" s="1"/>
      <c r="M504" s="1"/>
      <c r="AA504" s="1" t="str">
        <f t="shared" si="2"/>
        <v/>
      </c>
      <c r="AB504" s="1" t="str">
        <f t="shared" si="3"/>
        <v>_</v>
      </c>
    </row>
    <row r="505" ht="15.75" customHeight="1">
      <c r="E505" s="1"/>
      <c r="F505" s="1"/>
      <c r="G505" s="1"/>
      <c r="H505" s="1"/>
      <c r="L505" s="1"/>
      <c r="M505" s="1"/>
      <c r="AA505" s="1" t="str">
        <f t="shared" si="2"/>
        <v/>
      </c>
      <c r="AB505" s="1" t="str">
        <f t="shared" si="3"/>
        <v>_</v>
      </c>
    </row>
    <row r="506" ht="15.75" customHeight="1">
      <c r="E506" s="1"/>
      <c r="F506" s="1"/>
      <c r="G506" s="1"/>
      <c r="H506" s="1"/>
      <c r="L506" s="1"/>
      <c r="M506" s="1"/>
      <c r="AA506" s="1" t="str">
        <f t="shared" si="2"/>
        <v/>
      </c>
      <c r="AB506" s="1" t="str">
        <f t="shared" si="3"/>
        <v>_</v>
      </c>
    </row>
    <row r="507" ht="15.75" customHeight="1">
      <c r="E507" s="1"/>
      <c r="F507" s="1"/>
      <c r="G507" s="1"/>
      <c r="H507" s="1"/>
      <c r="L507" s="1"/>
      <c r="M507" s="1"/>
      <c r="AA507" s="1" t="str">
        <f t="shared" si="2"/>
        <v/>
      </c>
      <c r="AB507" s="1" t="str">
        <f t="shared" si="3"/>
        <v>_</v>
      </c>
    </row>
    <row r="508" ht="15.75" customHeight="1">
      <c r="E508" s="1"/>
      <c r="F508" s="1"/>
      <c r="G508" s="1"/>
      <c r="H508" s="1"/>
      <c r="L508" s="1"/>
      <c r="M508" s="1"/>
      <c r="AA508" s="1" t="str">
        <f t="shared" si="2"/>
        <v/>
      </c>
      <c r="AB508" s="1" t="str">
        <f t="shared" si="3"/>
        <v>_</v>
      </c>
    </row>
    <row r="509" ht="15.75" customHeight="1">
      <c r="E509" s="1"/>
      <c r="F509" s="1"/>
      <c r="G509" s="1"/>
      <c r="H509" s="1"/>
      <c r="L509" s="1"/>
      <c r="M509" s="1"/>
      <c r="AA509" s="1" t="str">
        <f t="shared" si="2"/>
        <v/>
      </c>
      <c r="AB509" s="1" t="str">
        <f t="shared" si="3"/>
        <v>_</v>
      </c>
    </row>
    <row r="510" ht="15.75" customHeight="1">
      <c r="E510" s="1"/>
      <c r="F510" s="1"/>
      <c r="G510" s="1"/>
      <c r="H510" s="1"/>
      <c r="L510" s="1"/>
      <c r="M510" s="1"/>
      <c r="AA510" s="1" t="str">
        <f t="shared" si="2"/>
        <v/>
      </c>
      <c r="AB510" s="1" t="str">
        <f t="shared" si="3"/>
        <v>_</v>
      </c>
    </row>
    <row r="511" ht="15.75" customHeight="1">
      <c r="E511" s="1"/>
      <c r="F511" s="1"/>
      <c r="G511" s="1"/>
      <c r="H511" s="1"/>
      <c r="L511" s="1"/>
      <c r="M511" s="1"/>
      <c r="AA511" s="1" t="str">
        <f t="shared" si="2"/>
        <v/>
      </c>
      <c r="AB511" s="1" t="str">
        <f t="shared" si="3"/>
        <v>_</v>
      </c>
    </row>
    <row r="512" ht="15.75" customHeight="1">
      <c r="E512" s="1"/>
      <c r="F512" s="1"/>
      <c r="G512" s="1"/>
      <c r="H512" s="1"/>
      <c r="L512" s="1"/>
      <c r="M512" s="1"/>
      <c r="AA512" s="1" t="str">
        <f t="shared" si="2"/>
        <v/>
      </c>
      <c r="AB512" s="1" t="str">
        <f t="shared" si="3"/>
        <v>_</v>
      </c>
    </row>
    <row r="513" ht="15.75" customHeight="1">
      <c r="E513" s="1"/>
      <c r="F513" s="1"/>
      <c r="G513" s="1"/>
      <c r="H513" s="1"/>
      <c r="L513" s="1"/>
      <c r="M513" s="1"/>
      <c r="AA513" s="1" t="str">
        <f t="shared" si="2"/>
        <v/>
      </c>
      <c r="AB513" s="1" t="str">
        <f t="shared" si="3"/>
        <v>_</v>
      </c>
    </row>
    <row r="514" ht="15.75" customHeight="1">
      <c r="E514" s="1"/>
      <c r="F514" s="1"/>
      <c r="G514" s="1"/>
      <c r="H514" s="1"/>
      <c r="L514" s="1"/>
      <c r="M514" s="1"/>
      <c r="AA514" s="1" t="str">
        <f t="shared" si="2"/>
        <v/>
      </c>
      <c r="AB514" s="1" t="str">
        <f t="shared" si="3"/>
        <v>_</v>
      </c>
    </row>
    <row r="515" ht="15.75" customHeight="1">
      <c r="E515" s="1"/>
      <c r="F515" s="1"/>
      <c r="G515" s="1"/>
      <c r="H515" s="1"/>
      <c r="L515" s="1"/>
      <c r="M515" s="1"/>
      <c r="AA515" s="1" t="str">
        <f t="shared" si="2"/>
        <v/>
      </c>
      <c r="AB515" s="1" t="str">
        <f t="shared" si="3"/>
        <v>_</v>
      </c>
    </row>
    <row r="516" ht="15.75" customHeight="1">
      <c r="E516" s="1"/>
      <c r="F516" s="1"/>
      <c r="G516" s="1"/>
      <c r="H516" s="1"/>
      <c r="L516" s="1"/>
      <c r="M516" s="1"/>
      <c r="AA516" s="1" t="str">
        <f t="shared" si="2"/>
        <v/>
      </c>
      <c r="AB516" s="1" t="str">
        <f t="shared" si="3"/>
        <v>_</v>
      </c>
    </row>
    <row r="517" ht="15.75" customHeight="1">
      <c r="E517" s="1"/>
      <c r="F517" s="1"/>
      <c r="G517" s="1"/>
      <c r="H517" s="1"/>
      <c r="L517" s="1"/>
      <c r="M517" s="1"/>
      <c r="AA517" s="1" t="str">
        <f t="shared" si="2"/>
        <v/>
      </c>
      <c r="AB517" s="1" t="str">
        <f t="shared" si="3"/>
        <v>_</v>
      </c>
    </row>
    <row r="518" ht="15.75" customHeight="1">
      <c r="E518" s="1"/>
      <c r="F518" s="1"/>
      <c r="G518" s="1"/>
      <c r="H518" s="1"/>
      <c r="L518" s="1"/>
      <c r="M518" s="1"/>
      <c r="AA518" s="1" t="str">
        <f t="shared" si="2"/>
        <v/>
      </c>
      <c r="AB518" s="1" t="str">
        <f t="shared" si="3"/>
        <v>_</v>
      </c>
    </row>
    <row r="519" ht="15.75" customHeight="1">
      <c r="E519" s="1"/>
      <c r="F519" s="1"/>
      <c r="G519" s="1"/>
      <c r="H519" s="1"/>
      <c r="L519" s="1"/>
      <c r="M519" s="1"/>
      <c r="AA519" s="1" t="str">
        <f t="shared" si="2"/>
        <v/>
      </c>
      <c r="AB519" s="1" t="str">
        <f t="shared" si="3"/>
        <v>_</v>
      </c>
    </row>
    <row r="520" ht="15.75" customHeight="1">
      <c r="E520" s="1"/>
      <c r="F520" s="1"/>
      <c r="G520" s="1"/>
      <c r="H520" s="1"/>
      <c r="L520" s="1"/>
      <c r="M520" s="1"/>
      <c r="AA520" s="1" t="str">
        <f t="shared" si="2"/>
        <v/>
      </c>
      <c r="AB520" s="1" t="str">
        <f t="shared" si="3"/>
        <v>_</v>
      </c>
    </row>
    <row r="521" ht="15.75" customHeight="1">
      <c r="E521" s="1"/>
      <c r="F521" s="1"/>
      <c r="G521" s="1"/>
      <c r="H521" s="1"/>
      <c r="L521" s="1"/>
      <c r="M521" s="1"/>
      <c r="AA521" s="1" t="str">
        <f t="shared" si="2"/>
        <v/>
      </c>
      <c r="AB521" s="1" t="str">
        <f t="shared" si="3"/>
        <v>_</v>
      </c>
    </row>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R1"/>
    <mergeCell ref="A2:R2"/>
  </mergeCells>
  <dataValidations>
    <dataValidation type="list" allowBlank="1" sqref="E4:E521">
      <formula1>SECCIONES</formula1>
    </dataValidation>
    <dataValidation type="list" allowBlank="1" sqref="G4:G521">
      <formula1>INDIRECTO($AA4)</formula1>
    </dataValidation>
    <dataValidation type="list" allowBlank="1" sqref="H4:H521">
      <formula1>INDIRECTO($AB4)</formula1>
    </dataValidation>
    <dataValidation type="list" allowBlank="1" sqref="F4:F521">
      <formula1>CATEGORIAS</formula1>
    </dataValidation>
    <dataValidation type="list" allowBlank="1" sqref="L4:M521">
      <formula1>"TRUE,FALSE"</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77C6A"/>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2" width="18.0"/>
    <col customWidth="1" min="3" max="3" width="32.0"/>
    <col customWidth="1" min="4" max="4" width="18.0"/>
    <col customWidth="1" min="5" max="5" width="16.0"/>
    <col customWidth="1" min="6" max="6" width="10.0"/>
    <col customWidth="1" min="7" max="7" width="14.0"/>
    <col customWidth="1" min="8" max="8" width="16.0"/>
    <col customWidth="1" min="9" max="9" width="14.0"/>
    <col customWidth="1" min="10" max="10" width="12.0"/>
    <col customWidth="1" min="11" max="11" width="10.0"/>
    <col customWidth="1" min="12" max="12" width="20.0"/>
    <col customWidth="1" min="13" max="26" width="8.71"/>
  </cols>
  <sheetData>
    <row r="1" ht="36.0" customHeight="1">
      <c r="A1" s="2" t="s">
        <v>2</v>
      </c>
      <c r="B1" s="4"/>
      <c r="C1" s="4"/>
      <c r="D1" s="4"/>
      <c r="E1" s="4"/>
      <c r="F1" s="4"/>
      <c r="G1" s="4"/>
      <c r="H1" s="4"/>
      <c r="I1" s="4"/>
      <c r="J1" s="4"/>
      <c r="K1" s="4"/>
      <c r="L1" s="5"/>
    </row>
    <row r="2" ht="27.75" customHeight="1">
      <c r="A2" s="6" t="s">
        <v>72</v>
      </c>
      <c r="B2" s="4"/>
      <c r="C2" s="4"/>
      <c r="D2" s="4"/>
      <c r="E2" s="4"/>
      <c r="F2" s="4"/>
      <c r="G2" s="4"/>
      <c r="H2" s="4"/>
      <c r="I2" s="4"/>
      <c r="J2" s="4"/>
      <c r="K2" s="4"/>
      <c r="L2" s="5"/>
    </row>
    <row r="3" ht="30.0" customHeight="1">
      <c r="A3" s="7" t="s">
        <v>111</v>
      </c>
      <c r="B3" s="7" t="s">
        <v>125</v>
      </c>
      <c r="C3" s="9" t="s">
        <v>134</v>
      </c>
      <c r="D3" s="10" t="s">
        <v>141</v>
      </c>
      <c r="E3" s="10" t="s">
        <v>157</v>
      </c>
      <c r="F3" s="10" t="s">
        <v>165</v>
      </c>
      <c r="G3" s="7" t="s">
        <v>168</v>
      </c>
      <c r="H3" s="10" t="s">
        <v>172</v>
      </c>
      <c r="I3" s="9" t="s">
        <v>181</v>
      </c>
      <c r="J3" s="10" t="s">
        <v>187</v>
      </c>
      <c r="K3" s="10" t="s">
        <v>193</v>
      </c>
      <c r="L3" s="12" t="s">
        <v>200</v>
      </c>
    </row>
    <row r="4" ht="19.5" customHeight="1">
      <c r="A4" s="13" t="s">
        <v>211</v>
      </c>
      <c r="B4" s="13" t="s">
        <v>218</v>
      </c>
      <c r="C4" s="14" t="str">
        <f>IF(B4&lt;&gt;"",IFERROR(VLOOKUP(B4,'📦 Productos'!A:C,3,FALSE),""),"")</f>
        <v>KENZO INDIGO POUR HOMME EDP</v>
      </c>
      <c r="D4" s="13" t="s">
        <v>228</v>
      </c>
      <c r="E4" s="13" t="s">
        <v>231</v>
      </c>
      <c r="F4" s="16">
        <v>0.0</v>
      </c>
      <c r="G4" s="17">
        <v>196000.0</v>
      </c>
      <c r="H4" s="18"/>
      <c r="I4" s="20">
        <f t="shared" ref="I4:I497" si="1">IF(AND(G4&gt;0,H4&gt;0),ROUND((1-H4/G4)*100,0),0)</f>
        <v>0</v>
      </c>
      <c r="J4" s="22" t="s">
        <v>235</v>
      </c>
      <c r="K4" s="16" t="s">
        <v>236</v>
      </c>
      <c r="L4" s="13" t="s">
        <v>232</v>
      </c>
    </row>
    <row r="5" ht="19.5" customHeight="1">
      <c r="A5" s="25" t="s">
        <v>238</v>
      </c>
      <c r="B5" s="25" t="s">
        <v>218</v>
      </c>
      <c r="C5" s="14" t="str">
        <f>IF(B5&lt;&gt;"",IFERROR(VLOOKUP(B5,'📦 Productos'!A:C,3,FALSE),""),"")</f>
        <v>KENZO INDIGO POUR HOMME EDP</v>
      </c>
      <c r="D5" s="25" t="s">
        <v>239</v>
      </c>
      <c r="E5" s="25" t="s">
        <v>240</v>
      </c>
      <c r="F5" s="26">
        <v>0.0</v>
      </c>
      <c r="G5" s="27">
        <v>258000.0</v>
      </c>
      <c r="H5" s="29"/>
      <c r="I5" s="20">
        <f t="shared" si="1"/>
        <v>0</v>
      </c>
      <c r="J5" s="31" t="s">
        <v>235</v>
      </c>
      <c r="K5" s="26" t="s">
        <v>236</v>
      </c>
      <c r="L5" s="25" t="s">
        <v>232</v>
      </c>
    </row>
    <row r="6" ht="19.5" customHeight="1">
      <c r="A6" s="13" t="s">
        <v>244</v>
      </c>
      <c r="B6" s="13" t="s">
        <v>241</v>
      </c>
      <c r="C6" s="14" t="str">
        <f>IF(B6&lt;&gt;"",IFERROR(VLOOKUP(B6,'📦 Productos'!A:C,3,FALSE),""),"")</f>
        <v>KENZO AQUA FEMME EDT</v>
      </c>
      <c r="D6" s="13" t="s">
        <v>242</v>
      </c>
      <c r="E6" s="13" t="s">
        <v>246</v>
      </c>
      <c r="F6" s="16">
        <v>0.0</v>
      </c>
      <c r="G6" s="17">
        <v>105000.0</v>
      </c>
      <c r="H6" s="18"/>
      <c r="I6" s="20">
        <f t="shared" si="1"/>
        <v>0</v>
      </c>
      <c r="J6" s="22" t="s">
        <v>235</v>
      </c>
      <c r="K6" s="16" t="s">
        <v>236</v>
      </c>
      <c r="L6" s="13" t="s">
        <v>232</v>
      </c>
    </row>
    <row r="7" ht="19.5" customHeight="1">
      <c r="A7" s="25" t="s">
        <v>250</v>
      </c>
      <c r="B7" s="25" t="s">
        <v>241</v>
      </c>
      <c r="C7" s="14" t="str">
        <f>IF(B7&lt;&gt;"",IFERROR(VLOOKUP(B7,'📦 Productos'!A:C,3,FALSE),""),"")</f>
        <v>KENZO AQUA FEMME EDT</v>
      </c>
      <c r="D7" s="25" t="s">
        <v>252</v>
      </c>
      <c r="E7" s="25" t="s">
        <v>253</v>
      </c>
      <c r="F7" s="26">
        <v>0.0</v>
      </c>
      <c r="G7" s="27">
        <v>218000.0</v>
      </c>
      <c r="H7" s="29"/>
      <c r="I7" s="20">
        <f t="shared" si="1"/>
        <v>0</v>
      </c>
      <c r="J7" s="31" t="s">
        <v>235</v>
      </c>
      <c r="K7" s="26" t="s">
        <v>236</v>
      </c>
      <c r="L7" s="25" t="s">
        <v>232</v>
      </c>
    </row>
    <row r="8" ht="19.5" customHeight="1">
      <c r="A8" s="13" t="s">
        <v>257</v>
      </c>
      <c r="B8" s="13" t="s">
        <v>241</v>
      </c>
      <c r="C8" s="14" t="str">
        <f>IF(B8&lt;&gt;"",IFERROR(VLOOKUP(B8,'📦 Productos'!A:C,3,FALSE),""),"")</f>
        <v>KENZO AQUA FEMME EDT</v>
      </c>
      <c r="D8" s="13" t="s">
        <v>259</v>
      </c>
      <c r="E8" s="13" t="s">
        <v>260</v>
      </c>
      <c r="F8" s="16">
        <v>0.0</v>
      </c>
      <c r="G8" s="17">
        <v>150000.0</v>
      </c>
      <c r="H8" s="18"/>
      <c r="I8" s="20">
        <f t="shared" si="1"/>
        <v>0</v>
      </c>
      <c r="J8" s="22" t="s">
        <v>235</v>
      </c>
      <c r="K8" s="16" t="s">
        <v>236</v>
      </c>
      <c r="L8" s="13" t="s">
        <v>232</v>
      </c>
    </row>
    <row r="9" ht="19.5" customHeight="1">
      <c r="A9" s="25" t="s">
        <v>264</v>
      </c>
      <c r="B9" s="25" t="s">
        <v>247</v>
      </c>
      <c r="C9" s="14" t="str">
        <f>IF(B9&lt;&gt;"",IFERROR(VLOOKUP(B9,'📦 Productos'!A:C,3,FALSE),""),"")</f>
        <v>KENZO AQUA HOMME EDT</v>
      </c>
      <c r="D9" s="25" t="s">
        <v>248</v>
      </c>
      <c r="E9" s="25" t="s">
        <v>253</v>
      </c>
      <c r="F9" s="26">
        <v>0.0</v>
      </c>
      <c r="G9" s="27">
        <v>218000.0</v>
      </c>
      <c r="H9" s="29"/>
      <c r="I9" s="20">
        <f t="shared" si="1"/>
        <v>0</v>
      </c>
      <c r="J9" s="31" t="s">
        <v>235</v>
      </c>
      <c r="K9" s="26" t="s">
        <v>236</v>
      </c>
      <c r="L9" s="25" t="s">
        <v>232</v>
      </c>
    </row>
    <row r="10" ht="19.5" customHeight="1">
      <c r="A10" s="13" t="s">
        <v>269</v>
      </c>
      <c r="B10" s="13" t="s">
        <v>247</v>
      </c>
      <c r="C10" s="14" t="str">
        <f>IF(B10&lt;&gt;"",IFERROR(VLOOKUP(B10,'📦 Productos'!A:C,3,FALSE),""),"")</f>
        <v>KENZO AQUA HOMME EDT</v>
      </c>
      <c r="D10" s="13" t="s">
        <v>271</v>
      </c>
      <c r="E10" s="13" t="s">
        <v>246</v>
      </c>
      <c r="F10" s="16">
        <v>0.0</v>
      </c>
      <c r="G10" s="17">
        <v>105000.0</v>
      </c>
      <c r="H10" s="18"/>
      <c r="I10" s="20">
        <f t="shared" si="1"/>
        <v>0</v>
      </c>
      <c r="J10" s="22" t="s">
        <v>235</v>
      </c>
      <c r="K10" s="16" t="s">
        <v>236</v>
      </c>
      <c r="L10" s="13" t="s">
        <v>232</v>
      </c>
    </row>
    <row r="11" ht="19.5" customHeight="1">
      <c r="A11" s="25" t="s">
        <v>272</v>
      </c>
      <c r="B11" s="25" t="s">
        <v>247</v>
      </c>
      <c r="C11" s="14" t="str">
        <f>IF(B11&lt;&gt;"",IFERROR(VLOOKUP(B11,'📦 Productos'!A:C,3,FALSE),""),"")</f>
        <v>KENZO AQUA HOMME EDT</v>
      </c>
      <c r="D11" s="25" t="s">
        <v>276</v>
      </c>
      <c r="E11" s="25" t="s">
        <v>260</v>
      </c>
      <c r="F11" s="26">
        <v>0.0</v>
      </c>
      <c r="G11" s="27">
        <v>150000.0</v>
      </c>
      <c r="H11" s="29"/>
      <c r="I11" s="20">
        <f t="shared" si="1"/>
        <v>0</v>
      </c>
      <c r="J11" s="31" t="s">
        <v>235</v>
      </c>
      <c r="K11" s="26" t="s">
        <v>236</v>
      </c>
      <c r="L11" s="25" t="s">
        <v>232</v>
      </c>
    </row>
    <row r="12" ht="19.5" customHeight="1">
      <c r="A12" s="13" t="s">
        <v>279</v>
      </c>
      <c r="B12" s="13" t="s">
        <v>254</v>
      </c>
      <c r="C12" s="14" t="str">
        <f>IF(B12&lt;&gt;"",IFERROR(VLOOKUP(B12,'📦 Productos'!A:C,3,FALSE),""),"")</f>
        <v>KENZO D ETE</v>
      </c>
      <c r="D12" s="13" t="s">
        <v>255</v>
      </c>
      <c r="E12" s="13" t="s">
        <v>282</v>
      </c>
      <c r="F12" s="16">
        <v>0.0</v>
      </c>
      <c r="G12" s="17">
        <v>268000.0</v>
      </c>
      <c r="H12" s="18">
        <v>166160.0</v>
      </c>
      <c r="I12" s="20">
        <f t="shared" si="1"/>
        <v>38</v>
      </c>
      <c r="J12" s="22" t="s">
        <v>235</v>
      </c>
      <c r="K12" s="16" t="s">
        <v>236</v>
      </c>
      <c r="L12" s="13" t="s">
        <v>232</v>
      </c>
    </row>
    <row r="13" ht="19.5" customHeight="1">
      <c r="A13" s="25" t="s">
        <v>284</v>
      </c>
      <c r="B13" s="25" t="s">
        <v>261</v>
      </c>
      <c r="C13" s="14" t="str">
        <f>IF(B13&lt;&gt;"",IFERROR(VLOOKUP(B13,'📦 Productos'!A:C,3,FALSE),""),"")</f>
        <v>KENZO FLOWER POPPY BOUQUET EDP</v>
      </c>
      <c r="D13" s="25" t="s">
        <v>262</v>
      </c>
      <c r="E13" s="25" t="s">
        <v>253</v>
      </c>
      <c r="F13" s="26">
        <v>0.0</v>
      </c>
      <c r="G13" s="27">
        <v>301000.0</v>
      </c>
      <c r="H13" s="29"/>
      <c r="I13" s="20">
        <f t="shared" si="1"/>
        <v>0</v>
      </c>
      <c r="J13" s="31" t="s">
        <v>235</v>
      </c>
      <c r="K13" s="26" t="s">
        <v>236</v>
      </c>
      <c r="L13" s="25" t="s">
        <v>232</v>
      </c>
    </row>
    <row r="14" ht="19.5" customHeight="1">
      <c r="A14" s="13" t="s">
        <v>289</v>
      </c>
      <c r="B14" s="13" t="s">
        <v>261</v>
      </c>
      <c r="C14" s="14" t="str">
        <f>IF(B14&lt;&gt;"",IFERROR(VLOOKUP(B14,'📦 Productos'!A:C,3,FALSE),""),"")</f>
        <v>KENZO FLOWER POPPY BOUQUET EDP</v>
      </c>
      <c r="D14" s="13" t="s">
        <v>290</v>
      </c>
      <c r="E14" s="13" t="s">
        <v>246</v>
      </c>
      <c r="F14" s="16">
        <v>0.0</v>
      </c>
      <c r="G14" s="17">
        <v>162000.0</v>
      </c>
      <c r="H14" s="18"/>
      <c r="I14" s="20">
        <f t="shared" si="1"/>
        <v>0</v>
      </c>
      <c r="J14" s="22" t="s">
        <v>235</v>
      </c>
      <c r="K14" s="16" t="s">
        <v>236</v>
      </c>
      <c r="L14" s="13" t="s">
        <v>232</v>
      </c>
    </row>
    <row r="15" ht="19.5" customHeight="1">
      <c r="A15" s="25" t="s">
        <v>294</v>
      </c>
      <c r="B15" s="25" t="s">
        <v>261</v>
      </c>
      <c r="C15" s="14" t="str">
        <f>IF(B15&lt;&gt;"",IFERROR(VLOOKUP(B15,'📦 Productos'!A:C,3,FALSE),""),"")</f>
        <v>KENZO FLOWER POPPY BOUQUET EDP</v>
      </c>
      <c r="D15" s="25" t="s">
        <v>295</v>
      </c>
      <c r="E15" s="25" t="s">
        <v>260</v>
      </c>
      <c r="F15" s="26">
        <v>0.0</v>
      </c>
      <c r="G15" s="27">
        <v>231000.0</v>
      </c>
      <c r="H15" s="29"/>
      <c r="I15" s="20">
        <f t="shared" si="1"/>
        <v>0</v>
      </c>
      <c r="J15" s="31" t="s">
        <v>235</v>
      </c>
      <c r="K15" s="26" t="s">
        <v>236</v>
      </c>
      <c r="L15" s="25" t="s">
        <v>232</v>
      </c>
    </row>
    <row r="16" ht="19.5" customHeight="1">
      <c r="A16" s="13" t="s">
        <v>299</v>
      </c>
      <c r="B16" s="13" t="s">
        <v>261</v>
      </c>
      <c r="C16" s="14" t="str">
        <f>IF(B16&lt;&gt;"",IFERROR(VLOOKUP(B16,'📦 Productos'!A:C,3,FALSE),""),"")</f>
        <v>KENZO FLOWER POPPY BOUQUET EDP</v>
      </c>
      <c r="D16" s="13" t="s">
        <v>300</v>
      </c>
      <c r="E16" s="13" t="s">
        <v>246</v>
      </c>
      <c r="F16" s="16">
        <v>0.0</v>
      </c>
      <c r="G16" s="17">
        <v>162000.0</v>
      </c>
      <c r="H16" s="18">
        <v>119880.0</v>
      </c>
      <c r="I16" s="20">
        <f t="shared" si="1"/>
        <v>26</v>
      </c>
      <c r="J16" s="22" t="s">
        <v>235</v>
      </c>
      <c r="K16" s="16" t="s">
        <v>236</v>
      </c>
      <c r="L16" s="13" t="s">
        <v>232</v>
      </c>
    </row>
    <row r="17" ht="19.5" customHeight="1">
      <c r="A17" s="25" t="s">
        <v>301</v>
      </c>
      <c r="B17" s="25" t="s">
        <v>261</v>
      </c>
      <c r="C17" s="14" t="str">
        <f>IF(B17&lt;&gt;"",IFERROR(VLOOKUP(B17,'📦 Productos'!A:C,3,FALSE),""),"")</f>
        <v>KENZO FLOWER POPPY BOUQUET EDP</v>
      </c>
      <c r="D17" s="25" t="s">
        <v>304</v>
      </c>
      <c r="E17" s="25" t="s">
        <v>260</v>
      </c>
      <c r="F17" s="26">
        <v>0.0</v>
      </c>
      <c r="G17" s="27">
        <v>231000.0</v>
      </c>
      <c r="H17" s="29"/>
      <c r="I17" s="20">
        <f t="shared" si="1"/>
        <v>0</v>
      </c>
      <c r="J17" s="31" t="s">
        <v>235</v>
      </c>
      <c r="K17" s="26" t="s">
        <v>236</v>
      </c>
      <c r="L17" s="25" t="s">
        <v>232</v>
      </c>
    </row>
    <row r="18" ht="19.5" customHeight="1">
      <c r="A18" s="13" t="s">
        <v>306</v>
      </c>
      <c r="B18" s="13" t="s">
        <v>266</v>
      </c>
      <c r="C18" s="14" t="str">
        <f>IF(B18&lt;&gt;"",IFERROR(VLOOKUP(B18,'📦 Productos'!A:C,3,FALSE),""),"")</f>
        <v>KENZO FLOWER POPPY BOUQUET EDT</v>
      </c>
      <c r="D18" s="13" t="s">
        <v>267</v>
      </c>
      <c r="E18" s="13" t="s">
        <v>260</v>
      </c>
      <c r="F18" s="16">
        <v>0.0</v>
      </c>
      <c r="G18" s="17">
        <v>151500.0</v>
      </c>
      <c r="H18" s="18">
        <v>121200.0</v>
      </c>
      <c r="I18" s="20">
        <f t="shared" si="1"/>
        <v>20</v>
      </c>
      <c r="J18" s="22" t="s">
        <v>235</v>
      </c>
      <c r="K18" s="16" t="s">
        <v>236</v>
      </c>
      <c r="L18" s="13" t="s">
        <v>232</v>
      </c>
    </row>
    <row r="19" ht="19.5" customHeight="1">
      <c r="A19" s="25" t="s">
        <v>310</v>
      </c>
      <c r="B19" s="25" t="s">
        <v>273</v>
      </c>
      <c r="C19" s="14" t="str">
        <f>IF(B19&lt;&gt;"",IFERROR(VLOOKUP(B19,'📦 Productos'!A:C,3,FALSE),""),"")</f>
        <v>KENZO FLOWER L ABSOLUE EDP</v>
      </c>
      <c r="D19" s="25" t="s">
        <v>274</v>
      </c>
      <c r="E19" s="25" t="s">
        <v>253</v>
      </c>
      <c r="F19" s="26">
        <v>0.0</v>
      </c>
      <c r="G19" s="27">
        <v>247700.0</v>
      </c>
      <c r="H19" s="29"/>
      <c r="I19" s="20">
        <f t="shared" si="1"/>
        <v>0</v>
      </c>
      <c r="J19" s="31" t="s">
        <v>235</v>
      </c>
      <c r="K19" s="26" t="s">
        <v>236</v>
      </c>
      <c r="L19" s="25" t="s">
        <v>232</v>
      </c>
    </row>
    <row r="20" ht="19.5" customHeight="1">
      <c r="A20" s="13" t="s">
        <v>314</v>
      </c>
      <c r="B20" s="13" t="s">
        <v>273</v>
      </c>
      <c r="C20" s="14" t="str">
        <f>IF(B20&lt;&gt;"",IFERROR(VLOOKUP(B20,'📦 Productos'!A:C,3,FALSE),""),"")</f>
        <v>KENZO FLOWER L ABSOLUE EDP</v>
      </c>
      <c r="D20" s="13" t="s">
        <v>315</v>
      </c>
      <c r="E20" s="13" t="s">
        <v>246</v>
      </c>
      <c r="F20" s="16">
        <v>0.0</v>
      </c>
      <c r="G20" s="17">
        <v>141000.0</v>
      </c>
      <c r="H20" s="18"/>
      <c r="I20" s="20">
        <f t="shared" si="1"/>
        <v>0</v>
      </c>
      <c r="J20" s="22" t="s">
        <v>235</v>
      </c>
      <c r="K20" s="16" t="s">
        <v>236</v>
      </c>
      <c r="L20" s="13" t="s">
        <v>232</v>
      </c>
    </row>
    <row r="21" ht="19.5" customHeight="1">
      <c r="A21" s="25" t="s">
        <v>316</v>
      </c>
      <c r="B21" s="25" t="s">
        <v>273</v>
      </c>
      <c r="C21" s="14" t="str">
        <f>IF(B21&lt;&gt;"",IFERROR(VLOOKUP(B21,'📦 Productos'!A:C,3,FALSE),""),"")</f>
        <v>KENZO FLOWER L ABSOLUE EDP</v>
      </c>
      <c r="D21" s="25" t="s">
        <v>320</v>
      </c>
      <c r="E21" s="25" t="s">
        <v>260</v>
      </c>
      <c r="F21" s="26">
        <v>0.0</v>
      </c>
      <c r="G21" s="27">
        <v>196400.0</v>
      </c>
      <c r="H21" s="29"/>
      <c r="I21" s="20">
        <f t="shared" si="1"/>
        <v>0</v>
      </c>
      <c r="J21" s="31" t="s">
        <v>235</v>
      </c>
      <c r="K21" s="26" t="s">
        <v>236</v>
      </c>
      <c r="L21" s="25" t="s">
        <v>232</v>
      </c>
    </row>
    <row r="22" ht="19.5" customHeight="1">
      <c r="A22" s="13" t="s">
        <v>322</v>
      </c>
      <c r="B22" s="13" t="s">
        <v>278</v>
      </c>
      <c r="C22" s="14" t="str">
        <f>IF(B22&lt;&gt;"",IFERROR(VLOOKUP(B22,'📦 Productos'!A:C,3,FALSE),""),"")</f>
        <v>KENZO FLOWER CHERRY POPPY EDP</v>
      </c>
      <c r="D22" s="13" t="s">
        <v>280</v>
      </c>
      <c r="E22" s="13" t="s">
        <v>253</v>
      </c>
      <c r="F22" s="16">
        <v>0.0</v>
      </c>
      <c r="G22" s="17">
        <v>240000.0</v>
      </c>
      <c r="H22" s="18"/>
      <c r="I22" s="20">
        <f t="shared" si="1"/>
        <v>0</v>
      </c>
      <c r="J22" s="22" t="s">
        <v>235</v>
      </c>
      <c r="K22" s="16" t="s">
        <v>236</v>
      </c>
      <c r="L22" s="13" t="s">
        <v>232</v>
      </c>
    </row>
    <row r="23" ht="19.5" customHeight="1">
      <c r="A23" s="25" t="s">
        <v>327</v>
      </c>
      <c r="B23" s="25" t="s">
        <v>278</v>
      </c>
      <c r="C23" s="14" t="str">
        <f>IF(B23&lt;&gt;"",IFERROR(VLOOKUP(B23,'📦 Productos'!A:C,3,FALSE),""),"")</f>
        <v>KENZO FLOWER CHERRY POPPY EDP</v>
      </c>
      <c r="D23" s="25" t="s">
        <v>328</v>
      </c>
      <c r="E23" s="25" t="s">
        <v>246</v>
      </c>
      <c r="F23" s="26">
        <v>0.0</v>
      </c>
      <c r="G23" s="27">
        <v>130000.0</v>
      </c>
      <c r="H23" s="29"/>
      <c r="I23" s="20">
        <f t="shared" si="1"/>
        <v>0</v>
      </c>
      <c r="J23" s="31" t="s">
        <v>235</v>
      </c>
      <c r="K23" s="26" t="s">
        <v>236</v>
      </c>
      <c r="L23" s="25" t="s">
        <v>232</v>
      </c>
    </row>
    <row r="24" ht="19.5" customHeight="1">
      <c r="A24" s="13" t="s">
        <v>332</v>
      </c>
      <c r="B24" s="13" t="s">
        <v>278</v>
      </c>
      <c r="C24" s="14" t="str">
        <f>IF(B24&lt;&gt;"",IFERROR(VLOOKUP(B24,'📦 Productos'!A:C,3,FALSE),""),"")</f>
        <v>KENZO FLOWER CHERRY POPPY EDP</v>
      </c>
      <c r="D24" s="13" t="s">
        <v>334</v>
      </c>
      <c r="E24" s="13" t="s">
        <v>260</v>
      </c>
      <c r="F24" s="16">
        <v>0.0</v>
      </c>
      <c r="G24" s="17">
        <v>183000.0</v>
      </c>
      <c r="H24" s="18"/>
      <c r="I24" s="20">
        <f t="shared" si="1"/>
        <v>0</v>
      </c>
      <c r="J24" s="22" t="s">
        <v>235</v>
      </c>
      <c r="K24" s="16" t="s">
        <v>236</v>
      </c>
      <c r="L24" s="13" t="s">
        <v>232</v>
      </c>
    </row>
    <row r="25" ht="19.5" customHeight="1">
      <c r="A25" s="25" t="s">
        <v>338</v>
      </c>
      <c r="B25" s="25" t="s">
        <v>285</v>
      </c>
      <c r="C25" s="14" t="str">
        <f>IF(B25&lt;&gt;"",IFERROR(VLOOKUP(B25,'📦 Productos'!A:C,3,FALSE),""),"")</f>
        <v>KENZO FLOWER EDP X 100 ml  (RECARGABLE)</v>
      </c>
      <c r="D25" s="25" t="s">
        <v>286</v>
      </c>
      <c r="E25" s="25" t="s">
        <v>232</v>
      </c>
      <c r="F25" s="26">
        <v>0.0</v>
      </c>
      <c r="G25" s="27">
        <v>299000.0</v>
      </c>
      <c r="H25" s="29"/>
      <c r="I25" s="20">
        <f t="shared" si="1"/>
        <v>0</v>
      </c>
      <c r="J25" s="31" t="s">
        <v>235</v>
      </c>
      <c r="K25" s="26" t="s">
        <v>236</v>
      </c>
      <c r="L25" s="25" t="s">
        <v>232</v>
      </c>
    </row>
    <row r="26" ht="19.5" customHeight="1">
      <c r="A26" s="13" t="s">
        <v>339</v>
      </c>
      <c r="B26" s="13" t="s">
        <v>291</v>
      </c>
      <c r="C26" s="14" t="str">
        <f>IF(B26&lt;&gt;"",IFERROR(VLOOKUP(B26,'📦 Productos'!A:C,3,FALSE),""),"")</f>
        <v>KENZO FLOWER EDP X 100 + CREMA CUERPO + CREMA MANOS</v>
      </c>
      <c r="D26" s="13" t="s">
        <v>292</v>
      </c>
      <c r="E26" s="13" t="s">
        <v>232</v>
      </c>
      <c r="F26" s="16">
        <v>0.0</v>
      </c>
      <c r="G26" s="17">
        <v>299000.0</v>
      </c>
      <c r="H26" s="18"/>
      <c r="I26" s="20">
        <f t="shared" si="1"/>
        <v>0</v>
      </c>
      <c r="J26" s="22" t="s">
        <v>235</v>
      </c>
      <c r="K26" s="16" t="s">
        <v>236</v>
      </c>
      <c r="L26" s="13" t="s">
        <v>232</v>
      </c>
    </row>
    <row r="27" ht="19.5" customHeight="1">
      <c r="A27" s="25" t="s">
        <v>343</v>
      </c>
      <c r="B27" s="25" t="s">
        <v>296</v>
      </c>
      <c r="C27" s="14" t="str">
        <f>IF(B27&lt;&gt;"",IFERROR(VLOOKUP(B27,'📦 Productos'!A:C,3,FALSE),""),"")</f>
        <v>KENZO FLOWER EDP X 100 + CREMA CUERPO + EDP</v>
      </c>
      <c r="D27" s="25" t="s">
        <v>297</v>
      </c>
      <c r="E27" s="25" t="s">
        <v>347</v>
      </c>
      <c r="F27" s="26">
        <v>0.0</v>
      </c>
      <c r="G27" s="27">
        <v>299000.0</v>
      </c>
      <c r="H27" s="29"/>
      <c r="I27" s="20">
        <f t="shared" si="1"/>
        <v>0</v>
      </c>
      <c r="J27" s="31" t="s">
        <v>235</v>
      </c>
      <c r="K27" s="26" t="s">
        <v>236</v>
      </c>
      <c r="L27" s="25" t="s">
        <v>232</v>
      </c>
    </row>
    <row r="28" ht="19.5" customHeight="1">
      <c r="A28" s="13" t="s">
        <v>349</v>
      </c>
      <c r="B28" s="13" t="s">
        <v>302</v>
      </c>
      <c r="C28" s="14" t="str">
        <f>IF(B28&lt;&gt;"",IFERROR(VLOOKUP(B28,'📦 Productos'!A:C,3,FALSE),""),"")</f>
        <v>KENZO FLOWER EDP X 200 ml TUBO RECARGA</v>
      </c>
      <c r="D28" s="13" t="s">
        <v>303</v>
      </c>
      <c r="E28" s="13" t="s">
        <v>232</v>
      </c>
      <c r="F28" s="16">
        <v>0.0</v>
      </c>
      <c r="G28" s="17">
        <v>315000.0</v>
      </c>
      <c r="H28" s="18"/>
      <c r="I28" s="20">
        <f t="shared" si="1"/>
        <v>0</v>
      </c>
      <c r="J28" s="22" t="s">
        <v>235</v>
      </c>
      <c r="K28" s="16" t="s">
        <v>236</v>
      </c>
      <c r="L28" s="13" t="s">
        <v>232</v>
      </c>
    </row>
    <row r="29" ht="19.5" customHeight="1">
      <c r="A29" s="25" t="s">
        <v>354</v>
      </c>
      <c r="B29" s="25" t="s">
        <v>307</v>
      </c>
      <c r="C29" s="14" t="str">
        <f>IF(B29&lt;&gt;"",IFERROR(VLOOKUP(B29,'📦 Productos'!A:C,3,FALSE),""),"")</f>
        <v>KENZO FLOWER EDP</v>
      </c>
      <c r="D29" s="25" t="s">
        <v>308</v>
      </c>
      <c r="E29" s="25" t="s">
        <v>260</v>
      </c>
      <c r="F29" s="26">
        <v>0.0</v>
      </c>
      <c r="G29" s="27">
        <v>230000.0</v>
      </c>
      <c r="H29" s="29"/>
      <c r="I29" s="20">
        <f t="shared" si="1"/>
        <v>0</v>
      </c>
      <c r="J29" s="31" t="s">
        <v>235</v>
      </c>
      <c r="K29" s="26" t="s">
        <v>236</v>
      </c>
      <c r="L29" s="25" t="s">
        <v>232</v>
      </c>
    </row>
    <row r="30" ht="19.5" customHeight="1">
      <c r="A30" s="13" t="s">
        <v>358</v>
      </c>
      <c r="B30" s="13" t="s">
        <v>307</v>
      </c>
      <c r="C30" s="14" t="str">
        <f>IF(B30&lt;&gt;"",IFERROR(VLOOKUP(B30,'📦 Productos'!A:C,3,FALSE),""),"")</f>
        <v>KENZO FLOWER EDP</v>
      </c>
      <c r="D30" s="13" t="s">
        <v>362</v>
      </c>
      <c r="E30" s="13" t="s">
        <v>246</v>
      </c>
      <c r="F30" s="16">
        <v>0.0</v>
      </c>
      <c r="G30" s="17">
        <v>162000.0</v>
      </c>
      <c r="H30" s="18"/>
      <c r="I30" s="20">
        <f t="shared" si="1"/>
        <v>0</v>
      </c>
      <c r="J30" s="22" t="s">
        <v>235</v>
      </c>
      <c r="K30" s="16" t="s">
        <v>236</v>
      </c>
      <c r="L30" s="13" t="s">
        <v>232</v>
      </c>
    </row>
    <row r="31" ht="19.5" customHeight="1">
      <c r="A31" s="25" t="s">
        <v>364</v>
      </c>
      <c r="B31" s="25" t="s">
        <v>311</v>
      </c>
      <c r="C31" s="14" t="str">
        <f>IF(B31&lt;&gt;"",IFERROR(VLOOKUP(B31,'📦 Productos'!A:C,3,FALSE),""),"")</f>
        <v>KENZO FLOWER EDP X 50 ml + CREMA CUERPO + EDP</v>
      </c>
      <c r="D31" s="25" t="s">
        <v>312</v>
      </c>
      <c r="E31" s="25" t="s">
        <v>347</v>
      </c>
      <c r="F31" s="26">
        <v>0.0</v>
      </c>
      <c r="G31" s="27">
        <v>230000.0</v>
      </c>
      <c r="H31" s="29"/>
      <c r="I31" s="20">
        <f t="shared" si="1"/>
        <v>0</v>
      </c>
      <c r="J31" s="31" t="s">
        <v>235</v>
      </c>
      <c r="K31" s="26" t="s">
        <v>236</v>
      </c>
      <c r="L31" s="25" t="s">
        <v>232</v>
      </c>
    </row>
    <row r="32" ht="19.5" customHeight="1">
      <c r="A32" s="13" t="s">
        <v>368</v>
      </c>
      <c r="B32" s="13" t="s">
        <v>317</v>
      </c>
      <c r="C32" s="14" t="str">
        <f>IF(B32&lt;&gt;"",IFERROR(VLOOKUP(B32,'📦 Productos'!A:C,3,FALSE),""),"")</f>
        <v>KENZO FLOWER EDT</v>
      </c>
      <c r="D32" s="13" t="s">
        <v>318</v>
      </c>
      <c r="E32" s="13" t="s">
        <v>253</v>
      </c>
      <c r="F32" s="16">
        <v>0.0</v>
      </c>
      <c r="G32" s="17">
        <v>194500.0</v>
      </c>
      <c r="H32" s="18">
        <v>155600.0</v>
      </c>
      <c r="I32" s="20">
        <f t="shared" si="1"/>
        <v>20</v>
      </c>
      <c r="J32" s="22" t="s">
        <v>235</v>
      </c>
      <c r="K32" s="16" t="s">
        <v>236</v>
      </c>
      <c r="L32" s="13" t="s">
        <v>232</v>
      </c>
    </row>
    <row r="33" ht="19.5" customHeight="1">
      <c r="A33" s="25" t="s">
        <v>373</v>
      </c>
      <c r="B33" s="25" t="s">
        <v>317</v>
      </c>
      <c r="C33" s="14" t="str">
        <f>IF(B33&lt;&gt;"",IFERROR(VLOOKUP(B33,'📦 Productos'!A:C,3,FALSE),""),"")</f>
        <v>KENZO FLOWER EDT</v>
      </c>
      <c r="D33" s="25" t="s">
        <v>374</v>
      </c>
      <c r="E33" s="25" t="s">
        <v>260</v>
      </c>
      <c r="F33" s="26">
        <v>0.0</v>
      </c>
      <c r="G33" s="27">
        <v>151500.0</v>
      </c>
      <c r="H33" s="29">
        <v>121200.0</v>
      </c>
      <c r="I33" s="20">
        <f t="shared" si="1"/>
        <v>20</v>
      </c>
      <c r="J33" s="31" t="s">
        <v>235</v>
      </c>
      <c r="K33" s="26" t="s">
        <v>236</v>
      </c>
      <c r="L33" s="25" t="s">
        <v>232</v>
      </c>
    </row>
    <row r="34" ht="19.5" customHeight="1">
      <c r="A34" s="13" t="s">
        <v>378</v>
      </c>
      <c r="B34" s="13" t="s">
        <v>323</v>
      </c>
      <c r="C34" s="14" t="str">
        <f>IF(B34&lt;&gt;"",IFERROR(VLOOKUP(B34,'📦 Productos'!A:C,3,FALSE),""),"")</f>
        <v>KENZO FLOWER IKEBANA MIMOSA EDP</v>
      </c>
      <c r="D34" s="13" t="s">
        <v>324</v>
      </c>
      <c r="E34" s="13" t="s">
        <v>380</v>
      </c>
      <c r="F34" s="16">
        <v>0.0</v>
      </c>
      <c r="G34" s="17">
        <v>210000.0</v>
      </c>
      <c r="H34" s="18"/>
      <c r="I34" s="20">
        <f t="shared" si="1"/>
        <v>0</v>
      </c>
      <c r="J34" s="22" t="s">
        <v>235</v>
      </c>
      <c r="K34" s="16" t="s">
        <v>236</v>
      </c>
      <c r="L34" s="13" t="s">
        <v>232</v>
      </c>
    </row>
    <row r="35" ht="19.5" customHeight="1">
      <c r="A35" s="25" t="s">
        <v>381</v>
      </c>
      <c r="B35" s="25" t="s">
        <v>323</v>
      </c>
      <c r="C35" s="14" t="str">
        <f>IF(B35&lt;&gt;"",IFERROR(VLOOKUP(B35,'📦 Productos'!A:C,3,FALSE),""),"")</f>
        <v>KENZO FLOWER IKEBANA MIMOSA EDP</v>
      </c>
      <c r="D35" s="25" t="s">
        <v>385</v>
      </c>
      <c r="E35" s="25" t="s">
        <v>386</v>
      </c>
      <c r="F35" s="26">
        <v>0.0</v>
      </c>
      <c r="G35" s="27">
        <v>257000.0</v>
      </c>
      <c r="H35" s="29"/>
      <c r="I35" s="20">
        <f t="shared" si="1"/>
        <v>0</v>
      </c>
      <c r="J35" s="31" t="s">
        <v>235</v>
      </c>
      <c r="K35" s="26" t="s">
        <v>236</v>
      </c>
      <c r="L35" s="25" t="s">
        <v>232</v>
      </c>
    </row>
    <row r="36" ht="19.5" customHeight="1">
      <c r="A36" s="13" t="s">
        <v>387</v>
      </c>
      <c r="B36" s="13" t="s">
        <v>329</v>
      </c>
      <c r="C36" s="14" t="str">
        <f>IF(B36&lt;&gt;"",IFERROR(VLOOKUP(B36,'📦 Productos'!A:C,3,FALSE),""),"")</f>
        <v>KENZO FLOWER IKEBANA EDP</v>
      </c>
      <c r="D36" s="13" t="s">
        <v>330</v>
      </c>
      <c r="E36" s="13" t="s">
        <v>380</v>
      </c>
      <c r="F36" s="16">
        <v>0.0</v>
      </c>
      <c r="G36" s="17">
        <v>210000.0</v>
      </c>
      <c r="H36" s="18">
        <v>144900.0</v>
      </c>
      <c r="I36" s="20">
        <f t="shared" si="1"/>
        <v>31</v>
      </c>
      <c r="J36" s="22" t="s">
        <v>235</v>
      </c>
      <c r="K36" s="16" t="s">
        <v>236</v>
      </c>
      <c r="L36" s="13" t="s">
        <v>232</v>
      </c>
    </row>
    <row r="37" ht="19.5" customHeight="1">
      <c r="A37" s="25" t="s">
        <v>391</v>
      </c>
      <c r="B37" s="25" t="s">
        <v>329</v>
      </c>
      <c r="C37" s="14" t="str">
        <f>IF(B37&lt;&gt;"",IFERROR(VLOOKUP(B37,'📦 Productos'!A:C,3,FALSE),""),"")</f>
        <v>KENZO FLOWER IKEBANA EDP</v>
      </c>
      <c r="D37" s="25" t="s">
        <v>393</v>
      </c>
      <c r="E37" s="25" t="s">
        <v>386</v>
      </c>
      <c r="F37" s="26">
        <v>0.0</v>
      </c>
      <c r="G37" s="27">
        <v>257000.0</v>
      </c>
      <c r="H37" s="29">
        <v>174760.0</v>
      </c>
      <c r="I37" s="20">
        <f t="shared" si="1"/>
        <v>32</v>
      </c>
      <c r="J37" s="31" t="s">
        <v>235</v>
      </c>
      <c r="K37" s="26" t="s">
        <v>236</v>
      </c>
      <c r="L37" s="25" t="s">
        <v>232</v>
      </c>
    </row>
    <row r="38" ht="19.5" customHeight="1">
      <c r="A38" s="13" t="s">
        <v>397</v>
      </c>
      <c r="B38" s="13" t="s">
        <v>335</v>
      </c>
      <c r="C38" s="14" t="str">
        <f>IF(B38&lt;&gt;"",IFERROR(VLOOKUP(B38,'📦 Productos'!A:C,3,FALSE),""),"")</f>
        <v>KENZO FLOWER IKEBANA EDP X 75 ml + EDP</v>
      </c>
      <c r="D38" s="13" t="s">
        <v>336</v>
      </c>
      <c r="E38" s="13" t="s">
        <v>347</v>
      </c>
      <c r="F38" s="16">
        <v>0.0</v>
      </c>
      <c r="G38" s="17">
        <v>257000.0</v>
      </c>
      <c r="H38" s="18"/>
      <c r="I38" s="20">
        <f t="shared" si="1"/>
        <v>0</v>
      </c>
      <c r="J38" s="22" t="s">
        <v>235</v>
      </c>
      <c r="K38" s="16" t="s">
        <v>236</v>
      </c>
      <c r="L38" s="13" t="s">
        <v>232</v>
      </c>
    </row>
    <row r="39" ht="19.5" customHeight="1">
      <c r="A39" s="25" t="s">
        <v>401</v>
      </c>
      <c r="B39" s="25" t="s">
        <v>340</v>
      </c>
      <c r="C39" s="14" t="str">
        <f>IF(B39&lt;&gt;"",IFERROR(VLOOKUP(B39,'📦 Productos'!A:C,3,FALSE),""),"")</f>
        <v>KENZO FLOWER IKEBANA EDP X 75 ml + CREMA CUERPO + EDP</v>
      </c>
      <c r="D39" s="25" t="s">
        <v>341</v>
      </c>
      <c r="E39" s="25" t="s">
        <v>347</v>
      </c>
      <c r="F39" s="26">
        <v>0.0</v>
      </c>
      <c r="G39" s="27">
        <v>257000.0</v>
      </c>
      <c r="H39" s="29"/>
      <c r="I39" s="20">
        <f t="shared" si="1"/>
        <v>0</v>
      </c>
      <c r="J39" s="31" t="s">
        <v>235</v>
      </c>
      <c r="K39" s="26" t="s">
        <v>236</v>
      </c>
      <c r="L39" s="25" t="s">
        <v>232</v>
      </c>
    </row>
    <row r="40" ht="19.5" customHeight="1">
      <c r="A40" s="13" t="s">
        <v>403</v>
      </c>
      <c r="B40" s="13" t="s">
        <v>344</v>
      </c>
      <c r="C40" s="14" t="str">
        <f>IF(B40&lt;&gt;"",IFERROR(VLOOKUP(B40,'📦 Productos'!A:C,3,FALSE),""),"")</f>
        <v>KENZO FLOWER IKEBANA INDIGO EDP</v>
      </c>
      <c r="D40" s="13" t="s">
        <v>345</v>
      </c>
      <c r="E40" s="13" t="s">
        <v>380</v>
      </c>
      <c r="F40" s="16">
        <v>0.0</v>
      </c>
      <c r="G40" s="17">
        <v>210000.0</v>
      </c>
      <c r="H40" s="18">
        <v>117600.0</v>
      </c>
      <c r="I40" s="20">
        <f t="shared" si="1"/>
        <v>44</v>
      </c>
      <c r="J40" s="22" t="s">
        <v>235</v>
      </c>
      <c r="K40" s="16" t="s">
        <v>236</v>
      </c>
      <c r="L40" s="13" t="s">
        <v>232</v>
      </c>
    </row>
    <row r="41" ht="19.5" customHeight="1">
      <c r="A41" s="25" t="s">
        <v>407</v>
      </c>
      <c r="B41" s="25" t="s">
        <v>344</v>
      </c>
      <c r="C41" s="14" t="str">
        <f>IF(B41&lt;&gt;"",IFERROR(VLOOKUP(B41,'📦 Productos'!A:C,3,FALSE),""),"")</f>
        <v>KENZO FLOWER IKEBANA INDIGO EDP</v>
      </c>
      <c r="D41" s="25" t="s">
        <v>411</v>
      </c>
      <c r="E41" s="25" t="s">
        <v>386</v>
      </c>
      <c r="F41" s="26">
        <v>0.0</v>
      </c>
      <c r="G41" s="27">
        <v>257000.0</v>
      </c>
      <c r="H41" s="29">
        <v>141350.0</v>
      </c>
      <c r="I41" s="20">
        <f t="shared" si="1"/>
        <v>45</v>
      </c>
      <c r="J41" s="31" t="s">
        <v>235</v>
      </c>
      <c r="K41" s="26" t="s">
        <v>236</v>
      </c>
      <c r="L41" s="25" t="s">
        <v>232</v>
      </c>
    </row>
    <row r="42" ht="19.5" customHeight="1">
      <c r="A42" s="13" t="s">
        <v>413</v>
      </c>
      <c r="B42" s="13" t="s">
        <v>350</v>
      </c>
      <c r="C42" s="14" t="str">
        <f>IF(B42&lt;&gt;"",IFERROR(VLOOKUP(B42,'📦 Productos'!A:C,3,FALSE),""),"")</f>
        <v>KENZO FLOWER LA RECOLTE PARISIENNE EDP</v>
      </c>
      <c r="D42" s="13" t="s">
        <v>351</v>
      </c>
      <c r="E42" s="13" t="s">
        <v>380</v>
      </c>
      <c r="F42" s="16">
        <v>0.0</v>
      </c>
      <c r="G42" s="17">
        <v>165300.0</v>
      </c>
      <c r="H42" s="18">
        <v>132240.0</v>
      </c>
      <c r="I42" s="20">
        <f t="shared" si="1"/>
        <v>20</v>
      </c>
      <c r="J42" s="22" t="s">
        <v>235</v>
      </c>
      <c r="K42" s="16" t="s">
        <v>236</v>
      </c>
      <c r="L42" s="13" t="s">
        <v>232</v>
      </c>
    </row>
    <row r="43" ht="19.5" customHeight="1">
      <c r="A43" s="25" t="s">
        <v>418</v>
      </c>
      <c r="B43" s="25" t="s">
        <v>350</v>
      </c>
      <c r="C43" s="14" t="str">
        <f>IF(B43&lt;&gt;"",IFERROR(VLOOKUP(B43,'📦 Productos'!A:C,3,FALSE),""),"")</f>
        <v>KENZO FLOWER LA RECOLTE PARISIENNE EDP</v>
      </c>
      <c r="D43" s="25" t="s">
        <v>422</v>
      </c>
      <c r="E43" s="25" t="s">
        <v>386</v>
      </c>
      <c r="F43" s="26">
        <v>0.0</v>
      </c>
      <c r="G43" s="27">
        <v>198500.0</v>
      </c>
      <c r="H43" s="29"/>
      <c r="I43" s="20">
        <f t="shared" si="1"/>
        <v>0</v>
      </c>
      <c r="J43" s="31" t="s">
        <v>235</v>
      </c>
      <c r="K43" s="26" t="s">
        <v>236</v>
      </c>
      <c r="L43" s="25" t="s">
        <v>232</v>
      </c>
    </row>
    <row r="44" ht="19.5" customHeight="1">
      <c r="A44" s="13" t="s">
        <v>423</v>
      </c>
      <c r="B44" s="13" t="s">
        <v>355</v>
      </c>
      <c r="C44" s="14" t="str">
        <f>IF(B44&lt;&gt;"",IFERROR(VLOOKUP(B44,'📦 Productos'!A:C,3,FALSE),""),"")</f>
        <v>KENZO HOMME EDP</v>
      </c>
      <c r="D44" s="13" t="s">
        <v>356</v>
      </c>
      <c r="E44" s="13" t="s">
        <v>240</v>
      </c>
      <c r="F44" s="16">
        <v>0.0</v>
      </c>
      <c r="G44" s="17">
        <v>275000.0</v>
      </c>
      <c r="H44" s="18"/>
      <c r="I44" s="20">
        <f t="shared" si="1"/>
        <v>0</v>
      </c>
      <c r="J44" s="22" t="s">
        <v>235</v>
      </c>
      <c r="K44" s="16" t="s">
        <v>236</v>
      </c>
      <c r="L44" s="13" t="s">
        <v>232</v>
      </c>
    </row>
    <row r="45" ht="19.5" customHeight="1">
      <c r="A45" s="25" t="s">
        <v>428</v>
      </c>
      <c r="B45" s="25" t="s">
        <v>355</v>
      </c>
      <c r="C45" s="14" t="str">
        <f>IF(B45&lt;&gt;"",IFERROR(VLOOKUP(B45,'📦 Productos'!A:C,3,FALSE),""),"")</f>
        <v>KENZO HOMME EDP</v>
      </c>
      <c r="D45" s="25" t="s">
        <v>432</v>
      </c>
      <c r="E45" s="25" t="s">
        <v>231</v>
      </c>
      <c r="F45" s="26">
        <v>0.0</v>
      </c>
      <c r="G45" s="27">
        <v>212000.0</v>
      </c>
      <c r="H45" s="29"/>
      <c r="I45" s="20">
        <f t="shared" si="1"/>
        <v>0</v>
      </c>
      <c r="J45" s="31" t="s">
        <v>235</v>
      </c>
      <c r="K45" s="26" t="s">
        <v>236</v>
      </c>
      <c r="L45" s="25" t="s">
        <v>232</v>
      </c>
    </row>
    <row r="46" ht="19.5" customHeight="1">
      <c r="A46" s="13" t="s">
        <v>434</v>
      </c>
      <c r="B46" s="13" t="s">
        <v>359</v>
      </c>
      <c r="C46" s="14" t="str">
        <f>IF(B46&lt;&gt;"",IFERROR(VLOOKUP(B46,'📦 Productos'!A:C,3,FALSE),""),"")</f>
        <v>KENZO HOMME INTENSE EDT</v>
      </c>
      <c r="D46" s="13" t="s">
        <v>360</v>
      </c>
      <c r="E46" s="13" t="s">
        <v>240</v>
      </c>
      <c r="F46" s="16">
        <v>0.0</v>
      </c>
      <c r="G46" s="17">
        <v>258000.0</v>
      </c>
      <c r="H46" s="18"/>
      <c r="I46" s="20">
        <f t="shared" si="1"/>
        <v>0</v>
      </c>
      <c r="J46" s="22" t="s">
        <v>235</v>
      </c>
      <c r="K46" s="16" t="s">
        <v>236</v>
      </c>
      <c r="L46" s="13" t="s">
        <v>232</v>
      </c>
    </row>
    <row r="47" ht="19.5" customHeight="1">
      <c r="A47" s="25" t="s">
        <v>439</v>
      </c>
      <c r="B47" s="25" t="s">
        <v>359</v>
      </c>
      <c r="C47" s="14" t="str">
        <f>IF(B47&lt;&gt;"",IFERROR(VLOOKUP(B47,'📦 Productos'!A:C,3,FALSE),""),"")</f>
        <v>KENZO HOMME INTENSE EDT</v>
      </c>
      <c r="D47" s="25" t="s">
        <v>440</v>
      </c>
      <c r="E47" s="25" t="s">
        <v>231</v>
      </c>
      <c r="F47" s="26">
        <v>0.0</v>
      </c>
      <c r="G47" s="27">
        <v>196000.0</v>
      </c>
      <c r="H47" s="29"/>
      <c r="I47" s="20">
        <f t="shared" si="1"/>
        <v>0</v>
      </c>
      <c r="J47" s="31" t="s">
        <v>235</v>
      </c>
      <c r="K47" s="26" t="s">
        <v>236</v>
      </c>
      <c r="L47" s="25" t="s">
        <v>232</v>
      </c>
    </row>
    <row r="48" ht="19.5" customHeight="1">
      <c r="A48" s="13" t="s">
        <v>444</v>
      </c>
      <c r="B48" s="13" t="s">
        <v>359</v>
      </c>
      <c r="C48" s="14" t="str">
        <f>IF(B48&lt;&gt;"",IFERROR(VLOOKUP(B48,'📦 Productos'!A:C,3,FALSE),""),"")</f>
        <v>KENZO HOMME INTENSE EDT</v>
      </c>
      <c r="D48" s="13" t="s">
        <v>445</v>
      </c>
      <c r="E48" s="13" t="s">
        <v>380</v>
      </c>
      <c r="F48" s="16">
        <v>0.0</v>
      </c>
      <c r="G48" s="17">
        <v>140000.0</v>
      </c>
      <c r="H48" s="18"/>
      <c r="I48" s="20">
        <f t="shared" si="1"/>
        <v>0</v>
      </c>
      <c r="J48" s="22" t="s">
        <v>235</v>
      </c>
      <c r="K48" s="16" t="s">
        <v>236</v>
      </c>
      <c r="L48" s="13" t="s">
        <v>232</v>
      </c>
    </row>
    <row r="49" ht="19.5" customHeight="1">
      <c r="A49" s="25" t="s">
        <v>449</v>
      </c>
      <c r="B49" s="25" t="s">
        <v>365</v>
      </c>
      <c r="C49" s="14" t="str">
        <f>IF(B49&lt;&gt;"",IFERROR(VLOOKUP(B49,'📦 Productos'!A:C,3,FALSE),""),"")</f>
        <v>KENZO HOMME INTENSE EDT X 110 + GEL DUCHA + EDT</v>
      </c>
      <c r="D49" s="25" t="s">
        <v>366</v>
      </c>
      <c r="E49" s="25" t="s">
        <v>347</v>
      </c>
      <c r="F49" s="26">
        <v>0.0</v>
      </c>
      <c r="G49" s="27">
        <v>258000.0</v>
      </c>
      <c r="H49" s="29"/>
      <c r="I49" s="20">
        <f t="shared" si="1"/>
        <v>0</v>
      </c>
      <c r="J49" s="31" t="s">
        <v>235</v>
      </c>
      <c r="K49" s="26" t="s">
        <v>236</v>
      </c>
      <c r="L49" s="25" t="s">
        <v>232</v>
      </c>
    </row>
    <row r="50" ht="19.5" customHeight="1">
      <c r="A50" s="13" t="s">
        <v>453</v>
      </c>
      <c r="B50" s="13" t="s">
        <v>365</v>
      </c>
      <c r="C50" s="14" t="str">
        <f>IF(B50&lt;&gt;"",IFERROR(VLOOKUP(B50,'📦 Productos'!A:C,3,FALSE),""),"")</f>
        <v>KENZO HOMME INTENSE EDT X 110 + GEL DUCHA + EDT</v>
      </c>
      <c r="D50" s="13" t="s">
        <v>455</v>
      </c>
      <c r="E50" s="13" t="s">
        <v>347</v>
      </c>
      <c r="F50" s="16">
        <v>0.0</v>
      </c>
      <c r="G50" s="17">
        <v>258000.0</v>
      </c>
      <c r="H50" s="18"/>
      <c r="I50" s="20">
        <f t="shared" si="1"/>
        <v>0</v>
      </c>
      <c r="J50" s="22" t="s">
        <v>235</v>
      </c>
      <c r="K50" s="16" t="s">
        <v>236</v>
      </c>
      <c r="L50" s="13" t="s">
        <v>232</v>
      </c>
    </row>
    <row r="51" ht="19.5" customHeight="1">
      <c r="A51" s="25" t="s">
        <v>459</v>
      </c>
      <c r="B51" s="25" t="s">
        <v>369</v>
      </c>
      <c r="C51" s="14" t="str">
        <f>IF(B51&lt;&gt;"",IFERROR(VLOOKUP(B51,'📦 Productos'!A:C,3,FALSE),""),"")</f>
        <v>KENZO HOMME SANTAL MARINE EDT</v>
      </c>
      <c r="D51" s="25" t="s">
        <v>370</v>
      </c>
      <c r="E51" s="25" t="s">
        <v>240</v>
      </c>
      <c r="F51" s="26">
        <v>0.0</v>
      </c>
      <c r="G51" s="27">
        <v>196000.0</v>
      </c>
      <c r="H51" s="29">
        <v>137200.0</v>
      </c>
      <c r="I51" s="20">
        <f t="shared" si="1"/>
        <v>30</v>
      </c>
      <c r="J51" s="31" t="s">
        <v>235</v>
      </c>
      <c r="K51" s="26" t="s">
        <v>236</v>
      </c>
      <c r="L51" s="25" t="s">
        <v>232</v>
      </c>
    </row>
    <row r="52" ht="19.5" customHeight="1">
      <c r="A52" s="13" t="s">
        <v>465</v>
      </c>
      <c r="B52" s="13" t="s">
        <v>375</v>
      </c>
      <c r="C52" s="14" t="str">
        <f>IF(B52&lt;&gt;"",IFERROR(VLOOKUP(B52,'📦 Productos'!A:C,3,FALSE),""),"")</f>
        <v>KENZO JUNGLE FEMME EDP</v>
      </c>
      <c r="D52" s="13" t="s">
        <v>376</v>
      </c>
      <c r="E52" s="13" t="s">
        <v>253</v>
      </c>
      <c r="F52" s="16">
        <v>0.0</v>
      </c>
      <c r="G52" s="17">
        <v>278000.0</v>
      </c>
      <c r="H52" s="18"/>
      <c r="I52" s="20">
        <f t="shared" si="1"/>
        <v>0</v>
      </c>
      <c r="J52" s="22" t="s">
        <v>235</v>
      </c>
      <c r="K52" s="16" t="s">
        <v>236</v>
      </c>
      <c r="L52" s="13" t="s">
        <v>232</v>
      </c>
    </row>
    <row r="53" ht="19.5" customHeight="1">
      <c r="A53" s="25" t="s">
        <v>470</v>
      </c>
      <c r="B53" s="25" t="s">
        <v>382</v>
      </c>
      <c r="C53" s="14" t="str">
        <f>IF(B53&lt;&gt;"",IFERROR(VLOOKUP(B53,'📦 Productos'!A:C,3,FALSE),""),"")</f>
        <v>KENZO L EAU POUR HOMME EDT</v>
      </c>
      <c r="D53" s="25" t="s">
        <v>383</v>
      </c>
      <c r="E53" s="25" t="s">
        <v>253</v>
      </c>
      <c r="F53" s="26">
        <v>0.0</v>
      </c>
      <c r="G53" s="27">
        <v>218000.0</v>
      </c>
      <c r="H53" s="29"/>
      <c r="I53" s="20">
        <f t="shared" si="1"/>
        <v>0</v>
      </c>
      <c r="J53" s="31" t="s">
        <v>235</v>
      </c>
      <c r="K53" s="26" t="s">
        <v>236</v>
      </c>
      <c r="L53" s="25" t="s">
        <v>232</v>
      </c>
    </row>
    <row r="54" ht="19.5" customHeight="1">
      <c r="A54" s="13" t="s">
        <v>473</v>
      </c>
      <c r="B54" s="13" t="s">
        <v>388</v>
      </c>
      <c r="C54" s="14" t="str">
        <f>IF(B54&lt;&gt;"",IFERROR(VLOOKUP(B54,'📦 Productos'!A:C,3,FALSE),""),"")</f>
        <v>KENZO LE ROUGE FLOWER</v>
      </c>
      <c r="D54" s="13" t="s">
        <v>389</v>
      </c>
      <c r="E54" s="13" t="s">
        <v>476</v>
      </c>
      <c r="F54" s="16">
        <v>0.0</v>
      </c>
      <c r="G54" s="17">
        <v>299000.0</v>
      </c>
      <c r="H54" s="18"/>
      <c r="I54" s="20">
        <f t="shared" si="1"/>
        <v>0</v>
      </c>
      <c r="J54" s="22" t="s">
        <v>235</v>
      </c>
      <c r="K54" s="16" t="s">
        <v>236</v>
      </c>
      <c r="L54" s="13" t="s">
        <v>232</v>
      </c>
    </row>
    <row r="55" ht="19.5" customHeight="1">
      <c r="A55" s="25" t="s">
        <v>477</v>
      </c>
      <c r="B55" s="25" t="s">
        <v>388</v>
      </c>
      <c r="C55" s="14" t="str">
        <f>IF(B55&lt;&gt;"",IFERROR(VLOOKUP(B55,'📦 Productos'!A:C,3,FALSE),""),"")</f>
        <v>KENZO LE ROUGE FLOWER</v>
      </c>
      <c r="D55" s="25" t="s">
        <v>481</v>
      </c>
      <c r="E55" s="25" t="s">
        <v>246</v>
      </c>
      <c r="F55" s="26">
        <v>0.0</v>
      </c>
      <c r="G55" s="27">
        <v>162000.0</v>
      </c>
      <c r="H55" s="29"/>
      <c r="I55" s="20">
        <f t="shared" si="1"/>
        <v>0</v>
      </c>
      <c r="J55" s="31" t="s">
        <v>235</v>
      </c>
      <c r="K55" s="26" t="s">
        <v>236</v>
      </c>
      <c r="L55" s="25" t="s">
        <v>232</v>
      </c>
    </row>
    <row r="56" ht="19.5" customHeight="1">
      <c r="A56" s="13" t="s">
        <v>486</v>
      </c>
      <c r="B56" s="13" t="s">
        <v>388</v>
      </c>
      <c r="C56" s="14" t="str">
        <f>IF(B56&lt;&gt;"",IFERROR(VLOOKUP(B56,'📦 Productos'!A:C,3,FALSE),""),"")</f>
        <v>KENZO LE ROUGE FLOWER</v>
      </c>
      <c r="D56" s="13" t="s">
        <v>491</v>
      </c>
      <c r="E56" s="13" t="s">
        <v>260</v>
      </c>
      <c r="F56" s="16">
        <v>0.0</v>
      </c>
      <c r="G56" s="17">
        <v>230000.0</v>
      </c>
      <c r="H56" s="18"/>
      <c r="I56" s="20">
        <f t="shared" si="1"/>
        <v>0</v>
      </c>
      <c r="J56" s="22" t="s">
        <v>235</v>
      </c>
      <c r="K56" s="16" t="s">
        <v>236</v>
      </c>
      <c r="L56" s="13" t="s">
        <v>232</v>
      </c>
    </row>
    <row r="57" ht="19.5" customHeight="1">
      <c r="A57" s="25" t="s">
        <v>492</v>
      </c>
      <c r="B57" s="25" t="s">
        <v>394</v>
      </c>
      <c r="C57" s="14" t="str">
        <f>IF(B57&lt;&gt;"",IFERROR(VLOOKUP(B57,'📦 Productos'!A:C,3,FALSE),""),"")</f>
        <v>KENZO HOMME INTENSE EDT X 110 + GEL DUCHA + EDT INT</v>
      </c>
      <c r="D57" s="25" t="s">
        <v>395</v>
      </c>
      <c r="E57" s="25" t="s">
        <v>347</v>
      </c>
      <c r="F57" s="26">
        <v>0.0</v>
      </c>
      <c r="G57" s="27">
        <v>258000.0</v>
      </c>
      <c r="H57" s="29"/>
      <c r="I57" s="20">
        <f t="shared" si="1"/>
        <v>0</v>
      </c>
      <c r="J57" s="31" t="s">
        <v>235</v>
      </c>
      <c r="K57" s="26" t="s">
        <v>236</v>
      </c>
      <c r="L57" s="25" t="s">
        <v>232</v>
      </c>
    </row>
    <row r="58" ht="19.5" customHeight="1">
      <c r="A58" s="13" t="s">
        <v>496</v>
      </c>
      <c r="B58" s="13" t="s">
        <v>398</v>
      </c>
      <c r="C58" s="14" t="str">
        <f>IF(B58&lt;&gt;"",IFERROR(VLOOKUP(B58,'📦 Productos'!A:C,3,FALSE),""),"")</f>
        <v>KENZO HOMME EDT</v>
      </c>
      <c r="D58" s="13" t="s">
        <v>399</v>
      </c>
      <c r="E58" s="13" t="s">
        <v>231</v>
      </c>
      <c r="F58" s="16">
        <v>0.0</v>
      </c>
      <c r="G58" s="17">
        <v>186000.0</v>
      </c>
      <c r="H58" s="18"/>
      <c r="I58" s="20">
        <f t="shared" si="1"/>
        <v>0</v>
      </c>
      <c r="J58" s="22" t="s">
        <v>235</v>
      </c>
      <c r="K58" s="16" t="s">
        <v>236</v>
      </c>
      <c r="L58" s="13" t="s">
        <v>232</v>
      </c>
    </row>
    <row r="59" ht="19.5" customHeight="1">
      <c r="A59" s="25" t="s">
        <v>500</v>
      </c>
      <c r="B59" s="25" t="s">
        <v>398</v>
      </c>
      <c r="C59" s="14" t="str">
        <f>IF(B59&lt;&gt;"",IFERROR(VLOOKUP(B59,'📦 Productos'!A:C,3,FALSE),""),"")</f>
        <v>KENZO HOMME EDT</v>
      </c>
      <c r="D59" s="25" t="s">
        <v>501</v>
      </c>
      <c r="E59" s="25" t="s">
        <v>240</v>
      </c>
      <c r="F59" s="26">
        <v>0.0</v>
      </c>
      <c r="G59" s="27">
        <v>245000.0</v>
      </c>
      <c r="H59" s="29">
        <v>154350.0</v>
      </c>
      <c r="I59" s="20">
        <f t="shared" si="1"/>
        <v>37</v>
      </c>
      <c r="J59" s="31" t="s">
        <v>235</v>
      </c>
      <c r="K59" s="26" t="s">
        <v>236</v>
      </c>
      <c r="L59" s="25" t="s">
        <v>232</v>
      </c>
    </row>
    <row r="60" ht="19.5" customHeight="1">
      <c r="A60" s="13" t="s">
        <v>502</v>
      </c>
      <c r="B60" s="13" t="s">
        <v>398</v>
      </c>
      <c r="C60" s="14" t="str">
        <f>IF(B60&lt;&gt;"",IFERROR(VLOOKUP(B60,'📦 Productos'!A:C,3,FALSE),""),"")</f>
        <v>KENZO HOMME EDT</v>
      </c>
      <c r="D60" s="13" t="s">
        <v>506</v>
      </c>
      <c r="E60" s="13" t="s">
        <v>380</v>
      </c>
      <c r="F60" s="16">
        <v>0.0</v>
      </c>
      <c r="G60" s="17">
        <v>135000.0</v>
      </c>
      <c r="H60" s="18"/>
      <c r="I60" s="20">
        <f t="shared" si="1"/>
        <v>0</v>
      </c>
      <c r="J60" s="22" t="s">
        <v>235</v>
      </c>
      <c r="K60" s="16" t="s">
        <v>236</v>
      </c>
      <c r="L60" s="13" t="s">
        <v>232</v>
      </c>
    </row>
    <row r="61" ht="19.5" customHeight="1">
      <c r="A61" s="25" t="s">
        <v>507</v>
      </c>
      <c r="B61" s="25" t="s">
        <v>404</v>
      </c>
      <c r="C61" s="14" t="str">
        <f>IF(B61&lt;&gt;"",IFERROR(VLOOKUP(B61,'📦 Productos'!A:C,3,FALSE),""),"")</f>
        <v>KENZO HOMME EDT X 110 + GEL DUCHA + EDT</v>
      </c>
      <c r="D61" s="25" t="s">
        <v>405</v>
      </c>
      <c r="E61" s="25" t="s">
        <v>347</v>
      </c>
      <c r="F61" s="26">
        <v>0.0</v>
      </c>
      <c r="G61" s="27">
        <v>245000.0</v>
      </c>
      <c r="H61" s="29"/>
      <c r="I61" s="20">
        <f t="shared" si="1"/>
        <v>0</v>
      </c>
      <c r="J61" s="31" t="s">
        <v>235</v>
      </c>
      <c r="K61" s="26" t="s">
        <v>236</v>
      </c>
      <c r="L61" s="25" t="s">
        <v>232</v>
      </c>
    </row>
    <row r="62" ht="19.5" customHeight="1">
      <c r="A62" s="13" t="s">
        <v>511</v>
      </c>
      <c r="B62" s="13" t="s">
        <v>404</v>
      </c>
      <c r="C62" s="14" t="str">
        <f>IF(B62&lt;&gt;"",IFERROR(VLOOKUP(B62,'📦 Productos'!A:C,3,FALSE),""),"")</f>
        <v>KENZO HOMME EDT X 110 + GEL DUCHA + EDT</v>
      </c>
      <c r="D62" s="13" t="s">
        <v>513</v>
      </c>
      <c r="E62" s="13" t="s">
        <v>347</v>
      </c>
      <c r="F62" s="16">
        <v>0.0</v>
      </c>
      <c r="G62" s="17">
        <v>245000.0</v>
      </c>
      <c r="H62" s="18"/>
      <c r="I62" s="20">
        <f t="shared" si="1"/>
        <v>0</v>
      </c>
      <c r="J62" s="22" t="s">
        <v>235</v>
      </c>
      <c r="K62" s="16" t="s">
        <v>236</v>
      </c>
      <c r="L62" s="13" t="s">
        <v>232</v>
      </c>
    </row>
    <row r="63" ht="19.5" customHeight="1">
      <c r="A63" s="25" t="s">
        <v>516</v>
      </c>
      <c r="B63" s="25" t="s">
        <v>408</v>
      </c>
      <c r="C63" s="14" t="str">
        <f>IF(B63&lt;&gt;"",IFERROR(VLOOKUP(B63,'📦 Productos'!A:C,3,FALSE),""),"")</f>
        <v>KENZO HOMME MARINE EDT</v>
      </c>
      <c r="D63" s="25" t="s">
        <v>409</v>
      </c>
      <c r="E63" s="25" t="s">
        <v>240</v>
      </c>
      <c r="F63" s="26">
        <v>0.0</v>
      </c>
      <c r="G63" s="27">
        <v>185900.0</v>
      </c>
      <c r="H63" s="29">
        <v>130130.0</v>
      </c>
      <c r="I63" s="20">
        <f t="shared" si="1"/>
        <v>30</v>
      </c>
      <c r="J63" s="31" t="s">
        <v>235</v>
      </c>
      <c r="K63" s="26" t="s">
        <v>236</v>
      </c>
      <c r="L63" s="25" t="s">
        <v>232</v>
      </c>
    </row>
    <row r="64" ht="19.5" customHeight="1">
      <c r="A64" s="13" t="s">
        <v>520</v>
      </c>
      <c r="B64" s="13" t="s">
        <v>408</v>
      </c>
      <c r="C64" s="14" t="str">
        <f>IF(B64&lt;&gt;"",IFERROR(VLOOKUP(B64,'📦 Productos'!A:C,3,FALSE),""),"")</f>
        <v>KENZO HOMME MARINE EDT</v>
      </c>
      <c r="D64" s="13" t="s">
        <v>521</v>
      </c>
      <c r="E64" s="13" t="s">
        <v>231</v>
      </c>
      <c r="F64" s="16">
        <v>0.0</v>
      </c>
      <c r="G64" s="17">
        <v>143600.0</v>
      </c>
      <c r="H64" s="18">
        <v>100520.0</v>
      </c>
      <c r="I64" s="20">
        <f t="shared" si="1"/>
        <v>30</v>
      </c>
      <c r="J64" s="22" t="s">
        <v>235</v>
      </c>
      <c r="K64" s="16" t="s">
        <v>236</v>
      </c>
      <c r="L64" s="13" t="s">
        <v>232</v>
      </c>
    </row>
    <row r="65" ht="19.5" customHeight="1">
      <c r="A65" s="25" t="s">
        <v>525</v>
      </c>
      <c r="B65" s="25" t="s">
        <v>414</v>
      </c>
      <c r="C65" s="14" t="str">
        <f>IF(B65&lt;&gt;"",IFERROR(VLOOKUP(B65,'📦 Productos'!A:C,3,FALSE),""),"")</f>
        <v>KENZO WORLD EDP</v>
      </c>
      <c r="D65" s="25" t="s">
        <v>415</v>
      </c>
      <c r="E65" s="25" t="s">
        <v>260</v>
      </c>
      <c r="F65" s="26">
        <v>0.0</v>
      </c>
      <c r="G65" s="27">
        <v>200000.0</v>
      </c>
      <c r="H65" s="29"/>
      <c r="I65" s="20">
        <f t="shared" si="1"/>
        <v>0</v>
      </c>
      <c r="J65" s="31" t="s">
        <v>235</v>
      </c>
      <c r="K65" s="26" t="s">
        <v>236</v>
      </c>
      <c r="L65" s="25" t="s">
        <v>232</v>
      </c>
    </row>
    <row r="66" ht="19.5" customHeight="1">
      <c r="A66" s="13" t="s">
        <v>529</v>
      </c>
      <c r="B66" s="13" t="s">
        <v>414</v>
      </c>
      <c r="C66" s="14" t="str">
        <f>IF(B66&lt;&gt;"",IFERROR(VLOOKUP(B66,'📦 Productos'!A:C,3,FALSE),""),"")</f>
        <v>KENZO WORLD EDP</v>
      </c>
      <c r="D66" s="13" t="s">
        <v>530</v>
      </c>
      <c r="E66" s="13" t="s">
        <v>386</v>
      </c>
      <c r="F66" s="16">
        <v>0.0</v>
      </c>
      <c r="G66" s="17">
        <v>272000.0</v>
      </c>
      <c r="H66" s="18"/>
      <c r="I66" s="20">
        <f t="shared" si="1"/>
        <v>0</v>
      </c>
      <c r="J66" s="22" t="s">
        <v>235</v>
      </c>
      <c r="K66" s="16" t="s">
        <v>236</v>
      </c>
      <c r="L66" s="13" t="s">
        <v>232</v>
      </c>
    </row>
    <row r="67" ht="19.5" customHeight="1">
      <c r="A67" s="25" t="s">
        <v>534</v>
      </c>
      <c r="B67" s="25" t="s">
        <v>419</v>
      </c>
      <c r="C67" s="14" t="str">
        <f>IF(B67&lt;&gt;"",IFERROR(VLOOKUP(B67,'📦 Productos'!A:C,3,FALSE),""),"")</f>
        <v>KENZO L EAU FEMME EDT X 100 ml ( RECARGABLE )</v>
      </c>
      <c r="D67" s="25" t="s">
        <v>420</v>
      </c>
      <c r="E67" s="25" t="s">
        <v>232</v>
      </c>
      <c r="F67" s="26">
        <v>0.0</v>
      </c>
      <c r="G67" s="27">
        <v>218000.0</v>
      </c>
      <c r="H67" s="29"/>
      <c r="I67" s="20">
        <f t="shared" si="1"/>
        <v>0</v>
      </c>
      <c r="J67" s="31" t="s">
        <v>235</v>
      </c>
      <c r="K67" s="26" t="s">
        <v>236</v>
      </c>
      <c r="L67" s="25" t="s">
        <v>232</v>
      </c>
    </row>
    <row r="68" ht="19.5" customHeight="1">
      <c r="A68" s="13" t="s">
        <v>538</v>
      </c>
      <c r="B68" s="13" t="s">
        <v>424</v>
      </c>
      <c r="C68" s="14" t="str">
        <f>IF(B68&lt;&gt;"",IFERROR(VLOOKUP(B68,'📦 Productos'!A:C,3,FALSE),""),"")</f>
        <v>KENZO L EAU FEMME EDT</v>
      </c>
      <c r="D68" s="13" t="s">
        <v>425</v>
      </c>
      <c r="E68" s="13" t="s">
        <v>246</v>
      </c>
      <c r="F68" s="16">
        <v>0.0</v>
      </c>
      <c r="G68" s="17">
        <v>105000.0</v>
      </c>
      <c r="H68" s="18"/>
      <c r="I68" s="20">
        <f t="shared" si="1"/>
        <v>0</v>
      </c>
      <c r="J68" s="22" t="s">
        <v>235</v>
      </c>
      <c r="K68" s="16" t="s">
        <v>236</v>
      </c>
      <c r="L68" s="13" t="s">
        <v>232</v>
      </c>
    </row>
    <row r="69" ht="19.5" customHeight="1">
      <c r="A69" s="25" t="s">
        <v>542</v>
      </c>
      <c r="B69" s="25" t="s">
        <v>424</v>
      </c>
      <c r="C69" s="14" t="str">
        <f>IF(B69&lt;&gt;"",IFERROR(VLOOKUP(B69,'📦 Productos'!A:C,3,FALSE),""),"")</f>
        <v>KENZO L EAU FEMME EDT</v>
      </c>
      <c r="D69" s="25" t="s">
        <v>543</v>
      </c>
      <c r="E69" s="25" t="s">
        <v>260</v>
      </c>
      <c r="F69" s="26">
        <v>0.0</v>
      </c>
      <c r="G69" s="27">
        <v>150000.0</v>
      </c>
      <c r="H69" s="29"/>
      <c r="I69" s="20">
        <f t="shared" si="1"/>
        <v>0</v>
      </c>
      <c r="J69" s="31" t="s">
        <v>235</v>
      </c>
      <c r="K69" s="26" t="s">
        <v>236</v>
      </c>
      <c r="L69" s="25" t="s">
        <v>232</v>
      </c>
    </row>
    <row r="70" ht="19.5" customHeight="1">
      <c r="A70" s="13" t="s">
        <v>545</v>
      </c>
      <c r="B70" s="13" t="s">
        <v>424</v>
      </c>
      <c r="C70" s="14" t="str">
        <f>IF(B70&lt;&gt;"",IFERROR(VLOOKUP(B70,'📦 Productos'!A:C,3,FALSE),""),"")</f>
        <v>KENZO L EAU FEMME EDT</v>
      </c>
      <c r="D70" s="13" t="s">
        <v>548</v>
      </c>
      <c r="E70" s="13" t="s">
        <v>260</v>
      </c>
      <c r="F70" s="16">
        <v>0.0</v>
      </c>
      <c r="G70" s="17">
        <v>150000.0</v>
      </c>
      <c r="H70" s="18"/>
      <c r="I70" s="20">
        <f t="shared" si="1"/>
        <v>0</v>
      </c>
      <c r="J70" s="22" t="s">
        <v>235</v>
      </c>
      <c r="K70" s="16" t="s">
        <v>236</v>
      </c>
      <c r="L70" s="13" t="s">
        <v>232</v>
      </c>
    </row>
    <row r="71" ht="19.5" customHeight="1">
      <c r="A71" s="25" t="s">
        <v>550</v>
      </c>
      <c r="B71" s="25" t="s">
        <v>424</v>
      </c>
      <c r="C71" s="14" t="str">
        <f>IF(B71&lt;&gt;"",IFERROR(VLOOKUP(B71,'📦 Productos'!A:C,3,FALSE),""),"")</f>
        <v>KENZO L EAU FEMME EDT</v>
      </c>
      <c r="D71" s="25" t="s">
        <v>553</v>
      </c>
      <c r="E71" s="25" t="s">
        <v>246</v>
      </c>
      <c r="F71" s="26">
        <v>0.0</v>
      </c>
      <c r="G71" s="27">
        <v>105000.0</v>
      </c>
      <c r="H71" s="29"/>
      <c r="I71" s="20">
        <f t="shared" si="1"/>
        <v>0</v>
      </c>
      <c r="J71" s="31" t="s">
        <v>235</v>
      </c>
      <c r="K71" s="26" t="s">
        <v>236</v>
      </c>
      <c r="L71" s="25" t="s">
        <v>232</v>
      </c>
    </row>
    <row r="72" ht="19.5" customHeight="1">
      <c r="A72" s="13" t="s">
        <v>554</v>
      </c>
      <c r="B72" s="13" t="s">
        <v>424</v>
      </c>
      <c r="C72" s="14" t="str">
        <f>IF(B72&lt;&gt;"",IFERROR(VLOOKUP(B72,'📦 Productos'!A:C,3,FALSE),""),"")</f>
        <v>KENZO L EAU FEMME EDT</v>
      </c>
      <c r="D72" s="13" t="s">
        <v>556</v>
      </c>
      <c r="E72" s="13" t="s">
        <v>260</v>
      </c>
      <c r="F72" s="16">
        <v>0.0</v>
      </c>
      <c r="G72" s="17">
        <v>150000.0</v>
      </c>
      <c r="H72" s="18"/>
      <c r="I72" s="20">
        <f t="shared" si="1"/>
        <v>0</v>
      </c>
      <c r="J72" s="22" t="s">
        <v>235</v>
      </c>
      <c r="K72" s="16" t="s">
        <v>236</v>
      </c>
      <c r="L72" s="13" t="s">
        <v>232</v>
      </c>
    </row>
    <row r="73" ht="19.5" customHeight="1">
      <c r="A73" s="25" t="s">
        <v>560</v>
      </c>
      <c r="B73" s="25" t="s">
        <v>429</v>
      </c>
      <c r="C73" s="14" t="str">
        <f>IF(B73&lt;&gt;"",IFERROR(VLOOKUP(B73,'📦 Productos'!A:C,3,FALSE),""),"")</f>
        <v>KENZO L EAU FEMME FLORALE EDT</v>
      </c>
      <c r="D73" s="25" t="s">
        <v>430</v>
      </c>
      <c r="E73" s="25" t="s">
        <v>260</v>
      </c>
      <c r="F73" s="26">
        <v>0.0</v>
      </c>
      <c r="G73" s="27">
        <v>130200.0</v>
      </c>
      <c r="H73" s="29">
        <v>91140.0</v>
      </c>
      <c r="I73" s="20">
        <f t="shared" si="1"/>
        <v>30</v>
      </c>
      <c r="J73" s="31" t="s">
        <v>235</v>
      </c>
      <c r="K73" s="26" t="s">
        <v>236</v>
      </c>
      <c r="L73" s="25" t="s">
        <v>232</v>
      </c>
    </row>
    <row r="74" ht="19.5" customHeight="1">
      <c r="A74" s="13" t="s">
        <v>564</v>
      </c>
      <c r="B74" s="13" t="s">
        <v>435</v>
      </c>
      <c r="C74" s="14" t="str">
        <f>IF(B74&lt;&gt;"",IFERROR(VLOOKUP(B74,'📦 Productos'!A:C,3,FALSE),""),"")</f>
        <v>KENZO L EAU FEMME SUNLIGHT EDT</v>
      </c>
      <c r="D74" s="13" t="s">
        <v>436</v>
      </c>
      <c r="E74" s="13" t="s">
        <v>260</v>
      </c>
      <c r="F74" s="16">
        <v>0.0</v>
      </c>
      <c r="G74" s="17">
        <v>130200.0</v>
      </c>
      <c r="H74" s="18">
        <v>91140.0</v>
      </c>
      <c r="I74" s="20">
        <f t="shared" si="1"/>
        <v>30</v>
      </c>
      <c r="J74" s="22" t="s">
        <v>235</v>
      </c>
      <c r="K74" s="16" t="s">
        <v>236</v>
      </c>
      <c r="L74" s="13" t="s">
        <v>232</v>
      </c>
    </row>
    <row r="75" ht="19.5" customHeight="1">
      <c r="A75" s="25" t="s">
        <v>569</v>
      </c>
      <c r="B75" s="25" t="s">
        <v>441</v>
      </c>
      <c r="C75" s="14" t="str">
        <f>IF(B75&lt;&gt;"",IFERROR(VLOOKUP(B75,'📦 Productos'!A:C,3,FALSE),""),"")</f>
        <v>KENZO L EAU HOMME EDT</v>
      </c>
      <c r="D75" s="25" t="s">
        <v>442</v>
      </c>
      <c r="E75" s="25" t="s">
        <v>571</v>
      </c>
      <c r="F75" s="26">
        <v>0.0</v>
      </c>
      <c r="G75" s="27">
        <v>150000.0</v>
      </c>
      <c r="H75" s="29"/>
      <c r="I75" s="20">
        <f t="shared" si="1"/>
        <v>0</v>
      </c>
      <c r="J75" s="31" t="s">
        <v>235</v>
      </c>
      <c r="K75" s="26" t="s">
        <v>236</v>
      </c>
      <c r="L75" s="25" t="s">
        <v>232</v>
      </c>
    </row>
    <row r="76" ht="19.5" customHeight="1">
      <c r="A76" s="13" t="s">
        <v>572</v>
      </c>
      <c r="B76" s="13" t="s">
        <v>441</v>
      </c>
      <c r="C76" s="14" t="str">
        <f>IF(B76&lt;&gt;"",IFERROR(VLOOKUP(B76,'📦 Productos'!A:C,3,FALSE),""),"")</f>
        <v>KENZO L EAU HOMME EDT</v>
      </c>
      <c r="D76" s="13" t="s">
        <v>576</v>
      </c>
      <c r="E76" s="13" t="s">
        <v>246</v>
      </c>
      <c r="F76" s="16">
        <v>0.0</v>
      </c>
      <c r="G76" s="17">
        <v>105000.0</v>
      </c>
      <c r="H76" s="18"/>
      <c r="I76" s="20">
        <f t="shared" si="1"/>
        <v>0</v>
      </c>
      <c r="J76" s="22" t="s">
        <v>235</v>
      </c>
      <c r="K76" s="16" t="s">
        <v>236</v>
      </c>
      <c r="L76" s="13" t="s">
        <v>232</v>
      </c>
    </row>
    <row r="77" ht="19.5" customHeight="1">
      <c r="A77" s="25" t="s">
        <v>578</v>
      </c>
      <c r="B77" s="25" t="s">
        <v>446</v>
      </c>
      <c r="C77" s="14" t="str">
        <f>IF(B77&lt;&gt;"",IFERROR(VLOOKUP(B77,'📦 Productos'!A:C,3,FALSE),""),"")</f>
        <v>KENZO L EAU HOMME BOISSE EDT</v>
      </c>
      <c r="D77" s="25" t="s">
        <v>447</v>
      </c>
      <c r="E77" s="25" t="s">
        <v>260</v>
      </c>
      <c r="F77" s="26">
        <v>0.0</v>
      </c>
      <c r="G77" s="27">
        <v>130200.0</v>
      </c>
      <c r="H77" s="29">
        <v>98952.0</v>
      </c>
      <c r="I77" s="20">
        <f t="shared" si="1"/>
        <v>24</v>
      </c>
      <c r="J77" s="31" t="s">
        <v>235</v>
      </c>
      <c r="K77" s="26" t="s">
        <v>236</v>
      </c>
      <c r="L77" s="25" t="s">
        <v>232</v>
      </c>
    </row>
    <row r="78" ht="19.5" customHeight="1">
      <c r="A78" s="13" t="s">
        <v>583</v>
      </c>
      <c r="B78" s="13" t="s">
        <v>451</v>
      </c>
      <c r="C78" s="14" t="str">
        <f>IF(B78&lt;&gt;"",IFERROR(VLOOKUP(B78,'📦 Productos'!A:C,3,FALSE),""),"")</f>
        <v>KENZO L EAU HOMME SUNLIGHT EDT</v>
      </c>
      <c r="D78" s="13" t="s">
        <v>452</v>
      </c>
      <c r="E78" s="13" t="s">
        <v>260</v>
      </c>
      <c r="F78" s="16">
        <v>0.0</v>
      </c>
      <c r="G78" s="17">
        <v>130200.0</v>
      </c>
      <c r="H78" s="18">
        <v>98952.0</v>
      </c>
      <c r="I78" s="20">
        <f t="shared" si="1"/>
        <v>24</v>
      </c>
      <c r="J78" s="22" t="s">
        <v>235</v>
      </c>
      <c r="K78" s="16" t="s">
        <v>236</v>
      </c>
      <c r="L78" s="13" t="s">
        <v>232</v>
      </c>
    </row>
    <row r="79" ht="19.5" customHeight="1">
      <c r="A79" s="25" t="s">
        <v>586</v>
      </c>
      <c r="B79" s="25" t="s">
        <v>457</v>
      </c>
      <c r="C79" s="14" t="str">
        <f>IF(B79&lt;&gt;"",IFERROR(VLOOKUP(B79,'📦 Productos'!A:C,3,FALSE),""),"")</f>
        <v>KENZO L EAU HOMME</v>
      </c>
      <c r="D79" s="25" t="s">
        <v>458</v>
      </c>
      <c r="E79" s="25" t="s">
        <v>260</v>
      </c>
      <c r="F79" s="26">
        <v>0.0</v>
      </c>
      <c r="G79" s="27">
        <v>150000.0</v>
      </c>
      <c r="H79" s="29"/>
      <c r="I79" s="20">
        <f t="shared" si="1"/>
        <v>0</v>
      </c>
      <c r="J79" s="31" t="s">
        <v>235</v>
      </c>
      <c r="K79" s="26" t="s">
        <v>236</v>
      </c>
      <c r="L79" s="25" t="s">
        <v>232</v>
      </c>
    </row>
    <row r="80" ht="19.5" customHeight="1">
      <c r="A80" s="13" t="s">
        <v>590</v>
      </c>
      <c r="B80" s="13" t="s">
        <v>462</v>
      </c>
      <c r="C80" s="14" t="str">
        <f>IF(B80&lt;&gt;"",IFERROR(VLOOKUP(B80,'📦 Productos'!A:C,3,FALSE),""),"")</f>
        <v>KENZO L EAU PURE AMBRE EDP</v>
      </c>
      <c r="D80" s="13" t="s">
        <v>463</v>
      </c>
      <c r="E80" s="13" t="s">
        <v>253</v>
      </c>
      <c r="F80" s="16">
        <v>0.0</v>
      </c>
      <c r="G80" s="17">
        <v>220000.0</v>
      </c>
      <c r="H80" s="18"/>
      <c r="I80" s="20">
        <f t="shared" si="1"/>
        <v>0</v>
      </c>
      <c r="J80" s="22" t="s">
        <v>235</v>
      </c>
      <c r="K80" s="16" t="s">
        <v>236</v>
      </c>
      <c r="L80" s="13" t="s">
        <v>232</v>
      </c>
    </row>
    <row r="81" ht="19.5" customHeight="1">
      <c r="A81" s="25" t="s">
        <v>595</v>
      </c>
      <c r="B81" s="25" t="s">
        <v>462</v>
      </c>
      <c r="C81" s="14" t="str">
        <f>IF(B81&lt;&gt;"",IFERROR(VLOOKUP(B81,'📦 Productos'!A:C,3,FALSE),""),"")</f>
        <v>KENZO L EAU PURE AMBRE EDP</v>
      </c>
      <c r="D81" s="25" t="s">
        <v>596</v>
      </c>
      <c r="E81" s="25" t="s">
        <v>246</v>
      </c>
      <c r="F81" s="26">
        <v>0.0</v>
      </c>
      <c r="G81" s="27">
        <v>108000.0</v>
      </c>
      <c r="H81" s="29"/>
      <c r="I81" s="20">
        <f t="shared" si="1"/>
        <v>0</v>
      </c>
      <c r="J81" s="31" t="s">
        <v>235</v>
      </c>
      <c r="K81" s="26" t="s">
        <v>236</v>
      </c>
      <c r="L81" s="25" t="s">
        <v>232</v>
      </c>
    </row>
    <row r="82" ht="19.5" customHeight="1">
      <c r="A82" s="13" t="s">
        <v>598</v>
      </c>
      <c r="B82" s="13" t="s">
        <v>462</v>
      </c>
      <c r="C82" s="14" t="str">
        <f>IF(B82&lt;&gt;"",IFERROR(VLOOKUP(B82,'📦 Productos'!A:C,3,FALSE),""),"")</f>
        <v>KENZO L EAU PURE AMBRE EDP</v>
      </c>
      <c r="D82" s="13" t="s">
        <v>602</v>
      </c>
      <c r="E82" s="13" t="s">
        <v>260</v>
      </c>
      <c r="F82" s="16">
        <v>0.0</v>
      </c>
      <c r="G82" s="17">
        <v>160000.0</v>
      </c>
      <c r="H82" s="18"/>
      <c r="I82" s="20">
        <f t="shared" si="1"/>
        <v>0</v>
      </c>
      <c r="J82" s="22" t="s">
        <v>235</v>
      </c>
      <c r="K82" s="16" t="s">
        <v>236</v>
      </c>
      <c r="L82" s="13" t="s">
        <v>232</v>
      </c>
    </row>
    <row r="83" ht="19.5" customHeight="1">
      <c r="A83" s="25" t="s">
        <v>605</v>
      </c>
      <c r="B83" s="25" t="s">
        <v>467</v>
      </c>
      <c r="C83" s="14" t="str">
        <f>IF(B83&lt;&gt;"",IFERROR(VLOOKUP(B83,'📦 Productos'!A:C,3,FALSE),""),"")</f>
        <v>KENZO L EAU PURE EDP</v>
      </c>
      <c r="D83" s="25" t="s">
        <v>468</v>
      </c>
      <c r="E83" s="25" t="s">
        <v>253</v>
      </c>
      <c r="F83" s="26">
        <v>0.0</v>
      </c>
      <c r="G83" s="27">
        <v>222000.0</v>
      </c>
      <c r="H83" s="29"/>
      <c r="I83" s="20">
        <f t="shared" si="1"/>
        <v>0</v>
      </c>
      <c r="J83" s="31" t="s">
        <v>235</v>
      </c>
      <c r="K83" s="26" t="s">
        <v>236</v>
      </c>
      <c r="L83" s="25" t="s">
        <v>232</v>
      </c>
    </row>
    <row r="84" ht="19.5" customHeight="1">
      <c r="A84" s="13" t="s">
        <v>609</v>
      </c>
      <c r="B84" s="13" t="s">
        <v>467</v>
      </c>
      <c r="C84" s="14" t="str">
        <f>IF(B84&lt;&gt;"",IFERROR(VLOOKUP(B84,'📦 Productos'!A:C,3,FALSE),""),"")</f>
        <v>KENZO L EAU PURE EDP</v>
      </c>
      <c r="D84" s="13" t="s">
        <v>610</v>
      </c>
      <c r="E84" s="13" t="s">
        <v>246</v>
      </c>
      <c r="F84" s="16">
        <v>0.0</v>
      </c>
      <c r="G84" s="17">
        <v>108000.0</v>
      </c>
      <c r="H84" s="18"/>
      <c r="I84" s="20">
        <f t="shared" si="1"/>
        <v>0</v>
      </c>
      <c r="J84" s="22" t="s">
        <v>235</v>
      </c>
      <c r="K84" s="16" t="s">
        <v>236</v>
      </c>
      <c r="L84" s="13" t="s">
        <v>232</v>
      </c>
    </row>
    <row r="85" ht="19.5" customHeight="1">
      <c r="A85" s="25" t="s">
        <v>614</v>
      </c>
      <c r="B85" s="25" t="s">
        <v>467</v>
      </c>
      <c r="C85" s="14" t="str">
        <f>IF(B85&lt;&gt;"",IFERROR(VLOOKUP(B85,'📦 Productos'!A:C,3,FALSE),""),"")</f>
        <v>KENZO L EAU PURE EDP</v>
      </c>
      <c r="D85" s="25" t="s">
        <v>615</v>
      </c>
      <c r="E85" s="25" t="s">
        <v>260</v>
      </c>
      <c r="F85" s="26">
        <v>0.0</v>
      </c>
      <c r="G85" s="27">
        <v>160000.0</v>
      </c>
      <c r="H85" s="29"/>
      <c r="I85" s="20">
        <f t="shared" si="1"/>
        <v>0</v>
      </c>
      <c r="J85" s="31" t="s">
        <v>235</v>
      </c>
      <c r="K85" s="26" t="s">
        <v>236</v>
      </c>
      <c r="L85" s="25" t="s">
        <v>232</v>
      </c>
    </row>
    <row r="86" ht="19.5" customHeight="1">
      <c r="A86" s="13" t="s">
        <v>617</v>
      </c>
      <c r="B86" s="13" t="s">
        <v>472</v>
      </c>
      <c r="C86" s="14" t="str">
        <f>IF(B86&lt;&gt;"",IFERROR(VLOOKUP(B86,'📦 Productos'!A:C,3,FALSE),""),"")</f>
        <v>KENZO L EAU PURE EDP X 50 ml + EDT</v>
      </c>
      <c r="D86" s="13" t="s">
        <v>474</v>
      </c>
      <c r="E86" s="13" t="s">
        <v>620</v>
      </c>
      <c r="F86" s="16">
        <v>0.0</v>
      </c>
      <c r="G86" s="17">
        <v>160000.0</v>
      </c>
      <c r="H86" s="18"/>
      <c r="I86" s="20">
        <f t="shared" si="1"/>
        <v>0</v>
      </c>
      <c r="J86" s="22" t="s">
        <v>235</v>
      </c>
      <c r="K86" s="16" t="s">
        <v>236</v>
      </c>
      <c r="L86" s="13" t="s">
        <v>232</v>
      </c>
    </row>
    <row r="87" ht="19.5" customHeight="1">
      <c r="A87" s="25" t="s">
        <v>622</v>
      </c>
      <c r="B87" s="25" t="s">
        <v>478</v>
      </c>
      <c r="C87" s="14" t="str">
        <f>IF(B87&lt;&gt;"",IFERROR(VLOOKUP(B87,'📦 Productos'!A:C,3,FALSE),""),"")</f>
        <v>KENZO L EAU HOMME GLACEE EDT</v>
      </c>
      <c r="D87" s="25" t="s">
        <v>479</v>
      </c>
      <c r="E87" s="25" t="s">
        <v>260</v>
      </c>
      <c r="F87" s="26">
        <v>0.0</v>
      </c>
      <c r="G87" s="27">
        <v>136600.0</v>
      </c>
      <c r="H87" s="29">
        <v>95620.0</v>
      </c>
      <c r="I87" s="20">
        <f t="shared" si="1"/>
        <v>30</v>
      </c>
      <c r="J87" s="31" t="s">
        <v>235</v>
      </c>
      <c r="K87" s="26" t="s">
        <v>236</v>
      </c>
      <c r="L87" s="25" t="s">
        <v>232</v>
      </c>
    </row>
    <row r="88" ht="19.5" customHeight="1">
      <c r="A88" s="13" t="s">
        <v>625</v>
      </c>
      <c r="B88" s="13" t="s">
        <v>483</v>
      </c>
      <c r="C88" s="14" t="str">
        <f>IF(B88&lt;&gt;"",IFERROR(VLOOKUP(B88,'📦 Productos'!A:C,3,FALSE),""),"")</f>
        <v>KENZO L EAU FEMME GLACEE EDT</v>
      </c>
      <c r="D88" s="13" t="s">
        <v>484</v>
      </c>
      <c r="E88" s="13" t="s">
        <v>260</v>
      </c>
      <c r="F88" s="16">
        <v>0.0</v>
      </c>
      <c r="G88" s="17">
        <v>136600.0</v>
      </c>
      <c r="H88" s="18">
        <v>95620.0</v>
      </c>
      <c r="I88" s="20">
        <f t="shared" si="1"/>
        <v>30</v>
      </c>
      <c r="J88" s="22" t="s">
        <v>235</v>
      </c>
      <c r="K88" s="16" t="s">
        <v>236</v>
      </c>
      <c r="L88" s="13" t="s">
        <v>232</v>
      </c>
    </row>
    <row r="89" ht="19.5" customHeight="1">
      <c r="A89" s="25" t="s">
        <v>630</v>
      </c>
      <c r="B89" s="25" t="s">
        <v>487</v>
      </c>
      <c r="C89" s="14" t="str">
        <f>IF(B89&lt;&gt;"",IFERROR(VLOOKUP(B89,'📦 Productos'!A:C,3,FALSE),""),"")</f>
        <v>CUTEX BASE PROTECTORA DE UÑAS</v>
      </c>
      <c r="D89" s="25" t="s">
        <v>488</v>
      </c>
      <c r="E89" s="25" t="s">
        <v>232</v>
      </c>
      <c r="F89" s="26">
        <v>0.0</v>
      </c>
      <c r="G89" s="27">
        <v>5500.0</v>
      </c>
      <c r="H89" s="29">
        <v>2750.0</v>
      </c>
      <c r="I89" s="20">
        <f t="shared" si="1"/>
        <v>50</v>
      </c>
      <c r="J89" s="31" t="s">
        <v>235</v>
      </c>
      <c r="K89" s="26" t="s">
        <v>236</v>
      </c>
      <c r="L89" s="25" t="s">
        <v>232</v>
      </c>
    </row>
    <row r="90" ht="19.5" customHeight="1">
      <c r="A90" s="13" t="s">
        <v>636</v>
      </c>
      <c r="B90" s="13" t="s">
        <v>493</v>
      </c>
      <c r="C90" s="14" t="str">
        <f>IF(B90&lt;&gt;"",IFERROR(VLOOKUP(B90,'📦 Productos'!A:C,3,FALSE),""),"")</f>
        <v>CUTEX BASE TOP COAT PARA UÑAS</v>
      </c>
      <c r="D90" s="13" t="s">
        <v>494</v>
      </c>
      <c r="E90" s="13" t="s">
        <v>232</v>
      </c>
      <c r="F90" s="16">
        <v>0.0</v>
      </c>
      <c r="G90" s="17">
        <v>5500.0</v>
      </c>
      <c r="H90" s="18">
        <v>3850.0</v>
      </c>
      <c r="I90" s="20">
        <f t="shared" si="1"/>
        <v>30</v>
      </c>
      <c r="J90" s="22" t="s">
        <v>235</v>
      </c>
      <c r="K90" s="16" t="s">
        <v>236</v>
      </c>
      <c r="L90" s="13" t="s">
        <v>232</v>
      </c>
    </row>
    <row r="91" ht="19.5" customHeight="1">
      <c r="A91" s="25" t="s">
        <v>641</v>
      </c>
      <c r="B91" s="25" t="s">
        <v>497</v>
      </c>
      <c r="C91" s="14" t="str">
        <f>IF(B91&lt;&gt;"",IFERROR(VLOOKUP(B91,'📦 Productos'!A:C,3,FALSE),""),"")</f>
        <v>CUTEX CALCIO PARA UÑAS ROSA 001</v>
      </c>
      <c r="D91" s="25" t="s">
        <v>498</v>
      </c>
      <c r="E91" s="25" t="s">
        <v>232</v>
      </c>
      <c r="F91" s="26">
        <v>0.0</v>
      </c>
      <c r="G91" s="27">
        <v>5500.0</v>
      </c>
      <c r="H91" s="29">
        <v>2750.0</v>
      </c>
      <c r="I91" s="20">
        <f t="shared" si="1"/>
        <v>50</v>
      </c>
      <c r="J91" s="31" t="s">
        <v>235</v>
      </c>
      <c r="K91" s="26" t="s">
        <v>236</v>
      </c>
      <c r="L91" s="25" t="s">
        <v>232</v>
      </c>
    </row>
    <row r="92" ht="19.5" customHeight="1">
      <c r="A92" s="13" t="s">
        <v>643</v>
      </c>
      <c r="B92" s="13" t="s">
        <v>503</v>
      </c>
      <c r="C92" s="14" t="str">
        <f>IF(B92&lt;&gt;"",IFERROR(VLOOKUP(B92,'📦 Productos'!A:C,3,FALSE),""),"")</f>
        <v>CUTEX CAPA PROTECTORA BRILLO MAXIMO</v>
      </c>
      <c r="D92" s="13" t="s">
        <v>504</v>
      </c>
      <c r="E92" s="13" t="s">
        <v>232</v>
      </c>
      <c r="F92" s="16">
        <v>0.0</v>
      </c>
      <c r="G92" s="17">
        <v>5500.0</v>
      </c>
      <c r="H92" s="18">
        <v>3850.0</v>
      </c>
      <c r="I92" s="20">
        <f t="shared" si="1"/>
        <v>30</v>
      </c>
      <c r="J92" s="22" t="s">
        <v>235</v>
      </c>
      <c r="K92" s="16" t="s">
        <v>236</v>
      </c>
      <c r="L92" s="13" t="s">
        <v>232</v>
      </c>
    </row>
    <row r="93" ht="19.5" customHeight="1">
      <c r="A93" s="25" t="s">
        <v>648</v>
      </c>
      <c r="B93" s="25" t="s">
        <v>508</v>
      </c>
      <c r="C93" s="14" t="str">
        <f>IF(B93&lt;&gt;"",IFERROR(VLOOKUP(B93,'📦 Productos'!A:C,3,FALSE),""),"")</f>
        <v>CUTEX ESMALTE DUO PACK</v>
      </c>
      <c r="D93" s="25" t="s">
        <v>509</v>
      </c>
      <c r="E93" s="25" t="s">
        <v>232</v>
      </c>
      <c r="F93" s="26">
        <v>0.0</v>
      </c>
      <c r="G93" s="27">
        <v>10500.0</v>
      </c>
      <c r="H93" s="29">
        <v>7350.0</v>
      </c>
      <c r="I93" s="20">
        <f t="shared" si="1"/>
        <v>30</v>
      </c>
      <c r="J93" s="31" t="s">
        <v>235</v>
      </c>
      <c r="K93" s="26" t="s">
        <v>236</v>
      </c>
      <c r="L93" s="25" t="s">
        <v>232</v>
      </c>
    </row>
    <row r="94" ht="19.5" customHeight="1">
      <c r="A94" s="13" t="s">
        <v>652</v>
      </c>
      <c r="B94" s="13" t="s">
        <v>508</v>
      </c>
      <c r="C94" s="14" t="str">
        <f>IF(B94&lt;&gt;"",IFERROR(VLOOKUP(B94,'📦 Productos'!A:C,3,FALSE),""),"")</f>
        <v>CUTEX ESMALTE DUO PACK</v>
      </c>
      <c r="D94" s="13" t="s">
        <v>654</v>
      </c>
      <c r="E94" s="13" t="s">
        <v>232</v>
      </c>
      <c r="F94" s="16">
        <v>0.0</v>
      </c>
      <c r="G94" s="17">
        <v>10500.0</v>
      </c>
      <c r="H94" s="18">
        <v>5250.0</v>
      </c>
      <c r="I94" s="20">
        <f t="shared" si="1"/>
        <v>50</v>
      </c>
      <c r="J94" s="22" t="s">
        <v>235</v>
      </c>
      <c r="K94" s="16" t="s">
        <v>236</v>
      </c>
      <c r="L94" s="13" t="s">
        <v>232</v>
      </c>
    </row>
    <row r="95" ht="19.5" customHeight="1">
      <c r="A95" s="25" t="s">
        <v>657</v>
      </c>
      <c r="B95" s="25" t="s">
        <v>508</v>
      </c>
      <c r="C95" s="14" t="str">
        <f>IF(B95&lt;&gt;"",IFERROR(VLOOKUP(B95,'📦 Productos'!A:C,3,FALSE),""),"")</f>
        <v>CUTEX ESMALTE DUO PACK</v>
      </c>
      <c r="D95" s="25" t="s">
        <v>658</v>
      </c>
      <c r="E95" s="25" t="s">
        <v>232</v>
      </c>
      <c r="F95" s="26">
        <v>0.0</v>
      </c>
      <c r="G95" s="27">
        <v>10500.0</v>
      </c>
      <c r="H95" s="29">
        <v>5250.0</v>
      </c>
      <c r="I95" s="20">
        <f t="shared" si="1"/>
        <v>50</v>
      </c>
      <c r="J95" s="31" t="s">
        <v>235</v>
      </c>
      <c r="K95" s="26" t="s">
        <v>236</v>
      </c>
      <c r="L95" s="25" t="s">
        <v>232</v>
      </c>
    </row>
    <row r="96" ht="19.5" customHeight="1">
      <c r="A96" s="13" t="s">
        <v>662</v>
      </c>
      <c r="B96" s="13" t="s">
        <v>508</v>
      </c>
      <c r="C96" s="14" t="str">
        <f>IF(B96&lt;&gt;"",IFERROR(VLOOKUP(B96,'📦 Productos'!A:C,3,FALSE),""),"")</f>
        <v>CUTEX ESMALTE DUO PACK</v>
      </c>
      <c r="D96" s="13" t="s">
        <v>664</v>
      </c>
      <c r="E96" s="13" t="s">
        <v>232</v>
      </c>
      <c r="F96" s="16">
        <v>0.0</v>
      </c>
      <c r="G96" s="17">
        <v>10500.0</v>
      </c>
      <c r="H96" s="18">
        <v>5250.0</v>
      </c>
      <c r="I96" s="20">
        <f t="shared" si="1"/>
        <v>50</v>
      </c>
      <c r="J96" s="22" t="s">
        <v>235</v>
      </c>
      <c r="K96" s="16" t="s">
        <v>236</v>
      </c>
      <c r="L96" s="13" t="s">
        <v>232</v>
      </c>
    </row>
    <row r="97" ht="19.5" customHeight="1">
      <c r="A97" s="25" t="s">
        <v>668</v>
      </c>
      <c r="B97" s="25" t="s">
        <v>508</v>
      </c>
      <c r="C97" s="14" t="str">
        <f>IF(B97&lt;&gt;"",IFERROR(VLOOKUP(B97,'📦 Productos'!A:C,3,FALSE),""),"")</f>
        <v>CUTEX ESMALTE DUO PACK</v>
      </c>
      <c r="D97" s="25" t="s">
        <v>670</v>
      </c>
      <c r="E97" s="25" t="s">
        <v>232</v>
      </c>
      <c r="F97" s="26">
        <v>0.0</v>
      </c>
      <c r="G97" s="27">
        <v>10500.0</v>
      </c>
      <c r="H97" s="29">
        <v>7350.0</v>
      </c>
      <c r="I97" s="20">
        <f t="shared" si="1"/>
        <v>30</v>
      </c>
      <c r="J97" s="31" t="s">
        <v>235</v>
      </c>
      <c r="K97" s="26" t="s">
        <v>236</v>
      </c>
      <c r="L97" s="25" t="s">
        <v>232</v>
      </c>
    </row>
    <row r="98" ht="19.5" customHeight="1">
      <c r="A98" s="13" t="s">
        <v>672</v>
      </c>
      <c r="B98" s="13" t="s">
        <v>508</v>
      </c>
      <c r="C98" s="14" t="str">
        <f>IF(B98&lt;&gt;"",IFERROR(VLOOKUP(B98,'📦 Productos'!A:C,3,FALSE),""),"")</f>
        <v>CUTEX ESMALTE DUO PACK</v>
      </c>
      <c r="D98" s="13" t="s">
        <v>674</v>
      </c>
      <c r="E98" s="13" t="s">
        <v>232</v>
      </c>
      <c r="F98" s="16">
        <v>0.0</v>
      </c>
      <c r="G98" s="17">
        <v>10500.0</v>
      </c>
      <c r="H98" s="18">
        <v>7350.0</v>
      </c>
      <c r="I98" s="20">
        <f t="shared" si="1"/>
        <v>30</v>
      </c>
      <c r="J98" s="22" t="s">
        <v>235</v>
      </c>
      <c r="K98" s="16" t="s">
        <v>236</v>
      </c>
      <c r="L98" s="13" t="s">
        <v>232</v>
      </c>
    </row>
    <row r="99" ht="19.5" customHeight="1">
      <c r="A99" s="25" t="s">
        <v>675</v>
      </c>
      <c r="B99" s="25" t="s">
        <v>508</v>
      </c>
      <c r="C99" s="14" t="str">
        <f>IF(B99&lt;&gt;"",IFERROR(VLOOKUP(B99,'📦 Productos'!A:C,3,FALSE),""),"")</f>
        <v>CUTEX ESMALTE DUO PACK</v>
      </c>
      <c r="D99" s="25" t="s">
        <v>679</v>
      </c>
      <c r="E99" s="25" t="s">
        <v>232</v>
      </c>
      <c r="F99" s="26">
        <v>0.0</v>
      </c>
      <c r="G99" s="27">
        <v>10500.0</v>
      </c>
      <c r="H99" s="29">
        <v>7350.0</v>
      </c>
      <c r="I99" s="20">
        <f t="shared" si="1"/>
        <v>30</v>
      </c>
      <c r="J99" s="31" t="s">
        <v>235</v>
      </c>
      <c r="K99" s="26" t="s">
        <v>236</v>
      </c>
      <c r="L99" s="25" t="s">
        <v>232</v>
      </c>
    </row>
    <row r="100" ht="19.5" customHeight="1">
      <c r="A100" s="13" t="s">
        <v>680</v>
      </c>
      <c r="B100" s="13" t="s">
        <v>508</v>
      </c>
      <c r="C100" s="14" t="str">
        <f>IF(B100&lt;&gt;"",IFERROR(VLOOKUP(B100,'📦 Productos'!A:C,3,FALSE),""),"")</f>
        <v>CUTEX ESMALTE DUO PACK</v>
      </c>
      <c r="D100" s="13" t="s">
        <v>681</v>
      </c>
      <c r="E100" s="13" t="s">
        <v>232</v>
      </c>
      <c r="F100" s="16">
        <v>0.0</v>
      </c>
      <c r="G100" s="17">
        <v>10500.0</v>
      </c>
      <c r="H100" s="18">
        <v>7350.0</v>
      </c>
      <c r="I100" s="20">
        <f t="shared" si="1"/>
        <v>30</v>
      </c>
      <c r="J100" s="22" t="s">
        <v>235</v>
      </c>
      <c r="K100" s="16" t="s">
        <v>236</v>
      </c>
      <c r="L100" s="13" t="s">
        <v>232</v>
      </c>
    </row>
    <row r="101" ht="19.5" customHeight="1">
      <c r="A101" s="25" t="s">
        <v>685</v>
      </c>
      <c r="B101" s="25" t="s">
        <v>508</v>
      </c>
      <c r="C101" s="14" t="str">
        <f>IF(B101&lt;&gt;"",IFERROR(VLOOKUP(B101,'📦 Productos'!A:C,3,FALSE),""),"")</f>
        <v>CUTEX ESMALTE DUO PACK</v>
      </c>
      <c r="D101" s="25" t="s">
        <v>686</v>
      </c>
      <c r="E101" s="25" t="s">
        <v>232</v>
      </c>
      <c r="F101" s="26">
        <v>0.0</v>
      </c>
      <c r="G101" s="27">
        <v>10500.0</v>
      </c>
      <c r="H101" s="29">
        <v>7350.0</v>
      </c>
      <c r="I101" s="20">
        <f t="shared" si="1"/>
        <v>30</v>
      </c>
      <c r="J101" s="31" t="s">
        <v>235</v>
      </c>
      <c r="K101" s="26" t="s">
        <v>236</v>
      </c>
      <c r="L101" s="25" t="s">
        <v>232</v>
      </c>
    </row>
    <row r="102" ht="19.5" customHeight="1">
      <c r="A102" s="13" t="s">
        <v>687</v>
      </c>
      <c r="B102" s="13" t="s">
        <v>508</v>
      </c>
      <c r="C102" s="14" t="str">
        <f>IF(B102&lt;&gt;"",IFERROR(VLOOKUP(B102,'📦 Productos'!A:C,3,FALSE),""),"")</f>
        <v>CUTEX ESMALTE DUO PACK</v>
      </c>
      <c r="D102" s="13" t="s">
        <v>689</v>
      </c>
      <c r="E102" s="13" t="s">
        <v>232</v>
      </c>
      <c r="F102" s="16">
        <v>0.0</v>
      </c>
      <c r="G102" s="17">
        <v>10500.0</v>
      </c>
      <c r="H102" s="18">
        <v>7350.0</v>
      </c>
      <c r="I102" s="20">
        <f t="shared" si="1"/>
        <v>30</v>
      </c>
      <c r="J102" s="22" t="s">
        <v>235</v>
      </c>
      <c r="K102" s="16" t="s">
        <v>236</v>
      </c>
      <c r="L102" s="13" t="s">
        <v>232</v>
      </c>
    </row>
    <row r="103" ht="19.5" customHeight="1">
      <c r="A103" s="25" t="s">
        <v>691</v>
      </c>
      <c r="B103" s="25" t="s">
        <v>512</v>
      </c>
      <c r="C103" s="14" t="str">
        <f>IF(B103&lt;&gt;"",IFERROR(VLOOKUP(B103,'📦 Productos'!A:C,3,FALSE),""),"")</f>
        <v>CUTEX ESMALTE</v>
      </c>
      <c r="D103" s="25" t="s">
        <v>514</v>
      </c>
      <c r="E103" s="25" t="s">
        <v>232</v>
      </c>
      <c r="F103" s="26">
        <v>0.0</v>
      </c>
      <c r="G103" s="27">
        <v>5300.0</v>
      </c>
      <c r="H103" s="29">
        <v>2650.0</v>
      </c>
      <c r="I103" s="20">
        <f t="shared" si="1"/>
        <v>50</v>
      </c>
      <c r="J103" s="31" t="s">
        <v>235</v>
      </c>
      <c r="K103" s="26" t="s">
        <v>236</v>
      </c>
      <c r="L103" s="25" t="s">
        <v>232</v>
      </c>
    </row>
    <row r="104" ht="19.5" customHeight="1">
      <c r="A104" s="13" t="s">
        <v>692</v>
      </c>
      <c r="B104" s="13" t="s">
        <v>512</v>
      </c>
      <c r="C104" s="14" t="str">
        <f>IF(B104&lt;&gt;"",IFERROR(VLOOKUP(B104,'📦 Productos'!A:C,3,FALSE),""),"")</f>
        <v>CUTEX ESMALTE</v>
      </c>
      <c r="D104" s="13" t="s">
        <v>696</v>
      </c>
      <c r="E104" s="13" t="s">
        <v>232</v>
      </c>
      <c r="F104" s="16">
        <v>0.0</v>
      </c>
      <c r="G104" s="17">
        <v>5300.0</v>
      </c>
      <c r="H104" s="18">
        <v>2650.0</v>
      </c>
      <c r="I104" s="20">
        <f t="shared" si="1"/>
        <v>50</v>
      </c>
      <c r="J104" s="22" t="s">
        <v>235</v>
      </c>
      <c r="K104" s="16" t="s">
        <v>236</v>
      </c>
      <c r="L104" s="13" t="s">
        <v>232</v>
      </c>
    </row>
    <row r="105" ht="19.5" customHeight="1">
      <c r="A105" s="25" t="s">
        <v>698</v>
      </c>
      <c r="B105" s="25" t="s">
        <v>512</v>
      </c>
      <c r="C105" s="14" t="str">
        <f>IF(B105&lt;&gt;"",IFERROR(VLOOKUP(B105,'📦 Productos'!A:C,3,FALSE),""),"")</f>
        <v>CUTEX ESMALTE</v>
      </c>
      <c r="D105" s="25" t="s">
        <v>699</v>
      </c>
      <c r="E105" s="25" t="s">
        <v>232</v>
      </c>
      <c r="F105" s="26">
        <v>0.0</v>
      </c>
      <c r="G105" s="27">
        <v>5300.0</v>
      </c>
      <c r="H105" s="29">
        <v>2650.0</v>
      </c>
      <c r="I105" s="20">
        <f t="shared" si="1"/>
        <v>50</v>
      </c>
      <c r="J105" s="31" t="s">
        <v>235</v>
      </c>
      <c r="K105" s="26" t="s">
        <v>236</v>
      </c>
      <c r="L105" s="25" t="s">
        <v>232</v>
      </c>
    </row>
    <row r="106" ht="19.5" customHeight="1">
      <c r="A106" s="13" t="s">
        <v>703</v>
      </c>
      <c r="B106" s="13" t="s">
        <v>512</v>
      </c>
      <c r="C106" s="14" t="str">
        <f>IF(B106&lt;&gt;"",IFERROR(VLOOKUP(B106,'📦 Productos'!A:C,3,FALSE),""),"")</f>
        <v>CUTEX ESMALTE</v>
      </c>
      <c r="D106" s="13" t="s">
        <v>704</v>
      </c>
      <c r="E106" s="13" t="s">
        <v>232</v>
      </c>
      <c r="F106" s="16">
        <v>0.0</v>
      </c>
      <c r="G106" s="17">
        <v>5300.0</v>
      </c>
      <c r="H106" s="18">
        <v>2650.0</v>
      </c>
      <c r="I106" s="20">
        <f t="shared" si="1"/>
        <v>50</v>
      </c>
      <c r="J106" s="22" t="s">
        <v>235</v>
      </c>
      <c r="K106" s="16" t="s">
        <v>236</v>
      </c>
      <c r="L106" s="13" t="s">
        <v>232</v>
      </c>
    </row>
    <row r="107" ht="19.5" customHeight="1">
      <c r="A107" s="25" t="s">
        <v>705</v>
      </c>
      <c r="B107" s="25" t="s">
        <v>512</v>
      </c>
      <c r="C107" s="14" t="str">
        <f>IF(B107&lt;&gt;"",IFERROR(VLOOKUP(B107,'📦 Productos'!A:C,3,FALSE),""),"")</f>
        <v>CUTEX ESMALTE</v>
      </c>
      <c r="D107" s="25" t="s">
        <v>708</v>
      </c>
      <c r="E107" s="25" t="s">
        <v>232</v>
      </c>
      <c r="F107" s="26">
        <v>0.0</v>
      </c>
      <c r="G107" s="27">
        <v>5300.0</v>
      </c>
      <c r="H107" s="29">
        <v>3710.0</v>
      </c>
      <c r="I107" s="20">
        <f t="shared" si="1"/>
        <v>30</v>
      </c>
      <c r="J107" s="31" t="s">
        <v>235</v>
      </c>
      <c r="K107" s="26" t="s">
        <v>236</v>
      </c>
      <c r="L107" s="25" t="s">
        <v>232</v>
      </c>
    </row>
    <row r="108" ht="19.5" customHeight="1">
      <c r="A108" s="13" t="s">
        <v>710</v>
      </c>
      <c r="B108" s="13" t="s">
        <v>512</v>
      </c>
      <c r="C108" s="14" t="str">
        <f>IF(B108&lt;&gt;"",IFERROR(VLOOKUP(B108,'📦 Productos'!A:C,3,FALSE),""),"")</f>
        <v>CUTEX ESMALTE</v>
      </c>
      <c r="D108" s="13" t="s">
        <v>711</v>
      </c>
      <c r="E108" s="13" t="s">
        <v>232</v>
      </c>
      <c r="F108" s="16">
        <v>0.0</v>
      </c>
      <c r="G108" s="17">
        <v>5300.0</v>
      </c>
      <c r="H108" s="18">
        <v>2650.0</v>
      </c>
      <c r="I108" s="20">
        <f t="shared" si="1"/>
        <v>50</v>
      </c>
      <c r="J108" s="22" t="s">
        <v>235</v>
      </c>
      <c r="K108" s="16" t="s">
        <v>236</v>
      </c>
      <c r="L108" s="13" t="s">
        <v>232</v>
      </c>
    </row>
    <row r="109" ht="19.5" customHeight="1">
      <c r="A109" s="25" t="s">
        <v>713</v>
      </c>
      <c r="B109" s="25" t="s">
        <v>512</v>
      </c>
      <c r="C109" s="14" t="str">
        <f>IF(B109&lt;&gt;"",IFERROR(VLOOKUP(B109,'📦 Productos'!A:C,3,FALSE),""),"")</f>
        <v>CUTEX ESMALTE</v>
      </c>
      <c r="D109" s="25" t="s">
        <v>716</v>
      </c>
      <c r="E109" s="25" t="s">
        <v>232</v>
      </c>
      <c r="F109" s="26">
        <v>0.0</v>
      </c>
      <c r="G109" s="27">
        <v>5300.0</v>
      </c>
      <c r="H109" s="29">
        <v>2650.0</v>
      </c>
      <c r="I109" s="20">
        <f t="shared" si="1"/>
        <v>50</v>
      </c>
      <c r="J109" s="31" t="s">
        <v>235</v>
      </c>
      <c r="K109" s="26" t="s">
        <v>236</v>
      </c>
      <c r="L109" s="25" t="s">
        <v>232</v>
      </c>
    </row>
    <row r="110" ht="19.5" customHeight="1">
      <c r="A110" s="13" t="s">
        <v>717</v>
      </c>
      <c r="B110" s="13" t="s">
        <v>512</v>
      </c>
      <c r="C110" s="14" t="str">
        <f>IF(B110&lt;&gt;"",IFERROR(VLOOKUP(B110,'📦 Productos'!A:C,3,FALSE),""),"")</f>
        <v>CUTEX ESMALTE</v>
      </c>
      <c r="D110" s="13" t="s">
        <v>718</v>
      </c>
      <c r="E110" s="13" t="s">
        <v>232</v>
      </c>
      <c r="F110" s="16">
        <v>0.0</v>
      </c>
      <c r="G110" s="17">
        <v>5300.0</v>
      </c>
      <c r="H110" s="18">
        <v>3710.0</v>
      </c>
      <c r="I110" s="20">
        <f t="shared" si="1"/>
        <v>30</v>
      </c>
      <c r="J110" s="22" t="s">
        <v>235</v>
      </c>
      <c r="K110" s="16" t="s">
        <v>236</v>
      </c>
      <c r="L110" s="13" t="s">
        <v>232</v>
      </c>
    </row>
    <row r="111" ht="19.5" customHeight="1">
      <c r="A111" s="25" t="s">
        <v>722</v>
      </c>
      <c r="B111" s="25" t="s">
        <v>512</v>
      </c>
      <c r="C111" s="14" t="str">
        <f>IF(B111&lt;&gt;"",IFERROR(VLOOKUP(B111,'📦 Productos'!A:C,3,FALSE),""),"")</f>
        <v>CUTEX ESMALTE</v>
      </c>
      <c r="D111" s="25" t="s">
        <v>723</v>
      </c>
      <c r="E111" s="25" t="s">
        <v>232</v>
      </c>
      <c r="F111" s="26">
        <v>0.0</v>
      </c>
      <c r="G111" s="27">
        <v>5300.0</v>
      </c>
      <c r="H111" s="29">
        <v>2650.0</v>
      </c>
      <c r="I111" s="20">
        <f t="shared" si="1"/>
        <v>50</v>
      </c>
      <c r="J111" s="31" t="s">
        <v>235</v>
      </c>
      <c r="K111" s="26" t="s">
        <v>236</v>
      </c>
      <c r="L111" s="25" t="s">
        <v>232</v>
      </c>
    </row>
    <row r="112" ht="19.5" customHeight="1">
      <c r="A112" s="13" t="s">
        <v>726</v>
      </c>
      <c r="B112" s="13" t="s">
        <v>512</v>
      </c>
      <c r="C112" s="14" t="str">
        <f>IF(B112&lt;&gt;"",IFERROR(VLOOKUP(B112,'📦 Productos'!A:C,3,FALSE),""),"")</f>
        <v>CUTEX ESMALTE</v>
      </c>
      <c r="D112" s="13" t="s">
        <v>728</v>
      </c>
      <c r="E112" s="13" t="s">
        <v>232</v>
      </c>
      <c r="F112" s="16">
        <v>0.0</v>
      </c>
      <c r="G112" s="17">
        <v>5300.0</v>
      </c>
      <c r="H112" s="18">
        <v>2650.0</v>
      </c>
      <c r="I112" s="20">
        <f t="shared" si="1"/>
        <v>50</v>
      </c>
      <c r="J112" s="22" t="s">
        <v>235</v>
      </c>
      <c r="K112" s="16" t="s">
        <v>236</v>
      </c>
      <c r="L112" s="13" t="s">
        <v>232</v>
      </c>
    </row>
    <row r="113" ht="19.5" customHeight="1">
      <c r="A113" s="25" t="s">
        <v>729</v>
      </c>
      <c r="B113" s="25" t="s">
        <v>512</v>
      </c>
      <c r="C113" s="14" t="str">
        <f>IF(B113&lt;&gt;"",IFERROR(VLOOKUP(B113,'📦 Productos'!A:C,3,FALSE),""),"")</f>
        <v>CUTEX ESMALTE</v>
      </c>
      <c r="D113" s="25" t="s">
        <v>732</v>
      </c>
      <c r="E113" s="25" t="s">
        <v>232</v>
      </c>
      <c r="F113" s="26">
        <v>0.0</v>
      </c>
      <c r="G113" s="27">
        <v>5300.0</v>
      </c>
      <c r="H113" s="29">
        <v>3710.0</v>
      </c>
      <c r="I113" s="20">
        <f t="shared" si="1"/>
        <v>30</v>
      </c>
      <c r="J113" s="31" t="s">
        <v>235</v>
      </c>
      <c r="K113" s="26" t="s">
        <v>236</v>
      </c>
      <c r="L113" s="25" t="s">
        <v>232</v>
      </c>
    </row>
    <row r="114" ht="19.5" customHeight="1">
      <c r="A114" s="13" t="s">
        <v>733</v>
      </c>
      <c r="B114" s="13" t="s">
        <v>512</v>
      </c>
      <c r="C114" s="14" t="str">
        <f>IF(B114&lt;&gt;"",IFERROR(VLOOKUP(B114,'📦 Productos'!A:C,3,FALSE),""),"")</f>
        <v>CUTEX ESMALTE</v>
      </c>
      <c r="D114" s="13" t="s">
        <v>734</v>
      </c>
      <c r="E114" s="13" t="s">
        <v>232</v>
      </c>
      <c r="F114" s="16">
        <v>0.0</v>
      </c>
      <c r="G114" s="17">
        <v>5300.0</v>
      </c>
      <c r="H114" s="18">
        <v>2650.0</v>
      </c>
      <c r="I114" s="20">
        <f t="shared" si="1"/>
        <v>50</v>
      </c>
      <c r="J114" s="22" t="s">
        <v>235</v>
      </c>
      <c r="K114" s="16" t="s">
        <v>236</v>
      </c>
      <c r="L114" s="13" t="s">
        <v>232</v>
      </c>
    </row>
    <row r="115" ht="19.5" customHeight="1">
      <c r="A115" s="25" t="s">
        <v>738</v>
      </c>
      <c r="B115" s="25" t="s">
        <v>512</v>
      </c>
      <c r="C115" s="14" t="str">
        <f>IF(B115&lt;&gt;"",IFERROR(VLOOKUP(B115,'📦 Productos'!A:C,3,FALSE),""),"")</f>
        <v>CUTEX ESMALTE</v>
      </c>
      <c r="D115" s="25" t="s">
        <v>740</v>
      </c>
      <c r="E115" s="25" t="s">
        <v>232</v>
      </c>
      <c r="F115" s="26">
        <v>0.0</v>
      </c>
      <c r="G115" s="27">
        <v>5300.0</v>
      </c>
      <c r="H115" s="29">
        <v>2650.0</v>
      </c>
      <c r="I115" s="20">
        <f t="shared" si="1"/>
        <v>50</v>
      </c>
      <c r="J115" s="31" t="s">
        <v>235</v>
      </c>
      <c r="K115" s="26" t="s">
        <v>236</v>
      </c>
      <c r="L115" s="25" t="s">
        <v>232</v>
      </c>
    </row>
    <row r="116" ht="19.5" customHeight="1">
      <c r="A116" s="13" t="s">
        <v>744</v>
      </c>
      <c r="B116" s="13" t="s">
        <v>512</v>
      </c>
      <c r="C116" s="14" t="str">
        <f>IF(B116&lt;&gt;"",IFERROR(VLOOKUP(B116,'📦 Productos'!A:C,3,FALSE),""),"")</f>
        <v>CUTEX ESMALTE</v>
      </c>
      <c r="D116" s="13" t="s">
        <v>746</v>
      </c>
      <c r="E116" s="13" t="s">
        <v>232</v>
      </c>
      <c r="F116" s="16">
        <v>0.0</v>
      </c>
      <c r="G116" s="17">
        <v>5300.0</v>
      </c>
      <c r="H116" s="18">
        <v>2650.0</v>
      </c>
      <c r="I116" s="20">
        <f t="shared" si="1"/>
        <v>50</v>
      </c>
      <c r="J116" s="22" t="s">
        <v>235</v>
      </c>
      <c r="K116" s="16" t="s">
        <v>236</v>
      </c>
      <c r="L116" s="13" t="s">
        <v>232</v>
      </c>
    </row>
    <row r="117" ht="19.5" customHeight="1">
      <c r="A117" s="25" t="s">
        <v>748</v>
      </c>
      <c r="B117" s="25" t="s">
        <v>512</v>
      </c>
      <c r="C117" s="14" t="str">
        <f>IF(B117&lt;&gt;"",IFERROR(VLOOKUP(B117,'📦 Productos'!A:C,3,FALSE),""),"")</f>
        <v>CUTEX ESMALTE</v>
      </c>
      <c r="D117" s="25" t="s">
        <v>751</v>
      </c>
      <c r="E117" s="25" t="s">
        <v>232</v>
      </c>
      <c r="F117" s="26">
        <v>0.0</v>
      </c>
      <c r="G117" s="27">
        <v>5300.0</v>
      </c>
      <c r="H117" s="29">
        <v>3710.0</v>
      </c>
      <c r="I117" s="20">
        <f t="shared" si="1"/>
        <v>30</v>
      </c>
      <c r="J117" s="31" t="s">
        <v>235</v>
      </c>
      <c r="K117" s="26" t="s">
        <v>236</v>
      </c>
      <c r="L117" s="25" t="s">
        <v>232</v>
      </c>
    </row>
    <row r="118" ht="19.5" customHeight="1">
      <c r="A118" s="13" t="s">
        <v>752</v>
      </c>
      <c r="B118" s="13" t="s">
        <v>512</v>
      </c>
      <c r="C118" s="14" t="str">
        <f>IF(B118&lt;&gt;"",IFERROR(VLOOKUP(B118,'📦 Productos'!A:C,3,FALSE),""),"")</f>
        <v>CUTEX ESMALTE</v>
      </c>
      <c r="D118" s="13" t="s">
        <v>755</v>
      </c>
      <c r="E118" s="13" t="s">
        <v>232</v>
      </c>
      <c r="F118" s="16">
        <v>0.0</v>
      </c>
      <c r="G118" s="17">
        <v>5300.0</v>
      </c>
      <c r="H118" s="18">
        <v>3710.0</v>
      </c>
      <c r="I118" s="20">
        <f t="shared" si="1"/>
        <v>30</v>
      </c>
      <c r="J118" s="22" t="s">
        <v>235</v>
      </c>
      <c r="K118" s="16" t="s">
        <v>236</v>
      </c>
      <c r="L118" s="13" t="s">
        <v>232</v>
      </c>
    </row>
    <row r="119" ht="19.5" customHeight="1">
      <c r="A119" s="25" t="s">
        <v>756</v>
      </c>
      <c r="B119" s="25" t="s">
        <v>512</v>
      </c>
      <c r="C119" s="14" t="str">
        <f>IF(B119&lt;&gt;"",IFERROR(VLOOKUP(B119,'📦 Productos'!A:C,3,FALSE),""),"")</f>
        <v>CUTEX ESMALTE</v>
      </c>
      <c r="D119" s="25" t="s">
        <v>758</v>
      </c>
      <c r="E119" s="25" t="s">
        <v>232</v>
      </c>
      <c r="F119" s="26">
        <v>0.0</v>
      </c>
      <c r="G119" s="27">
        <v>5500.0</v>
      </c>
      <c r="H119" s="29">
        <v>2750.0</v>
      </c>
      <c r="I119" s="20">
        <f t="shared" si="1"/>
        <v>50</v>
      </c>
      <c r="J119" s="31" t="s">
        <v>235</v>
      </c>
      <c r="K119" s="26" t="s">
        <v>236</v>
      </c>
      <c r="L119" s="25" t="s">
        <v>232</v>
      </c>
    </row>
    <row r="120" ht="19.5" customHeight="1">
      <c r="A120" s="13" t="s">
        <v>761</v>
      </c>
      <c r="B120" s="13" t="s">
        <v>512</v>
      </c>
      <c r="C120" s="14" t="str">
        <f>IF(B120&lt;&gt;"",IFERROR(VLOOKUP(B120,'📦 Productos'!A:C,3,FALSE),""),"")</f>
        <v>CUTEX ESMALTE</v>
      </c>
      <c r="D120" s="13" t="s">
        <v>762</v>
      </c>
      <c r="E120" s="13" t="s">
        <v>232</v>
      </c>
      <c r="F120" s="16">
        <v>0.0</v>
      </c>
      <c r="G120" s="17">
        <v>5300.0</v>
      </c>
      <c r="H120" s="18">
        <v>3710.0</v>
      </c>
      <c r="I120" s="20">
        <f t="shared" si="1"/>
        <v>30</v>
      </c>
      <c r="J120" s="22" t="s">
        <v>235</v>
      </c>
      <c r="K120" s="16" t="s">
        <v>236</v>
      </c>
      <c r="L120" s="13" t="s">
        <v>232</v>
      </c>
    </row>
    <row r="121" ht="19.5" customHeight="1">
      <c r="A121" s="25" t="s">
        <v>765</v>
      </c>
      <c r="B121" s="25" t="s">
        <v>512</v>
      </c>
      <c r="C121" s="14" t="str">
        <f>IF(B121&lt;&gt;"",IFERROR(VLOOKUP(B121,'📦 Productos'!A:C,3,FALSE),""),"")</f>
        <v>CUTEX ESMALTE</v>
      </c>
      <c r="D121" s="25" t="s">
        <v>766</v>
      </c>
      <c r="E121" s="25" t="s">
        <v>232</v>
      </c>
      <c r="F121" s="26">
        <v>0.0</v>
      </c>
      <c r="G121" s="27">
        <v>5500.0</v>
      </c>
      <c r="H121" s="29">
        <v>2750.0</v>
      </c>
      <c r="I121" s="20">
        <f t="shared" si="1"/>
        <v>50</v>
      </c>
      <c r="J121" s="31" t="s">
        <v>235</v>
      </c>
      <c r="K121" s="26" t="s">
        <v>236</v>
      </c>
      <c r="L121" s="25" t="s">
        <v>232</v>
      </c>
    </row>
    <row r="122" ht="19.5" customHeight="1">
      <c r="A122" s="13" t="s">
        <v>770</v>
      </c>
      <c r="B122" s="13" t="s">
        <v>512</v>
      </c>
      <c r="C122" s="14" t="str">
        <f>IF(B122&lt;&gt;"",IFERROR(VLOOKUP(B122,'📦 Productos'!A:C,3,FALSE),""),"")</f>
        <v>CUTEX ESMALTE</v>
      </c>
      <c r="D122" s="13" t="s">
        <v>773</v>
      </c>
      <c r="E122" s="13" t="s">
        <v>232</v>
      </c>
      <c r="F122" s="16">
        <v>0.0</v>
      </c>
      <c r="G122" s="17">
        <v>5300.0</v>
      </c>
      <c r="H122" s="18">
        <v>2650.0</v>
      </c>
      <c r="I122" s="20">
        <f t="shared" si="1"/>
        <v>50</v>
      </c>
      <c r="J122" s="22" t="s">
        <v>235</v>
      </c>
      <c r="K122" s="16" t="s">
        <v>236</v>
      </c>
      <c r="L122" s="13" t="s">
        <v>232</v>
      </c>
    </row>
    <row r="123" ht="19.5" customHeight="1">
      <c r="A123" s="25" t="s">
        <v>775</v>
      </c>
      <c r="B123" s="25" t="s">
        <v>512</v>
      </c>
      <c r="C123" s="14" t="str">
        <f>IF(B123&lt;&gt;"",IFERROR(VLOOKUP(B123,'📦 Productos'!A:C,3,FALSE),""),"")</f>
        <v>CUTEX ESMALTE</v>
      </c>
      <c r="D123" s="25" t="s">
        <v>778</v>
      </c>
      <c r="E123" s="25" t="s">
        <v>232</v>
      </c>
      <c r="F123" s="26">
        <v>0.0</v>
      </c>
      <c r="G123" s="27">
        <v>5300.0</v>
      </c>
      <c r="H123" s="29">
        <v>2650.0</v>
      </c>
      <c r="I123" s="20">
        <f t="shared" si="1"/>
        <v>50</v>
      </c>
      <c r="J123" s="31" t="s">
        <v>235</v>
      </c>
      <c r="K123" s="26" t="s">
        <v>236</v>
      </c>
      <c r="L123" s="25" t="s">
        <v>232</v>
      </c>
    </row>
    <row r="124" ht="19.5" customHeight="1">
      <c r="A124" s="13" t="s">
        <v>780</v>
      </c>
      <c r="B124" s="13" t="s">
        <v>512</v>
      </c>
      <c r="C124" s="14" t="str">
        <f>IF(B124&lt;&gt;"",IFERROR(VLOOKUP(B124,'📦 Productos'!A:C,3,FALSE),""),"")</f>
        <v>CUTEX ESMALTE</v>
      </c>
      <c r="D124" s="13" t="s">
        <v>783</v>
      </c>
      <c r="E124" s="13" t="s">
        <v>232</v>
      </c>
      <c r="F124" s="16">
        <v>0.0</v>
      </c>
      <c r="G124" s="17">
        <v>5300.0</v>
      </c>
      <c r="H124" s="18">
        <v>3710.0</v>
      </c>
      <c r="I124" s="20">
        <f t="shared" si="1"/>
        <v>30</v>
      </c>
      <c r="J124" s="22" t="s">
        <v>235</v>
      </c>
      <c r="K124" s="16" t="s">
        <v>236</v>
      </c>
      <c r="L124" s="13" t="s">
        <v>232</v>
      </c>
    </row>
    <row r="125" ht="19.5" customHeight="1">
      <c r="A125" s="25" t="s">
        <v>784</v>
      </c>
      <c r="B125" s="25" t="s">
        <v>512</v>
      </c>
      <c r="C125" s="14" t="str">
        <f>IF(B125&lt;&gt;"",IFERROR(VLOOKUP(B125,'📦 Productos'!A:C,3,FALSE),""),"")</f>
        <v>CUTEX ESMALTE</v>
      </c>
      <c r="D125" s="25" t="s">
        <v>786</v>
      </c>
      <c r="E125" s="25" t="s">
        <v>232</v>
      </c>
      <c r="F125" s="26">
        <v>0.0</v>
      </c>
      <c r="G125" s="27">
        <v>5300.0</v>
      </c>
      <c r="H125" s="29">
        <v>2650.0</v>
      </c>
      <c r="I125" s="20">
        <f t="shared" si="1"/>
        <v>50</v>
      </c>
      <c r="J125" s="31" t="s">
        <v>235</v>
      </c>
      <c r="K125" s="26" t="s">
        <v>236</v>
      </c>
      <c r="L125" s="25" t="s">
        <v>232</v>
      </c>
    </row>
    <row r="126" ht="19.5" customHeight="1">
      <c r="A126" s="13" t="s">
        <v>788</v>
      </c>
      <c r="B126" s="13" t="s">
        <v>512</v>
      </c>
      <c r="C126" s="14" t="str">
        <f>IF(B126&lt;&gt;"",IFERROR(VLOOKUP(B126,'📦 Productos'!A:C,3,FALSE),""),"")</f>
        <v>CUTEX ESMALTE</v>
      </c>
      <c r="D126" s="13" t="s">
        <v>790</v>
      </c>
      <c r="E126" s="13" t="s">
        <v>232</v>
      </c>
      <c r="F126" s="16">
        <v>0.0</v>
      </c>
      <c r="G126" s="17">
        <v>5300.0</v>
      </c>
      <c r="H126" s="18">
        <v>2650.0</v>
      </c>
      <c r="I126" s="20">
        <f t="shared" si="1"/>
        <v>50</v>
      </c>
      <c r="J126" s="22" t="s">
        <v>235</v>
      </c>
      <c r="K126" s="16" t="s">
        <v>236</v>
      </c>
      <c r="L126" s="13" t="s">
        <v>232</v>
      </c>
    </row>
    <row r="127" ht="19.5" customHeight="1">
      <c r="A127" s="25" t="s">
        <v>792</v>
      </c>
      <c r="B127" s="25" t="s">
        <v>512</v>
      </c>
      <c r="C127" s="14" t="str">
        <f>IF(B127&lt;&gt;"",IFERROR(VLOOKUP(B127,'📦 Productos'!A:C,3,FALSE),""),"")</f>
        <v>CUTEX ESMALTE</v>
      </c>
      <c r="D127" s="25" t="s">
        <v>793</v>
      </c>
      <c r="E127" s="25" t="s">
        <v>232</v>
      </c>
      <c r="F127" s="26">
        <v>0.0</v>
      </c>
      <c r="G127" s="27">
        <v>5300.0</v>
      </c>
      <c r="H127" s="29">
        <v>2650.0</v>
      </c>
      <c r="I127" s="20">
        <f t="shared" si="1"/>
        <v>50</v>
      </c>
      <c r="J127" s="31" t="s">
        <v>235</v>
      </c>
      <c r="K127" s="26" t="s">
        <v>236</v>
      </c>
      <c r="L127" s="25" t="s">
        <v>232</v>
      </c>
    </row>
    <row r="128" ht="19.5" customHeight="1">
      <c r="A128" s="13" t="s">
        <v>797</v>
      </c>
      <c r="B128" s="13" t="s">
        <v>512</v>
      </c>
      <c r="C128" s="14" t="str">
        <f>IF(B128&lt;&gt;"",IFERROR(VLOOKUP(B128,'📦 Productos'!A:C,3,FALSE),""),"")</f>
        <v>CUTEX ESMALTE</v>
      </c>
      <c r="D128" s="13" t="s">
        <v>799</v>
      </c>
      <c r="E128" s="13" t="s">
        <v>232</v>
      </c>
      <c r="F128" s="16">
        <v>0.0</v>
      </c>
      <c r="G128" s="17">
        <v>5300.0</v>
      </c>
      <c r="H128" s="18">
        <v>2650.0</v>
      </c>
      <c r="I128" s="20">
        <f t="shared" si="1"/>
        <v>50</v>
      </c>
      <c r="J128" s="22" t="s">
        <v>235</v>
      </c>
      <c r="K128" s="16" t="s">
        <v>236</v>
      </c>
      <c r="L128" s="13" t="s">
        <v>232</v>
      </c>
    </row>
    <row r="129" ht="19.5" customHeight="1">
      <c r="A129" s="25" t="s">
        <v>802</v>
      </c>
      <c r="B129" s="25" t="s">
        <v>512</v>
      </c>
      <c r="C129" s="14" t="str">
        <f>IF(B129&lt;&gt;"",IFERROR(VLOOKUP(B129,'📦 Productos'!A:C,3,FALSE),""),"")</f>
        <v>CUTEX ESMALTE</v>
      </c>
      <c r="D129" s="25" t="s">
        <v>803</v>
      </c>
      <c r="E129" s="25" t="s">
        <v>232</v>
      </c>
      <c r="F129" s="26">
        <v>0.0</v>
      </c>
      <c r="G129" s="27">
        <v>5300.0</v>
      </c>
      <c r="H129" s="29">
        <v>3710.0</v>
      </c>
      <c r="I129" s="20">
        <f t="shared" si="1"/>
        <v>30</v>
      </c>
      <c r="J129" s="31" t="s">
        <v>235</v>
      </c>
      <c r="K129" s="26" t="s">
        <v>236</v>
      </c>
      <c r="L129" s="25" t="s">
        <v>232</v>
      </c>
    </row>
    <row r="130" ht="19.5" customHeight="1">
      <c r="A130" s="13" t="s">
        <v>805</v>
      </c>
      <c r="B130" s="13" t="s">
        <v>512</v>
      </c>
      <c r="C130" s="14" t="str">
        <f>IF(B130&lt;&gt;"",IFERROR(VLOOKUP(B130,'📦 Productos'!A:C,3,FALSE),""),"")</f>
        <v>CUTEX ESMALTE</v>
      </c>
      <c r="D130" s="13" t="s">
        <v>807</v>
      </c>
      <c r="E130" s="13" t="s">
        <v>232</v>
      </c>
      <c r="F130" s="16">
        <v>0.0</v>
      </c>
      <c r="G130" s="17">
        <v>5300.0</v>
      </c>
      <c r="H130" s="18">
        <v>2650.0</v>
      </c>
      <c r="I130" s="20">
        <f t="shared" si="1"/>
        <v>50</v>
      </c>
      <c r="J130" s="22" t="s">
        <v>235</v>
      </c>
      <c r="K130" s="16" t="s">
        <v>236</v>
      </c>
      <c r="L130" s="13" t="s">
        <v>232</v>
      </c>
    </row>
    <row r="131" ht="19.5" customHeight="1">
      <c r="A131" s="25" t="s">
        <v>808</v>
      </c>
      <c r="B131" s="25" t="s">
        <v>512</v>
      </c>
      <c r="C131" s="14" t="str">
        <f>IF(B131&lt;&gt;"",IFERROR(VLOOKUP(B131,'📦 Productos'!A:C,3,FALSE),""),"")</f>
        <v>CUTEX ESMALTE</v>
      </c>
      <c r="D131" s="25" t="s">
        <v>812</v>
      </c>
      <c r="E131" s="25" t="s">
        <v>232</v>
      </c>
      <c r="F131" s="26">
        <v>0.0</v>
      </c>
      <c r="G131" s="27">
        <v>5300.0</v>
      </c>
      <c r="H131" s="29">
        <v>2650.0</v>
      </c>
      <c r="I131" s="20">
        <f t="shared" si="1"/>
        <v>50</v>
      </c>
      <c r="J131" s="31" t="s">
        <v>235</v>
      </c>
      <c r="K131" s="26" t="s">
        <v>236</v>
      </c>
      <c r="L131" s="25" t="s">
        <v>232</v>
      </c>
    </row>
    <row r="132" ht="19.5" customHeight="1">
      <c r="A132" s="13" t="s">
        <v>814</v>
      </c>
      <c r="B132" s="13" t="s">
        <v>512</v>
      </c>
      <c r="C132" s="14" t="str">
        <f>IF(B132&lt;&gt;"",IFERROR(VLOOKUP(B132,'📦 Productos'!A:C,3,FALSE),""),"")</f>
        <v>CUTEX ESMALTE</v>
      </c>
      <c r="D132" s="13" t="s">
        <v>816</v>
      </c>
      <c r="E132" s="13" t="s">
        <v>232</v>
      </c>
      <c r="F132" s="16">
        <v>0.0</v>
      </c>
      <c r="G132" s="17">
        <v>5300.0</v>
      </c>
      <c r="H132" s="18">
        <v>3710.0</v>
      </c>
      <c r="I132" s="20">
        <f t="shared" si="1"/>
        <v>30</v>
      </c>
      <c r="J132" s="22" t="s">
        <v>235</v>
      </c>
      <c r="K132" s="16" t="s">
        <v>236</v>
      </c>
      <c r="L132" s="13" t="s">
        <v>232</v>
      </c>
    </row>
    <row r="133" ht="19.5" customHeight="1">
      <c r="A133" s="25" t="s">
        <v>819</v>
      </c>
      <c r="B133" s="25" t="s">
        <v>512</v>
      </c>
      <c r="C133" s="14" t="str">
        <f>IF(B133&lt;&gt;"",IFERROR(VLOOKUP(B133,'📦 Productos'!A:C,3,FALSE),""),"")</f>
        <v>CUTEX ESMALTE</v>
      </c>
      <c r="D133" s="25" t="s">
        <v>820</v>
      </c>
      <c r="E133" s="25" t="s">
        <v>232</v>
      </c>
      <c r="F133" s="26">
        <v>0.0</v>
      </c>
      <c r="G133" s="27">
        <v>5300.0</v>
      </c>
      <c r="H133" s="29">
        <v>2650.0</v>
      </c>
      <c r="I133" s="20">
        <f t="shared" si="1"/>
        <v>50</v>
      </c>
      <c r="J133" s="31" t="s">
        <v>235</v>
      </c>
      <c r="K133" s="26" t="s">
        <v>236</v>
      </c>
      <c r="L133" s="25" t="s">
        <v>232</v>
      </c>
    </row>
    <row r="134" ht="19.5" customHeight="1">
      <c r="A134" s="13" t="s">
        <v>824</v>
      </c>
      <c r="B134" s="13" t="s">
        <v>512</v>
      </c>
      <c r="C134" s="14" t="str">
        <f>IF(B134&lt;&gt;"",IFERROR(VLOOKUP(B134,'📦 Productos'!A:C,3,FALSE),""),"")</f>
        <v>CUTEX ESMALTE</v>
      </c>
      <c r="D134" s="13" t="s">
        <v>825</v>
      </c>
      <c r="E134" s="13" t="s">
        <v>232</v>
      </c>
      <c r="F134" s="16">
        <v>0.0</v>
      </c>
      <c r="G134" s="17">
        <v>5300.0</v>
      </c>
      <c r="H134" s="18">
        <v>2650.0</v>
      </c>
      <c r="I134" s="20">
        <f t="shared" si="1"/>
        <v>50</v>
      </c>
      <c r="J134" s="22" t="s">
        <v>235</v>
      </c>
      <c r="K134" s="16" t="s">
        <v>236</v>
      </c>
      <c r="L134" s="13" t="s">
        <v>232</v>
      </c>
    </row>
    <row r="135" ht="19.5" customHeight="1">
      <c r="A135" s="25" t="s">
        <v>827</v>
      </c>
      <c r="B135" s="25" t="s">
        <v>512</v>
      </c>
      <c r="C135" s="14" t="str">
        <f>IF(B135&lt;&gt;"",IFERROR(VLOOKUP(B135,'📦 Productos'!A:C,3,FALSE),""),"")</f>
        <v>CUTEX ESMALTE</v>
      </c>
      <c r="D135" s="25" t="s">
        <v>830</v>
      </c>
      <c r="E135" s="25" t="s">
        <v>232</v>
      </c>
      <c r="F135" s="26">
        <v>0.0</v>
      </c>
      <c r="G135" s="27">
        <v>5300.0</v>
      </c>
      <c r="H135" s="29">
        <v>2650.0</v>
      </c>
      <c r="I135" s="20">
        <f t="shared" si="1"/>
        <v>50</v>
      </c>
      <c r="J135" s="31" t="s">
        <v>235</v>
      </c>
      <c r="K135" s="26" t="s">
        <v>236</v>
      </c>
      <c r="L135" s="25" t="s">
        <v>232</v>
      </c>
    </row>
    <row r="136" ht="19.5" customHeight="1">
      <c r="A136" s="13" t="s">
        <v>831</v>
      </c>
      <c r="B136" s="13" t="s">
        <v>512</v>
      </c>
      <c r="C136" s="14" t="str">
        <f>IF(B136&lt;&gt;"",IFERROR(VLOOKUP(B136,'📦 Productos'!A:C,3,FALSE),""),"")</f>
        <v>CUTEX ESMALTE</v>
      </c>
      <c r="D136" s="13" t="s">
        <v>834</v>
      </c>
      <c r="E136" s="13" t="s">
        <v>232</v>
      </c>
      <c r="F136" s="16">
        <v>0.0</v>
      </c>
      <c r="G136" s="17">
        <v>5300.0</v>
      </c>
      <c r="H136" s="18">
        <v>3710.0</v>
      </c>
      <c r="I136" s="20">
        <f t="shared" si="1"/>
        <v>30</v>
      </c>
      <c r="J136" s="22" t="s">
        <v>235</v>
      </c>
      <c r="K136" s="16" t="s">
        <v>236</v>
      </c>
      <c r="L136" s="13" t="s">
        <v>232</v>
      </c>
    </row>
    <row r="137" ht="19.5" customHeight="1">
      <c r="A137" s="25" t="s">
        <v>836</v>
      </c>
      <c r="B137" s="25" t="s">
        <v>512</v>
      </c>
      <c r="C137" s="14" t="str">
        <f>IF(B137&lt;&gt;"",IFERROR(VLOOKUP(B137,'📦 Productos'!A:C,3,FALSE),""),"")</f>
        <v>CUTEX ESMALTE</v>
      </c>
      <c r="D137" s="25" t="s">
        <v>837</v>
      </c>
      <c r="E137" s="25" t="s">
        <v>232</v>
      </c>
      <c r="F137" s="26">
        <v>0.0</v>
      </c>
      <c r="G137" s="27">
        <v>5300.0</v>
      </c>
      <c r="H137" s="29">
        <v>3710.0</v>
      </c>
      <c r="I137" s="20">
        <f t="shared" si="1"/>
        <v>30</v>
      </c>
      <c r="J137" s="31" t="s">
        <v>235</v>
      </c>
      <c r="K137" s="26" t="s">
        <v>236</v>
      </c>
      <c r="L137" s="25" t="s">
        <v>232</v>
      </c>
    </row>
    <row r="138" ht="19.5" customHeight="1">
      <c r="A138" s="13" t="s">
        <v>841</v>
      </c>
      <c r="B138" s="13" t="s">
        <v>512</v>
      </c>
      <c r="C138" s="14" t="str">
        <f>IF(B138&lt;&gt;"",IFERROR(VLOOKUP(B138,'📦 Productos'!A:C,3,FALSE),""),"")</f>
        <v>CUTEX ESMALTE</v>
      </c>
      <c r="D138" s="13" t="s">
        <v>842</v>
      </c>
      <c r="E138" s="13" t="s">
        <v>232</v>
      </c>
      <c r="F138" s="16">
        <v>0.0</v>
      </c>
      <c r="G138" s="17">
        <v>5300.0</v>
      </c>
      <c r="H138" s="18">
        <v>2650.0</v>
      </c>
      <c r="I138" s="20">
        <f t="shared" si="1"/>
        <v>50</v>
      </c>
      <c r="J138" s="22" t="s">
        <v>235</v>
      </c>
      <c r="K138" s="16" t="s">
        <v>236</v>
      </c>
      <c r="L138" s="13" t="s">
        <v>232</v>
      </c>
    </row>
    <row r="139" ht="19.5" customHeight="1">
      <c r="A139" s="25" t="s">
        <v>843</v>
      </c>
      <c r="B139" s="25" t="s">
        <v>512</v>
      </c>
      <c r="C139" s="14" t="str">
        <f>IF(B139&lt;&gt;"",IFERROR(VLOOKUP(B139,'📦 Productos'!A:C,3,FALSE),""),"")</f>
        <v>CUTEX ESMALTE</v>
      </c>
      <c r="D139" s="25" t="s">
        <v>847</v>
      </c>
      <c r="E139" s="25" t="s">
        <v>232</v>
      </c>
      <c r="F139" s="26">
        <v>0.0</v>
      </c>
      <c r="G139" s="27">
        <v>5300.0</v>
      </c>
      <c r="H139" s="29">
        <v>2650.0</v>
      </c>
      <c r="I139" s="20">
        <f t="shared" si="1"/>
        <v>50</v>
      </c>
      <c r="J139" s="31" t="s">
        <v>235</v>
      </c>
      <c r="K139" s="26" t="s">
        <v>236</v>
      </c>
      <c r="L139" s="25" t="s">
        <v>232</v>
      </c>
    </row>
    <row r="140" ht="19.5" customHeight="1">
      <c r="A140" s="13" t="s">
        <v>849</v>
      </c>
      <c r="B140" s="13" t="s">
        <v>512</v>
      </c>
      <c r="C140" s="14" t="str">
        <f>IF(B140&lt;&gt;"",IFERROR(VLOOKUP(B140,'📦 Productos'!A:C,3,FALSE),""),"")</f>
        <v>CUTEX ESMALTE</v>
      </c>
      <c r="D140" s="13" t="s">
        <v>851</v>
      </c>
      <c r="E140" s="13" t="s">
        <v>232</v>
      </c>
      <c r="F140" s="16">
        <v>0.0</v>
      </c>
      <c r="G140" s="17">
        <v>5300.0</v>
      </c>
      <c r="H140" s="18">
        <v>2650.0</v>
      </c>
      <c r="I140" s="20">
        <f t="shared" si="1"/>
        <v>50</v>
      </c>
      <c r="J140" s="22" t="s">
        <v>235</v>
      </c>
      <c r="K140" s="16" t="s">
        <v>236</v>
      </c>
      <c r="L140" s="13" t="s">
        <v>232</v>
      </c>
    </row>
    <row r="141" ht="19.5" customHeight="1">
      <c r="A141" s="25" t="s">
        <v>855</v>
      </c>
      <c r="B141" s="25" t="s">
        <v>512</v>
      </c>
      <c r="C141" s="14" t="str">
        <f>IF(B141&lt;&gt;"",IFERROR(VLOOKUP(B141,'📦 Productos'!A:C,3,FALSE),""),"")</f>
        <v>CUTEX ESMALTE</v>
      </c>
      <c r="D141" s="25" t="s">
        <v>856</v>
      </c>
      <c r="E141" s="25" t="s">
        <v>232</v>
      </c>
      <c r="F141" s="26">
        <v>0.0</v>
      </c>
      <c r="G141" s="27">
        <v>5300.0</v>
      </c>
      <c r="H141" s="29">
        <v>2650.0</v>
      </c>
      <c r="I141" s="20">
        <f t="shared" si="1"/>
        <v>50</v>
      </c>
      <c r="J141" s="31" t="s">
        <v>235</v>
      </c>
      <c r="K141" s="26" t="s">
        <v>236</v>
      </c>
      <c r="L141" s="25" t="s">
        <v>232</v>
      </c>
    </row>
    <row r="142" ht="19.5" customHeight="1">
      <c r="A142" s="13" t="s">
        <v>858</v>
      </c>
      <c r="B142" s="13" t="s">
        <v>512</v>
      </c>
      <c r="C142" s="14" t="str">
        <f>IF(B142&lt;&gt;"",IFERROR(VLOOKUP(B142,'📦 Productos'!A:C,3,FALSE),""),"")</f>
        <v>CUTEX ESMALTE</v>
      </c>
      <c r="D142" s="13" t="s">
        <v>861</v>
      </c>
      <c r="E142" s="13" t="s">
        <v>232</v>
      </c>
      <c r="F142" s="16">
        <v>0.0</v>
      </c>
      <c r="G142" s="17">
        <v>5300.0</v>
      </c>
      <c r="H142" s="18">
        <v>2650.0</v>
      </c>
      <c r="I142" s="20">
        <f t="shared" si="1"/>
        <v>50</v>
      </c>
      <c r="J142" s="22" t="s">
        <v>235</v>
      </c>
      <c r="K142" s="16" t="s">
        <v>236</v>
      </c>
      <c r="L142" s="13" t="s">
        <v>232</v>
      </c>
    </row>
    <row r="143" ht="19.5" customHeight="1">
      <c r="A143" s="25" t="s">
        <v>864</v>
      </c>
      <c r="B143" s="25" t="s">
        <v>512</v>
      </c>
      <c r="C143" s="14" t="str">
        <f>IF(B143&lt;&gt;"",IFERROR(VLOOKUP(B143,'📦 Productos'!A:C,3,FALSE),""),"")</f>
        <v>CUTEX ESMALTE</v>
      </c>
      <c r="D143" s="25" t="s">
        <v>865</v>
      </c>
      <c r="E143" s="25" t="s">
        <v>232</v>
      </c>
      <c r="F143" s="26">
        <v>0.0</v>
      </c>
      <c r="G143" s="27">
        <v>5300.0</v>
      </c>
      <c r="H143" s="29">
        <v>2650.0</v>
      </c>
      <c r="I143" s="20">
        <f t="shared" si="1"/>
        <v>50</v>
      </c>
      <c r="J143" s="31" t="s">
        <v>235</v>
      </c>
      <c r="K143" s="26" t="s">
        <v>236</v>
      </c>
      <c r="L143" s="25" t="s">
        <v>232</v>
      </c>
    </row>
    <row r="144" ht="19.5" customHeight="1">
      <c r="A144" s="13" t="s">
        <v>869</v>
      </c>
      <c r="B144" s="13" t="s">
        <v>512</v>
      </c>
      <c r="C144" s="14" t="str">
        <f>IF(B144&lt;&gt;"",IFERROR(VLOOKUP(B144,'📦 Productos'!A:C,3,FALSE),""),"")</f>
        <v>CUTEX ESMALTE</v>
      </c>
      <c r="D144" s="13" t="s">
        <v>871</v>
      </c>
      <c r="E144" s="13" t="s">
        <v>232</v>
      </c>
      <c r="F144" s="16">
        <v>0.0</v>
      </c>
      <c r="G144" s="17">
        <v>5300.0</v>
      </c>
      <c r="H144" s="18">
        <v>2650.0</v>
      </c>
      <c r="I144" s="20">
        <f t="shared" si="1"/>
        <v>50</v>
      </c>
      <c r="J144" s="22" t="s">
        <v>235</v>
      </c>
      <c r="K144" s="16" t="s">
        <v>236</v>
      </c>
      <c r="L144" s="13" t="s">
        <v>232</v>
      </c>
    </row>
    <row r="145" ht="19.5" customHeight="1">
      <c r="A145" s="25" t="s">
        <v>875</v>
      </c>
      <c r="B145" s="25" t="s">
        <v>512</v>
      </c>
      <c r="C145" s="14" t="str">
        <f>IF(B145&lt;&gt;"",IFERROR(VLOOKUP(B145,'📦 Productos'!A:C,3,FALSE),""),"")</f>
        <v>CUTEX ESMALTE</v>
      </c>
      <c r="D145" s="25" t="s">
        <v>877</v>
      </c>
      <c r="E145" s="25" t="s">
        <v>232</v>
      </c>
      <c r="F145" s="26">
        <v>0.0</v>
      </c>
      <c r="G145" s="27">
        <v>5300.0</v>
      </c>
      <c r="H145" s="29">
        <v>2650.0</v>
      </c>
      <c r="I145" s="20">
        <f t="shared" si="1"/>
        <v>50</v>
      </c>
      <c r="J145" s="31" t="s">
        <v>235</v>
      </c>
      <c r="K145" s="26" t="s">
        <v>236</v>
      </c>
      <c r="L145" s="25" t="s">
        <v>232</v>
      </c>
    </row>
    <row r="146" ht="19.5" customHeight="1">
      <c r="A146" s="13" t="s">
        <v>878</v>
      </c>
      <c r="B146" s="13" t="s">
        <v>512</v>
      </c>
      <c r="C146" s="14" t="str">
        <f>IF(B146&lt;&gt;"",IFERROR(VLOOKUP(B146,'📦 Productos'!A:C,3,FALSE),""),"")</f>
        <v>CUTEX ESMALTE</v>
      </c>
      <c r="D146" s="13" t="s">
        <v>882</v>
      </c>
      <c r="E146" s="13" t="s">
        <v>232</v>
      </c>
      <c r="F146" s="16">
        <v>0.0</v>
      </c>
      <c r="G146" s="17">
        <v>5300.0</v>
      </c>
      <c r="H146" s="18">
        <v>3710.0</v>
      </c>
      <c r="I146" s="20">
        <f t="shared" si="1"/>
        <v>30</v>
      </c>
      <c r="J146" s="22" t="s">
        <v>235</v>
      </c>
      <c r="K146" s="16" t="s">
        <v>236</v>
      </c>
      <c r="L146" s="13" t="s">
        <v>232</v>
      </c>
    </row>
    <row r="147" ht="19.5" customHeight="1">
      <c r="A147" s="25" t="s">
        <v>883</v>
      </c>
      <c r="B147" s="25" t="s">
        <v>512</v>
      </c>
      <c r="C147" s="14" t="str">
        <f>IF(B147&lt;&gt;"",IFERROR(VLOOKUP(B147,'📦 Productos'!A:C,3,FALSE),""),"")</f>
        <v>CUTEX ESMALTE</v>
      </c>
      <c r="D147" s="25" t="s">
        <v>887</v>
      </c>
      <c r="E147" s="25" t="s">
        <v>232</v>
      </c>
      <c r="F147" s="26">
        <v>0.0</v>
      </c>
      <c r="G147" s="27">
        <v>5300.0</v>
      </c>
      <c r="H147" s="29">
        <v>3710.0</v>
      </c>
      <c r="I147" s="20">
        <f t="shared" si="1"/>
        <v>30</v>
      </c>
      <c r="J147" s="31" t="s">
        <v>235</v>
      </c>
      <c r="K147" s="26" t="s">
        <v>236</v>
      </c>
      <c r="L147" s="25" t="s">
        <v>232</v>
      </c>
    </row>
    <row r="148" ht="19.5" customHeight="1">
      <c r="A148" s="13" t="s">
        <v>889</v>
      </c>
      <c r="B148" s="13" t="s">
        <v>512</v>
      </c>
      <c r="C148" s="14" t="str">
        <f>IF(B148&lt;&gt;"",IFERROR(VLOOKUP(B148,'📦 Productos'!A:C,3,FALSE),""),"")</f>
        <v>CUTEX ESMALTE</v>
      </c>
      <c r="D148" s="13" t="s">
        <v>890</v>
      </c>
      <c r="E148" s="13" t="s">
        <v>232</v>
      </c>
      <c r="F148" s="16">
        <v>0.0</v>
      </c>
      <c r="G148" s="17">
        <v>5300.0</v>
      </c>
      <c r="H148" s="18">
        <v>3710.0</v>
      </c>
      <c r="I148" s="20">
        <f t="shared" si="1"/>
        <v>30</v>
      </c>
      <c r="J148" s="22" t="s">
        <v>235</v>
      </c>
      <c r="K148" s="16" t="s">
        <v>236</v>
      </c>
      <c r="L148" s="13" t="s">
        <v>232</v>
      </c>
    </row>
    <row r="149" ht="19.5" customHeight="1">
      <c r="A149" s="25" t="s">
        <v>893</v>
      </c>
      <c r="B149" s="25" t="s">
        <v>512</v>
      </c>
      <c r="C149" s="14" t="str">
        <f>IF(B149&lt;&gt;"",IFERROR(VLOOKUP(B149,'📦 Productos'!A:C,3,FALSE),""),"")</f>
        <v>CUTEX ESMALTE</v>
      </c>
      <c r="D149" s="25" t="s">
        <v>894</v>
      </c>
      <c r="E149" s="25" t="s">
        <v>232</v>
      </c>
      <c r="F149" s="26">
        <v>0.0</v>
      </c>
      <c r="G149" s="27">
        <v>5300.0</v>
      </c>
      <c r="H149" s="29">
        <v>3710.0</v>
      </c>
      <c r="I149" s="20">
        <f t="shared" si="1"/>
        <v>30</v>
      </c>
      <c r="J149" s="31" t="s">
        <v>235</v>
      </c>
      <c r="K149" s="26" t="s">
        <v>236</v>
      </c>
      <c r="L149" s="25" t="s">
        <v>232</v>
      </c>
    </row>
    <row r="150" ht="19.5" customHeight="1">
      <c r="A150" s="13" t="s">
        <v>897</v>
      </c>
      <c r="B150" s="13" t="s">
        <v>512</v>
      </c>
      <c r="C150" s="14" t="str">
        <f>IF(B150&lt;&gt;"",IFERROR(VLOOKUP(B150,'📦 Productos'!A:C,3,FALSE),""),"")</f>
        <v>CUTEX ESMALTE</v>
      </c>
      <c r="D150" s="13" t="s">
        <v>898</v>
      </c>
      <c r="E150" s="13" t="s">
        <v>232</v>
      </c>
      <c r="F150" s="16">
        <v>0.0</v>
      </c>
      <c r="G150" s="17">
        <v>5300.0</v>
      </c>
      <c r="H150" s="18">
        <v>3710.0</v>
      </c>
      <c r="I150" s="20">
        <f t="shared" si="1"/>
        <v>30</v>
      </c>
      <c r="J150" s="22" t="s">
        <v>235</v>
      </c>
      <c r="K150" s="16" t="s">
        <v>236</v>
      </c>
      <c r="L150" s="13" t="s">
        <v>232</v>
      </c>
    </row>
    <row r="151" ht="19.5" customHeight="1">
      <c r="A151" s="25" t="s">
        <v>902</v>
      </c>
      <c r="B151" s="25" t="s">
        <v>512</v>
      </c>
      <c r="C151" s="14" t="str">
        <f>IF(B151&lt;&gt;"",IFERROR(VLOOKUP(B151,'📦 Productos'!A:C,3,FALSE),""),"")</f>
        <v>CUTEX ESMALTE</v>
      </c>
      <c r="D151" s="25" t="s">
        <v>903</v>
      </c>
      <c r="E151" s="25" t="s">
        <v>232</v>
      </c>
      <c r="F151" s="26">
        <v>0.0</v>
      </c>
      <c r="G151" s="27">
        <v>5300.0</v>
      </c>
      <c r="H151" s="29">
        <v>2650.0</v>
      </c>
      <c r="I151" s="20">
        <f t="shared" si="1"/>
        <v>50</v>
      </c>
      <c r="J151" s="31" t="s">
        <v>235</v>
      </c>
      <c r="K151" s="26" t="s">
        <v>236</v>
      </c>
      <c r="L151" s="25" t="s">
        <v>232</v>
      </c>
    </row>
    <row r="152" ht="19.5" customHeight="1">
      <c r="A152" s="13" t="s">
        <v>905</v>
      </c>
      <c r="B152" s="13" t="s">
        <v>512</v>
      </c>
      <c r="C152" s="14" t="str">
        <f>IF(B152&lt;&gt;"",IFERROR(VLOOKUP(B152,'📦 Productos'!A:C,3,FALSE),""),"")</f>
        <v>CUTEX ESMALTE</v>
      </c>
      <c r="D152" s="13" t="s">
        <v>909</v>
      </c>
      <c r="E152" s="13" t="s">
        <v>232</v>
      </c>
      <c r="F152" s="16">
        <v>0.0</v>
      </c>
      <c r="G152" s="17">
        <v>5300.0</v>
      </c>
      <c r="H152" s="18">
        <v>3710.0</v>
      </c>
      <c r="I152" s="20">
        <f t="shared" si="1"/>
        <v>30</v>
      </c>
      <c r="J152" s="22" t="s">
        <v>235</v>
      </c>
      <c r="K152" s="16" t="s">
        <v>236</v>
      </c>
      <c r="L152" s="13" t="s">
        <v>232</v>
      </c>
    </row>
    <row r="153" ht="19.5" customHeight="1">
      <c r="A153" s="25" t="s">
        <v>911</v>
      </c>
      <c r="B153" s="25" t="s">
        <v>512</v>
      </c>
      <c r="C153" s="14" t="str">
        <f>IF(B153&lt;&gt;"",IFERROR(VLOOKUP(B153,'📦 Productos'!A:C,3,FALSE),""),"")</f>
        <v>CUTEX ESMALTE</v>
      </c>
      <c r="D153" s="25" t="s">
        <v>914</v>
      </c>
      <c r="E153" s="25" t="s">
        <v>232</v>
      </c>
      <c r="F153" s="26">
        <v>0.0</v>
      </c>
      <c r="G153" s="27">
        <v>5300.0</v>
      </c>
      <c r="H153" s="29">
        <v>3710.0</v>
      </c>
      <c r="I153" s="20">
        <f t="shared" si="1"/>
        <v>30</v>
      </c>
      <c r="J153" s="31" t="s">
        <v>235</v>
      </c>
      <c r="K153" s="26" t="s">
        <v>236</v>
      </c>
      <c r="L153" s="25" t="s">
        <v>232</v>
      </c>
    </row>
    <row r="154" ht="19.5" customHeight="1">
      <c r="A154" s="13" t="s">
        <v>917</v>
      </c>
      <c r="B154" s="13" t="s">
        <v>512</v>
      </c>
      <c r="C154" s="14" t="str">
        <f>IF(B154&lt;&gt;"",IFERROR(VLOOKUP(B154,'📦 Productos'!A:C,3,FALSE),""),"")</f>
        <v>CUTEX ESMALTE</v>
      </c>
      <c r="D154" s="13" t="s">
        <v>918</v>
      </c>
      <c r="E154" s="13" t="s">
        <v>232</v>
      </c>
      <c r="F154" s="16">
        <v>0.0</v>
      </c>
      <c r="G154" s="17">
        <v>5300.0</v>
      </c>
      <c r="H154" s="18">
        <v>3710.0</v>
      </c>
      <c r="I154" s="20">
        <f t="shared" si="1"/>
        <v>30</v>
      </c>
      <c r="J154" s="22" t="s">
        <v>235</v>
      </c>
      <c r="K154" s="16" t="s">
        <v>236</v>
      </c>
      <c r="L154" s="13" t="s">
        <v>232</v>
      </c>
    </row>
    <row r="155" ht="19.5" customHeight="1">
      <c r="A155" s="25" t="s">
        <v>921</v>
      </c>
      <c r="B155" s="25" t="s">
        <v>512</v>
      </c>
      <c r="C155" s="14" t="str">
        <f>IF(B155&lt;&gt;"",IFERROR(VLOOKUP(B155,'📦 Productos'!A:C,3,FALSE),""),"")</f>
        <v>CUTEX ESMALTE</v>
      </c>
      <c r="D155" s="25" t="s">
        <v>922</v>
      </c>
      <c r="E155" s="25" t="s">
        <v>232</v>
      </c>
      <c r="F155" s="26">
        <v>0.0</v>
      </c>
      <c r="G155" s="27">
        <v>5300.0</v>
      </c>
      <c r="H155" s="29">
        <v>2650.0</v>
      </c>
      <c r="I155" s="20">
        <f t="shared" si="1"/>
        <v>50</v>
      </c>
      <c r="J155" s="31" t="s">
        <v>235</v>
      </c>
      <c r="K155" s="26" t="s">
        <v>236</v>
      </c>
      <c r="L155" s="25" t="s">
        <v>232</v>
      </c>
    </row>
    <row r="156" ht="19.5" customHeight="1">
      <c r="A156" s="13" t="s">
        <v>925</v>
      </c>
      <c r="B156" s="13" t="s">
        <v>512</v>
      </c>
      <c r="C156" s="14" t="str">
        <f>IF(B156&lt;&gt;"",IFERROR(VLOOKUP(B156,'📦 Productos'!A:C,3,FALSE),""),"")</f>
        <v>CUTEX ESMALTE</v>
      </c>
      <c r="D156" s="13" t="s">
        <v>926</v>
      </c>
      <c r="E156" s="13" t="s">
        <v>232</v>
      </c>
      <c r="F156" s="16">
        <v>0.0</v>
      </c>
      <c r="G156" s="17">
        <v>5300.0</v>
      </c>
      <c r="H156" s="18">
        <v>3710.0</v>
      </c>
      <c r="I156" s="20">
        <f t="shared" si="1"/>
        <v>30</v>
      </c>
      <c r="J156" s="22" t="s">
        <v>235</v>
      </c>
      <c r="K156" s="16" t="s">
        <v>236</v>
      </c>
      <c r="L156" s="13" t="s">
        <v>232</v>
      </c>
    </row>
    <row r="157" ht="19.5" customHeight="1">
      <c r="A157" s="25" t="s">
        <v>927</v>
      </c>
      <c r="B157" s="25" t="s">
        <v>512</v>
      </c>
      <c r="C157" s="14" t="str">
        <f>IF(B157&lt;&gt;"",IFERROR(VLOOKUP(B157,'📦 Productos'!A:C,3,FALSE),""),"")</f>
        <v>CUTEX ESMALTE</v>
      </c>
      <c r="D157" s="25" t="s">
        <v>931</v>
      </c>
      <c r="E157" s="25" t="s">
        <v>232</v>
      </c>
      <c r="F157" s="26">
        <v>0.0</v>
      </c>
      <c r="G157" s="27">
        <v>5300.0</v>
      </c>
      <c r="H157" s="29">
        <v>3710.0</v>
      </c>
      <c r="I157" s="20">
        <f t="shared" si="1"/>
        <v>30</v>
      </c>
      <c r="J157" s="31" t="s">
        <v>235</v>
      </c>
      <c r="K157" s="26" t="s">
        <v>236</v>
      </c>
      <c r="L157" s="25" t="s">
        <v>232</v>
      </c>
    </row>
    <row r="158" ht="19.5" customHeight="1">
      <c r="A158" s="13" t="s">
        <v>933</v>
      </c>
      <c r="B158" s="13" t="s">
        <v>512</v>
      </c>
      <c r="C158" s="14" t="str">
        <f>IF(B158&lt;&gt;"",IFERROR(VLOOKUP(B158,'📦 Productos'!A:C,3,FALSE),""),"")</f>
        <v>CUTEX ESMALTE</v>
      </c>
      <c r="D158" s="13" t="s">
        <v>936</v>
      </c>
      <c r="E158" s="13" t="s">
        <v>232</v>
      </c>
      <c r="F158" s="16">
        <v>0.0</v>
      </c>
      <c r="G158" s="17">
        <v>5300.0</v>
      </c>
      <c r="H158" s="18">
        <v>3710.0</v>
      </c>
      <c r="I158" s="20">
        <f t="shared" si="1"/>
        <v>30</v>
      </c>
      <c r="J158" s="22" t="s">
        <v>235</v>
      </c>
      <c r="K158" s="16" t="s">
        <v>236</v>
      </c>
      <c r="L158" s="13" t="s">
        <v>232</v>
      </c>
    </row>
    <row r="159" ht="19.5" customHeight="1">
      <c r="A159" s="25" t="s">
        <v>939</v>
      </c>
      <c r="B159" s="25" t="s">
        <v>512</v>
      </c>
      <c r="C159" s="14" t="str">
        <f>IF(B159&lt;&gt;"",IFERROR(VLOOKUP(B159,'📦 Productos'!A:C,3,FALSE),""),"")</f>
        <v>CUTEX ESMALTE</v>
      </c>
      <c r="D159" s="25" t="s">
        <v>940</v>
      </c>
      <c r="E159" s="25" t="s">
        <v>232</v>
      </c>
      <c r="F159" s="26">
        <v>0.0</v>
      </c>
      <c r="G159" s="27">
        <v>5300.0</v>
      </c>
      <c r="H159" s="29">
        <v>2650.0</v>
      </c>
      <c r="I159" s="20">
        <f t="shared" si="1"/>
        <v>50</v>
      </c>
      <c r="J159" s="31" t="s">
        <v>235</v>
      </c>
      <c r="K159" s="26" t="s">
        <v>236</v>
      </c>
      <c r="L159" s="25" t="s">
        <v>232</v>
      </c>
    </row>
    <row r="160" ht="19.5" customHeight="1">
      <c r="A160" s="13" t="s">
        <v>944</v>
      </c>
      <c r="B160" s="13" t="s">
        <v>512</v>
      </c>
      <c r="C160" s="14" t="str">
        <f>IF(B160&lt;&gt;"",IFERROR(VLOOKUP(B160,'📦 Productos'!A:C,3,FALSE),""),"")</f>
        <v>CUTEX ESMALTE</v>
      </c>
      <c r="D160" s="13" t="s">
        <v>946</v>
      </c>
      <c r="E160" s="13" t="s">
        <v>232</v>
      </c>
      <c r="F160" s="16">
        <v>0.0</v>
      </c>
      <c r="G160" s="17">
        <v>5300.0</v>
      </c>
      <c r="H160" s="18">
        <v>2650.0</v>
      </c>
      <c r="I160" s="20">
        <f t="shared" si="1"/>
        <v>50</v>
      </c>
      <c r="J160" s="22" t="s">
        <v>235</v>
      </c>
      <c r="K160" s="16" t="s">
        <v>236</v>
      </c>
      <c r="L160" s="13" t="s">
        <v>232</v>
      </c>
    </row>
    <row r="161" ht="19.5" customHeight="1">
      <c r="A161" s="25" t="s">
        <v>950</v>
      </c>
      <c r="B161" s="25" t="s">
        <v>512</v>
      </c>
      <c r="C161" s="14" t="str">
        <f>IF(B161&lt;&gt;"",IFERROR(VLOOKUP(B161,'📦 Productos'!A:C,3,FALSE),""),"")</f>
        <v>CUTEX ESMALTE</v>
      </c>
      <c r="D161" s="25" t="s">
        <v>951</v>
      </c>
      <c r="E161" s="25" t="s">
        <v>232</v>
      </c>
      <c r="F161" s="26">
        <v>0.0</v>
      </c>
      <c r="G161" s="27">
        <v>5300.0</v>
      </c>
      <c r="H161" s="29">
        <v>3710.0</v>
      </c>
      <c r="I161" s="20">
        <f t="shared" si="1"/>
        <v>30</v>
      </c>
      <c r="J161" s="31" t="s">
        <v>235</v>
      </c>
      <c r="K161" s="26" t="s">
        <v>236</v>
      </c>
      <c r="L161" s="25" t="s">
        <v>232</v>
      </c>
    </row>
    <row r="162" ht="19.5" customHeight="1">
      <c r="A162" s="13" t="s">
        <v>953</v>
      </c>
      <c r="B162" s="13" t="s">
        <v>512</v>
      </c>
      <c r="C162" s="14" t="str">
        <f>IF(B162&lt;&gt;"",IFERROR(VLOOKUP(B162,'📦 Productos'!A:C,3,FALSE),""),"")</f>
        <v>CUTEX ESMALTE</v>
      </c>
      <c r="D162" s="13" t="s">
        <v>957</v>
      </c>
      <c r="E162" s="13" t="s">
        <v>232</v>
      </c>
      <c r="F162" s="16">
        <v>0.0</v>
      </c>
      <c r="G162" s="17">
        <v>5300.0</v>
      </c>
      <c r="H162" s="18">
        <v>2650.0</v>
      </c>
      <c r="I162" s="20">
        <f t="shared" si="1"/>
        <v>50</v>
      </c>
      <c r="J162" s="22" t="s">
        <v>235</v>
      </c>
      <c r="K162" s="16" t="s">
        <v>236</v>
      </c>
      <c r="L162" s="13" t="s">
        <v>232</v>
      </c>
    </row>
    <row r="163" ht="19.5" customHeight="1">
      <c r="A163" s="25" t="s">
        <v>959</v>
      </c>
      <c r="B163" s="25" t="s">
        <v>512</v>
      </c>
      <c r="C163" s="14" t="str">
        <f>IF(B163&lt;&gt;"",IFERROR(VLOOKUP(B163,'📦 Productos'!A:C,3,FALSE),""),"")</f>
        <v>CUTEX ESMALTE</v>
      </c>
      <c r="D163" s="25" t="s">
        <v>960</v>
      </c>
      <c r="E163" s="25" t="s">
        <v>232</v>
      </c>
      <c r="F163" s="26">
        <v>0.0</v>
      </c>
      <c r="G163" s="27">
        <v>5300.0</v>
      </c>
      <c r="H163" s="29">
        <v>3710.0</v>
      </c>
      <c r="I163" s="20">
        <f t="shared" si="1"/>
        <v>30</v>
      </c>
      <c r="J163" s="31" t="s">
        <v>235</v>
      </c>
      <c r="K163" s="26" t="s">
        <v>236</v>
      </c>
      <c r="L163" s="25" t="s">
        <v>232</v>
      </c>
    </row>
    <row r="164" ht="19.5" customHeight="1">
      <c r="A164" s="13" t="s">
        <v>964</v>
      </c>
      <c r="B164" s="13" t="s">
        <v>512</v>
      </c>
      <c r="C164" s="14" t="str">
        <f>IF(B164&lt;&gt;"",IFERROR(VLOOKUP(B164,'📦 Productos'!A:C,3,FALSE),""),"")</f>
        <v>CUTEX ESMALTE</v>
      </c>
      <c r="D164" s="13" t="s">
        <v>965</v>
      </c>
      <c r="E164" s="13" t="s">
        <v>232</v>
      </c>
      <c r="F164" s="16">
        <v>0.0</v>
      </c>
      <c r="G164" s="17">
        <v>5300.0</v>
      </c>
      <c r="H164" s="18">
        <v>3710.0</v>
      </c>
      <c r="I164" s="20">
        <f t="shared" si="1"/>
        <v>30</v>
      </c>
      <c r="J164" s="22" t="s">
        <v>235</v>
      </c>
      <c r="K164" s="16" t="s">
        <v>236</v>
      </c>
      <c r="L164" s="13" t="s">
        <v>232</v>
      </c>
    </row>
    <row r="165" ht="19.5" customHeight="1">
      <c r="A165" s="25" t="s">
        <v>969</v>
      </c>
      <c r="B165" s="25" t="s">
        <v>512</v>
      </c>
      <c r="C165" s="14" t="str">
        <f>IF(B165&lt;&gt;"",IFERROR(VLOOKUP(B165,'📦 Productos'!A:C,3,FALSE),""),"")</f>
        <v>CUTEX ESMALTE</v>
      </c>
      <c r="D165" s="25" t="s">
        <v>970</v>
      </c>
      <c r="E165" s="25" t="s">
        <v>232</v>
      </c>
      <c r="F165" s="26">
        <v>0.0</v>
      </c>
      <c r="G165" s="27">
        <v>5300.0</v>
      </c>
      <c r="H165" s="29">
        <v>3710.0</v>
      </c>
      <c r="I165" s="20">
        <f t="shared" si="1"/>
        <v>30</v>
      </c>
      <c r="J165" s="31" t="s">
        <v>235</v>
      </c>
      <c r="K165" s="26" t="s">
        <v>236</v>
      </c>
      <c r="L165" s="25" t="s">
        <v>232</v>
      </c>
    </row>
    <row r="166" ht="19.5" customHeight="1">
      <c r="A166" s="13" t="s">
        <v>971</v>
      </c>
      <c r="B166" s="13" t="s">
        <v>512</v>
      </c>
      <c r="C166" s="14" t="str">
        <f>IF(B166&lt;&gt;"",IFERROR(VLOOKUP(B166,'📦 Productos'!A:C,3,FALSE),""),"")</f>
        <v>CUTEX ESMALTE</v>
      </c>
      <c r="D166" s="13" t="s">
        <v>975</v>
      </c>
      <c r="E166" s="13" t="s">
        <v>232</v>
      </c>
      <c r="F166" s="16">
        <v>0.0</v>
      </c>
      <c r="G166" s="17">
        <v>5300.0</v>
      </c>
      <c r="H166" s="18">
        <v>2650.0</v>
      </c>
      <c r="I166" s="20">
        <f t="shared" si="1"/>
        <v>50</v>
      </c>
      <c r="J166" s="22" t="s">
        <v>235</v>
      </c>
      <c r="K166" s="16" t="s">
        <v>236</v>
      </c>
      <c r="L166" s="13" t="s">
        <v>232</v>
      </c>
    </row>
    <row r="167" ht="19.5" customHeight="1">
      <c r="A167" s="25" t="s">
        <v>976</v>
      </c>
      <c r="B167" s="25" t="s">
        <v>512</v>
      </c>
      <c r="C167" s="14" t="str">
        <f>IF(B167&lt;&gt;"",IFERROR(VLOOKUP(B167,'📦 Productos'!A:C,3,FALSE),""),"")</f>
        <v>CUTEX ESMALTE</v>
      </c>
      <c r="D167" s="25" t="s">
        <v>979</v>
      </c>
      <c r="E167" s="25" t="s">
        <v>232</v>
      </c>
      <c r="F167" s="26">
        <v>0.0</v>
      </c>
      <c r="G167" s="27">
        <v>5300.0</v>
      </c>
      <c r="H167" s="29">
        <v>2650.0</v>
      </c>
      <c r="I167" s="20">
        <f t="shared" si="1"/>
        <v>50</v>
      </c>
      <c r="J167" s="31" t="s">
        <v>235</v>
      </c>
      <c r="K167" s="26" t="s">
        <v>236</v>
      </c>
      <c r="L167" s="25" t="s">
        <v>232</v>
      </c>
    </row>
    <row r="168" ht="19.5" customHeight="1">
      <c r="A168" s="13" t="s">
        <v>981</v>
      </c>
      <c r="B168" s="13" t="s">
        <v>512</v>
      </c>
      <c r="C168" s="14" t="str">
        <f>IF(B168&lt;&gt;"",IFERROR(VLOOKUP(B168,'📦 Productos'!A:C,3,FALSE),""),"")</f>
        <v>CUTEX ESMALTE</v>
      </c>
      <c r="D168" s="13" t="s">
        <v>983</v>
      </c>
      <c r="E168" s="13" t="s">
        <v>232</v>
      </c>
      <c r="F168" s="16">
        <v>0.0</v>
      </c>
      <c r="G168" s="17">
        <v>5300.0</v>
      </c>
      <c r="H168" s="18">
        <v>2650.0</v>
      </c>
      <c r="I168" s="20">
        <f t="shared" si="1"/>
        <v>50</v>
      </c>
      <c r="J168" s="22" t="s">
        <v>235</v>
      </c>
      <c r="K168" s="16" t="s">
        <v>236</v>
      </c>
      <c r="L168" s="13" t="s">
        <v>232</v>
      </c>
    </row>
    <row r="169" ht="19.5" customHeight="1">
      <c r="A169" s="25" t="s">
        <v>985</v>
      </c>
      <c r="B169" s="25" t="s">
        <v>512</v>
      </c>
      <c r="C169" s="14" t="str">
        <f>IF(B169&lt;&gt;"",IFERROR(VLOOKUP(B169,'📦 Productos'!A:C,3,FALSE),""),"")</f>
        <v>CUTEX ESMALTE</v>
      </c>
      <c r="D169" s="25" t="s">
        <v>986</v>
      </c>
      <c r="E169" s="25" t="s">
        <v>232</v>
      </c>
      <c r="F169" s="26">
        <v>0.0</v>
      </c>
      <c r="G169" s="27">
        <v>5300.0</v>
      </c>
      <c r="H169" s="29">
        <v>2650.0</v>
      </c>
      <c r="I169" s="20">
        <f t="shared" si="1"/>
        <v>50</v>
      </c>
      <c r="J169" s="31" t="s">
        <v>235</v>
      </c>
      <c r="K169" s="26" t="s">
        <v>236</v>
      </c>
      <c r="L169" s="25" t="s">
        <v>232</v>
      </c>
    </row>
    <row r="170" ht="19.5" customHeight="1">
      <c r="A170" s="13" t="s">
        <v>990</v>
      </c>
      <c r="B170" s="13" t="s">
        <v>512</v>
      </c>
      <c r="C170" s="14" t="str">
        <f>IF(B170&lt;&gt;"",IFERROR(VLOOKUP(B170,'📦 Productos'!A:C,3,FALSE),""),"")</f>
        <v>CUTEX ESMALTE</v>
      </c>
      <c r="D170" s="13" t="s">
        <v>992</v>
      </c>
      <c r="E170" s="13" t="s">
        <v>232</v>
      </c>
      <c r="F170" s="16">
        <v>0.0</v>
      </c>
      <c r="G170" s="17">
        <v>5300.0</v>
      </c>
      <c r="H170" s="18">
        <v>3710.0</v>
      </c>
      <c r="I170" s="20">
        <f t="shared" si="1"/>
        <v>30</v>
      </c>
      <c r="J170" s="22" t="s">
        <v>235</v>
      </c>
      <c r="K170" s="16" t="s">
        <v>236</v>
      </c>
      <c r="L170" s="13" t="s">
        <v>232</v>
      </c>
    </row>
    <row r="171" ht="19.5" customHeight="1">
      <c r="A171" s="25" t="s">
        <v>995</v>
      </c>
      <c r="B171" s="25" t="s">
        <v>512</v>
      </c>
      <c r="C171" s="14" t="str">
        <f>IF(B171&lt;&gt;"",IFERROR(VLOOKUP(B171,'📦 Productos'!A:C,3,FALSE),""),"")</f>
        <v>CUTEX ESMALTE</v>
      </c>
      <c r="D171" s="25" t="s">
        <v>997</v>
      </c>
      <c r="E171" s="25" t="s">
        <v>232</v>
      </c>
      <c r="F171" s="26">
        <v>0.0</v>
      </c>
      <c r="G171" s="27">
        <v>5300.0</v>
      </c>
      <c r="H171" s="29">
        <v>3710.0</v>
      </c>
      <c r="I171" s="20">
        <f t="shared" si="1"/>
        <v>30</v>
      </c>
      <c r="J171" s="31" t="s">
        <v>235</v>
      </c>
      <c r="K171" s="26" t="s">
        <v>236</v>
      </c>
      <c r="L171" s="25" t="s">
        <v>232</v>
      </c>
    </row>
    <row r="172" ht="19.5" customHeight="1">
      <c r="A172" s="13" t="s">
        <v>999</v>
      </c>
      <c r="B172" s="13" t="s">
        <v>512</v>
      </c>
      <c r="C172" s="14" t="str">
        <f>IF(B172&lt;&gt;"",IFERROR(VLOOKUP(B172,'📦 Productos'!A:C,3,FALSE),""),"")</f>
        <v>CUTEX ESMALTE</v>
      </c>
      <c r="D172" s="13" t="s">
        <v>1003</v>
      </c>
      <c r="E172" s="13" t="s">
        <v>232</v>
      </c>
      <c r="F172" s="16">
        <v>0.0</v>
      </c>
      <c r="G172" s="17">
        <v>5300.0</v>
      </c>
      <c r="H172" s="18">
        <v>3710.0</v>
      </c>
      <c r="I172" s="20">
        <f t="shared" si="1"/>
        <v>30</v>
      </c>
      <c r="J172" s="22" t="s">
        <v>235</v>
      </c>
      <c r="K172" s="16" t="s">
        <v>236</v>
      </c>
      <c r="L172" s="13" t="s">
        <v>232</v>
      </c>
    </row>
    <row r="173" ht="19.5" customHeight="1">
      <c r="A173" s="25" t="s">
        <v>1004</v>
      </c>
      <c r="B173" s="25" t="s">
        <v>512</v>
      </c>
      <c r="C173" s="14" t="str">
        <f>IF(B173&lt;&gt;"",IFERROR(VLOOKUP(B173,'📦 Productos'!A:C,3,FALSE),""),"")</f>
        <v>CUTEX ESMALTE</v>
      </c>
      <c r="D173" s="25" t="s">
        <v>1007</v>
      </c>
      <c r="E173" s="25" t="s">
        <v>232</v>
      </c>
      <c r="F173" s="26">
        <v>0.0</v>
      </c>
      <c r="G173" s="27">
        <v>5300.0</v>
      </c>
      <c r="H173" s="29">
        <v>3710.0</v>
      </c>
      <c r="I173" s="20">
        <f t="shared" si="1"/>
        <v>30</v>
      </c>
      <c r="J173" s="31" t="s">
        <v>235</v>
      </c>
      <c r="K173" s="26" t="s">
        <v>236</v>
      </c>
      <c r="L173" s="25" t="s">
        <v>232</v>
      </c>
    </row>
    <row r="174" ht="19.5" customHeight="1">
      <c r="A174" s="13" t="s">
        <v>1009</v>
      </c>
      <c r="B174" s="13" t="s">
        <v>512</v>
      </c>
      <c r="C174" s="14" t="str">
        <f>IF(B174&lt;&gt;"",IFERROR(VLOOKUP(B174,'📦 Productos'!A:C,3,FALSE),""),"")</f>
        <v>CUTEX ESMALTE</v>
      </c>
      <c r="D174" s="13" t="s">
        <v>1010</v>
      </c>
      <c r="E174" s="13" t="s">
        <v>232</v>
      </c>
      <c r="F174" s="16">
        <v>0.0</v>
      </c>
      <c r="G174" s="17">
        <v>5300.0</v>
      </c>
      <c r="H174" s="18">
        <v>3710.0</v>
      </c>
      <c r="I174" s="20">
        <f t="shared" si="1"/>
        <v>30</v>
      </c>
      <c r="J174" s="22" t="s">
        <v>235</v>
      </c>
      <c r="K174" s="16" t="s">
        <v>236</v>
      </c>
      <c r="L174" s="13" t="s">
        <v>232</v>
      </c>
    </row>
    <row r="175" ht="19.5" customHeight="1">
      <c r="A175" s="25" t="s">
        <v>1013</v>
      </c>
      <c r="B175" s="25" t="s">
        <v>512</v>
      </c>
      <c r="C175" s="14" t="str">
        <f>IF(B175&lt;&gt;"",IFERROR(VLOOKUP(B175,'📦 Productos'!A:C,3,FALSE),""),"")</f>
        <v>CUTEX ESMALTE</v>
      </c>
      <c r="D175" s="25" t="s">
        <v>1014</v>
      </c>
      <c r="E175" s="25" t="s">
        <v>232</v>
      </c>
      <c r="F175" s="26">
        <v>0.0</v>
      </c>
      <c r="G175" s="27">
        <v>5300.0</v>
      </c>
      <c r="H175" s="29">
        <v>3710.0</v>
      </c>
      <c r="I175" s="20">
        <f t="shared" si="1"/>
        <v>30</v>
      </c>
      <c r="J175" s="31" t="s">
        <v>235</v>
      </c>
      <c r="K175" s="26" t="s">
        <v>236</v>
      </c>
      <c r="L175" s="25" t="s">
        <v>232</v>
      </c>
    </row>
    <row r="176" ht="19.5" customHeight="1">
      <c r="A176" s="13" t="s">
        <v>1016</v>
      </c>
      <c r="B176" s="13" t="s">
        <v>512</v>
      </c>
      <c r="C176" s="14" t="str">
        <f>IF(B176&lt;&gt;"",IFERROR(VLOOKUP(B176,'📦 Productos'!A:C,3,FALSE),""),"")</f>
        <v>CUTEX ESMALTE</v>
      </c>
      <c r="D176" s="13" t="s">
        <v>1018</v>
      </c>
      <c r="E176" s="13" t="s">
        <v>232</v>
      </c>
      <c r="F176" s="16">
        <v>0.0</v>
      </c>
      <c r="G176" s="17">
        <v>5300.0</v>
      </c>
      <c r="H176" s="18">
        <v>2650.0</v>
      </c>
      <c r="I176" s="20">
        <f t="shared" si="1"/>
        <v>50</v>
      </c>
      <c r="J176" s="22" t="s">
        <v>235</v>
      </c>
      <c r="K176" s="16" t="s">
        <v>236</v>
      </c>
      <c r="L176" s="13" t="s">
        <v>232</v>
      </c>
    </row>
    <row r="177" ht="19.5" customHeight="1">
      <c r="A177" s="25" t="s">
        <v>1019</v>
      </c>
      <c r="B177" s="25" t="s">
        <v>512</v>
      </c>
      <c r="C177" s="14" t="str">
        <f>IF(B177&lt;&gt;"",IFERROR(VLOOKUP(B177,'📦 Productos'!A:C,3,FALSE),""),"")</f>
        <v>CUTEX ESMALTE</v>
      </c>
      <c r="D177" s="25" t="s">
        <v>1022</v>
      </c>
      <c r="E177" s="25" t="s">
        <v>232</v>
      </c>
      <c r="F177" s="26">
        <v>0.0</v>
      </c>
      <c r="G177" s="27">
        <v>5300.0</v>
      </c>
      <c r="H177" s="29">
        <v>2650.0</v>
      </c>
      <c r="I177" s="20">
        <f t="shared" si="1"/>
        <v>50</v>
      </c>
      <c r="J177" s="31" t="s">
        <v>235</v>
      </c>
      <c r="K177" s="26" t="s">
        <v>236</v>
      </c>
      <c r="L177" s="25" t="s">
        <v>232</v>
      </c>
    </row>
    <row r="178" ht="19.5" customHeight="1">
      <c r="A178" s="13" t="s">
        <v>1023</v>
      </c>
      <c r="B178" s="13" t="s">
        <v>512</v>
      </c>
      <c r="C178" s="14" t="str">
        <f>IF(B178&lt;&gt;"",IFERROR(VLOOKUP(B178,'📦 Productos'!A:C,3,FALSE),""),"")</f>
        <v>CUTEX ESMALTE</v>
      </c>
      <c r="D178" s="13" t="s">
        <v>1024</v>
      </c>
      <c r="E178" s="13" t="s">
        <v>232</v>
      </c>
      <c r="F178" s="16">
        <v>0.0</v>
      </c>
      <c r="G178" s="17">
        <v>5300.0</v>
      </c>
      <c r="H178" s="18">
        <v>3710.0</v>
      </c>
      <c r="I178" s="20">
        <f t="shared" si="1"/>
        <v>30</v>
      </c>
      <c r="J178" s="22" t="s">
        <v>235</v>
      </c>
      <c r="K178" s="16" t="s">
        <v>236</v>
      </c>
      <c r="L178" s="13" t="s">
        <v>232</v>
      </c>
    </row>
    <row r="179" ht="19.5" customHeight="1">
      <c r="A179" s="25" t="s">
        <v>1027</v>
      </c>
      <c r="B179" s="25" t="s">
        <v>512</v>
      </c>
      <c r="C179" s="14" t="str">
        <f>IF(B179&lt;&gt;"",IFERROR(VLOOKUP(B179,'📦 Productos'!A:C,3,FALSE),""),"")</f>
        <v>CUTEX ESMALTE</v>
      </c>
      <c r="D179" s="25" t="s">
        <v>1028</v>
      </c>
      <c r="E179" s="25" t="s">
        <v>232</v>
      </c>
      <c r="F179" s="26">
        <v>0.0</v>
      </c>
      <c r="G179" s="27">
        <v>5300.0</v>
      </c>
      <c r="H179" s="29">
        <v>2650.0</v>
      </c>
      <c r="I179" s="20">
        <f t="shared" si="1"/>
        <v>50</v>
      </c>
      <c r="J179" s="31" t="s">
        <v>235</v>
      </c>
      <c r="K179" s="26" t="s">
        <v>236</v>
      </c>
      <c r="L179" s="25" t="s">
        <v>232</v>
      </c>
    </row>
    <row r="180" ht="19.5" customHeight="1">
      <c r="A180" s="13" t="s">
        <v>1032</v>
      </c>
      <c r="B180" s="13" t="s">
        <v>512</v>
      </c>
      <c r="C180" s="14" t="str">
        <f>IF(B180&lt;&gt;"",IFERROR(VLOOKUP(B180,'📦 Productos'!A:C,3,FALSE),""),"")</f>
        <v>CUTEX ESMALTE</v>
      </c>
      <c r="D180" s="13" t="s">
        <v>1033</v>
      </c>
      <c r="E180" s="13" t="s">
        <v>232</v>
      </c>
      <c r="F180" s="16">
        <v>0.0</v>
      </c>
      <c r="G180" s="17">
        <v>5300.0</v>
      </c>
      <c r="H180" s="18">
        <v>2650.0</v>
      </c>
      <c r="I180" s="20">
        <f t="shared" si="1"/>
        <v>50</v>
      </c>
      <c r="J180" s="22" t="s">
        <v>235</v>
      </c>
      <c r="K180" s="16" t="s">
        <v>236</v>
      </c>
      <c r="L180" s="13" t="s">
        <v>232</v>
      </c>
    </row>
    <row r="181" ht="19.5" customHeight="1">
      <c r="A181" s="25" t="s">
        <v>1036</v>
      </c>
      <c r="B181" s="25" t="s">
        <v>512</v>
      </c>
      <c r="C181" s="14" t="str">
        <f>IF(B181&lt;&gt;"",IFERROR(VLOOKUP(B181,'📦 Productos'!A:C,3,FALSE),""),"")</f>
        <v>CUTEX ESMALTE</v>
      </c>
      <c r="D181" s="25" t="s">
        <v>1038</v>
      </c>
      <c r="E181" s="25" t="s">
        <v>232</v>
      </c>
      <c r="F181" s="26">
        <v>0.0</v>
      </c>
      <c r="G181" s="27">
        <v>5300.0</v>
      </c>
      <c r="H181" s="29">
        <v>2650.0</v>
      </c>
      <c r="I181" s="20">
        <f t="shared" si="1"/>
        <v>50</v>
      </c>
      <c r="J181" s="31" t="s">
        <v>235</v>
      </c>
      <c r="K181" s="26" t="s">
        <v>236</v>
      </c>
      <c r="L181" s="25" t="s">
        <v>232</v>
      </c>
    </row>
    <row r="182" ht="19.5" customHeight="1">
      <c r="A182" s="13" t="s">
        <v>1039</v>
      </c>
      <c r="B182" s="13" t="s">
        <v>517</v>
      </c>
      <c r="C182" s="14" t="str">
        <f>IF(B182&lt;&gt;"",IFERROR(VLOOKUP(B182,'📦 Productos'!A:C,3,FALSE),""),"")</f>
        <v>CUTEX FORTALECEDOR UNAS CON CANNABIDIOL</v>
      </c>
      <c r="D182" s="13" t="s">
        <v>518</v>
      </c>
      <c r="E182" s="13" t="s">
        <v>232</v>
      </c>
      <c r="F182" s="16">
        <v>0.0</v>
      </c>
      <c r="G182" s="17">
        <v>6900.0</v>
      </c>
      <c r="H182" s="18">
        <v>4830.0</v>
      </c>
      <c r="I182" s="20">
        <f t="shared" si="1"/>
        <v>30</v>
      </c>
      <c r="J182" s="22" t="s">
        <v>235</v>
      </c>
      <c r="K182" s="16" t="s">
        <v>236</v>
      </c>
      <c r="L182" s="13" t="s">
        <v>232</v>
      </c>
    </row>
    <row r="183" ht="19.5" customHeight="1">
      <c r="A183" s="25" t="s">
        <v>1041</v>
      </c>
      <c r="B183" s="25" t="s">
        <v>522</v>
      </c>
      <c r="C183" s="14" t="str">
        <f>IF(B183&lt;&gt;"",IFERROR(VLOOKUP(B183,'📦 Productos'!A:C,3,FALSE),""),"")</f>
        <v>CUTEX FORTALECEDOR UNAS</v>
      </c>
      <c r="D183" s="25" t="s">
        <v>523</v>
      </c>
      <c r="E183" s="25" t="s">
        <v>232</v>
      </c>
      <c r="F183" s="26">
        <v>0.0</v>
      </c>
      <c r="G183" s="27">
        <v>5500.0</v>
      </c>
      <c r="H183" s="29">
        <v>3850.0</v>
      </c>
      <c r="I183" s="20">
        <f t="shared" si="1"/>
        <v>30</v>
      </c>
      <c r="J183" s="31" t="s">
        <v>235</v>
      </c>
      <c r="K183" s="26" t="s">
        <v>236</v>
      </c>
      <c r="L183" s="25" t="s">
        <v>232</v>
      </c>
    </row>
    <row r="184" ht="19.5" customHeight="1">
      <c r="A184" s="13" t="s">
        <v>1044</v>
      </c>
      <c r="B184" s="13" t="s">
        <v>526</v>
      </c>
      <c r="C184" s="14" t="str">
        <f>IF(B184&lt;&gt;"",IFERROR(VLOOKUP(B184,'📦 Productos'!A:C,3,FALSE),""),"")</f>
        <v>CUTEX QUICK DRY UNAS</v>
      </c>
      <c r="D184" s="13" t="s">
        <v>527</v>
      </c>
      <c r="E184" s="13" t="s">
        <v>232</v>
      </c>
      <c r="F184" s="16">
        <v>0.0</v>
      </c>
      <c r="G184" s="17">
        <v>6900.0</v>
      </c>
      <c r="H184" s="18">
        <v>4830.0</v>
      </c>
      <c r="I184" s="20">
        <f t="shared" si="1"/>
        <v>30</v>
      </c>
      <c r="J184" s="22" t="s">
        <v>235</v>
      </c>
      <c r="K184" s="16" t="s">
        <v>236</v>
      </c>
      <c r="L184" s="13" t="s">
        <v>232</v>
      </c>
    </row>
    <row r="185" ht="19.5" customHeight="1">
      <c r="A185" s="25" t="s">
        <v>1045</v>
      </c>
      <c r="B185" s="25" t="s">
        <v>531</v>
      </c>
      <c r="C185" s="14" t="str">
        <f>IF(B185&lt;&gt;"",IFERROR(VLOOKUP(B185,'📦 Productos'!A:C,3,FALSE),""),"")</f>
        <v>CUTEX FORTALECEDOR UNAS 8 EN 1</v>
      </c>
      <c r="D185" s="25" t="s">
        <v>532</v>
      </c>
      <c r="E185" s="25" t="s">
        <v>232</v>
      </c>
      <c r="F185" s="26">
        <v>0.0</v>
      </c>
      <c r="G185" s="27">
        <v>6900.0</v>
      </c>
      <c r="H185" s="29">
        <v>4830.0</v>
      </c>
      <c r="I185" s="20">
        <f t="shared" si="1"/>
        <v>30</v>
      </c>
      <c r="J185" s="31" t="s">
        <v>235</v>
      </c>
      <c r="K185" s="26" t="s">
        <v>236</v>
      </c>
      <c r="L185" s="25" t="s">
        <v>232</v>
      </c>
    </row>
    <row r="186" ht="19.5" customHeight="1">
      <c r="A186" s="13" t="s">
        <v>1048</v>
      </c>
      <c r="B186" s="13" t="s">
        <v>535</v>
      </c>
      <c r="C186" s="14" t="str">
        <f>IF(B186&lt;&gt;"",IFERROR(VLOOKUP(B186,'📦 Productos'!A:C,3,FALSE),""),"")</f>
        <v>CUTEX FORTALECEDOR UNAS ARGAN</v>
      </c>
      <c r="D186" s="13" t="s">
        <v>536</v>
      </c>
      <c r="E186" s="13" t="s">
        <v>232</v>
      </c>
      <c r="F186" s="16">
        <v>0.0</v>
      </c>
      <c r="G186" s="17">
        <v>6900.0</v>
      </c>
      <c r="H186" s="18">
        <v>3450.0</v>
      </c>
      <c r="I186" s="20">
        <f t="shared" si="1"/>
        <v>50</v>
      </c>
      <c r="J186" s="22" t="s">
        <v>235</v>
      </c>
      <c r="K186" s="16" t="s">
        <v>236</v>
      </c>
      <c r="L186" s="13" t="s">
        <v>232</v>
      </c>
    </row>
    <row r="187" ht="19.5" customHeight="1">
      <c r="A187" s="25" t="s">
        <v>1050</v>
      </c>
      <c r="B187" s="25" t="s">
        <v>539</v>
      </c>
      <c r="C187" s="14" t="str">
        <f>IF(B187&lt;&gt;"",IFERROR(VLOOKUP(B187,'📦 Productos'!A:C,3,FALSE),""),"")</f>
        <v>REVLON BASE AGE 3X</v>
      </c>
      <c r="D187" s="25" t="s">
        <v>232</v>
      </c>
      <c r="E187" s="25" t="s">
        <v>232</v>
      </c>
      <c r="F187" s="26">
        <v>0.0</v>
      </c>
      <c r="G187" s="27">
        <v>45900.0</v>
      </c>
      <c r="H187" s="29">
        <v>22950.0</v>
      </c>
      <c r="I187" s="20">
        <f t="shared" si="1"/>
        <v>50</v>
      </c>
      <c r="J187" s="31" t="s">
        <v>235</v>
      </c>
      <c r="K187" s="26" t="s">
        <v>236</v>
      </c>
      <c r="L187" s="25" t="s">
        <v>232</v>
      </c>
    </row>
    <row r="188" ht="19.5" customHeight="1">
      <c r="A188" s="13" t="s">
        <v>1053</v>
      </c>
      <c r="B188" s="13" t="s">
        <v>544</v>
      </c>
      <c r="C188" s="14" t="str">
        <f>IF(B188&lt;&gt;"",IFERROR(VLOOKUP(B188,'📦 Productos'!A:C,3,FALSE),""),"")</f>
        <v>REVLON AGE DEFYING 3X FUNDATION SPF 25</v>
      </c>
      <c r="D188" s="13" t="s">
        <v>546</v>
      </c>
      <c r="E188" s="13" t="s">
        <v>232</v>
      </c>
      <c r="F188" s="16">
        <v>0.0</v>
      </c>
      <c r="G188" s="17">
        <v>45900.0</v>
      </c>
      <c r="H188" s="18">
        <v>29835.0</v>
      </c>
      <c r="I188" s="20">
        <f t="shared" si="1"/>
        <v>35</v>
      </c>
      <c r="J188" s="22" t="s">
        <v>235</v>
      </c>
      <c r="K188" s="16" t="s">
        <v>236</v>
      </c>
      <c r="L188" s="13" t="s">
        <v>232</v>
      </c>
    </row>
    <row r="189" ht="19.5" customHeight="1">
      <c r="A189" s="25" t="s">
        <v>1057</v>
      </c>
      <c r="B189" s="25" t="s">
        <v>544</v>
      </c>
      <c r="C189" s="14" t="str">
        <f>IF(B189&lt;&gt;"",IFERROR(VLOOKUP(B189,'📦 Productos'!A:C,3,FALSE),""),"")</f>
        <v>REVLON AGE DEFYING 3X FUNDATION SPF 25</v>
      </c>
      <c r="D189" s="25" t="s">
        <v>1058</v>
      </c>
      <c r="E189" s="25" t="s">
        <v>232</v>
      </c>
      <c r="F189" s="26">
        <v>0.0</v>
      </c>
      <c r="G189" s="27">
        <v>45900.0</v>
      </c>
      <c r="H189" s="29">
        <v>29835.0</v>
      </c>
      <c r="I189" s="20">
        <f t="shared" si="1"/>
        <v>35</v>
      </c>
      <c r="J189" s="31" t="s">
        <v>235</v>
      </c>
      <c r="K189" s="26" t="s">
        <v>236</v>
      </c>
      <c r="L189" s="25" t="s">
        <v>232</v>
      </c>
    </row>
    <row r="190" ht="19.5" customHeight="1">
      <c r="A190" s="13" t="s">
        <v>1062</v>
      </c>
      <c r="B190" s="13" t="s">
        <v>544</v>
      </c>
      <c r="C190" s="14" t="str">
        <f>IF(B190&lt;&gt;"",IFERROR(VLOOKUP(B190,'📦 Productos'!A:C,3,FALSE),""),"")</f>
        <v>REVLON AGE DEFYING 3X FUNDATION SPF 25</v>
      </c>
      <c r="D190" s="13" t="s">
        <v>1064</v>
      </c>
      <c r="E190" s="13" t="s">
        <v>232</v>
      </c>
      <c r="F190" s="16">
        <v>0.0</v>
      </c>
      <c r="G190" s="17">
        <v>45900.0</v>
      </c>
      <c r="H190" s="18">
        <v>29835.0</v>
      </c>
      <c r="I190" s="20">
        <f t="shared" si="1"/>
        <v>35</v>
      </c>
      <c r="J190" s="22" t="s">
        <v>235</v>
      </c>
      <c r="K190" s="16" t="s">
        <v>236</v>
      </c>
      <c r="L190" s="13" t="s">
        <v>232</v>
      </c>
    </row>
    <row r="191" ht="19.5" customHeight="1">
      <c r="A191" s="25" t="s">
        <v>1068</v>
      </c>
      <c r="B191" s="25" t="s">
        <v>544</v>
      </c>
      <c r="C191" s="14" t="str">
        <f>IF(B191&lt;&gt;"",IFERROR(VLOOKUP(B191,'📦 Productos'!A:C,3,FALSE),""),"")</f>
        <v>REVLON AGE DEFYING 3X FUNDATION SPF 25</v>
      </c>
      <c r="D191" s="25" t="s">
        <v>1069</v>
      </c>
      <c r="E191" s="25" t="s">
        <v>232</v>
      </c>
      <c r="F191" s="26">
        <v>0.0</v>
      </c>
      <c r="G191" s="27">
        <v>45900.0</v>
      </c>
      <c r="H191" s="29">
        <v>29835.0</v>
      </c>
      <c r="I191" s="20">
        <f t="shared" si="1"/>
        <v>35</v>
      </c>
      <c r="J191" s="31" t="s">
        <v>235</v>
      </c>
      <c r="K191" s="26" t="s">
        <v>236</v>
      </c>
      <c r="L191" s="25" t="s">
        <v>232</v>
      </c>
    </row>
    <row r="192" ht="19.5" customHeight="1">
      <c r="A192" s="13" t="s">
        <v>1071</v>
      </c>
      <c r="B192" s="13" t="s">
        <v>544</v>
      </c>
      <c r="C192" s="14" t="str">
        <f>IF(B192&lt;&gt;"",IFERROR(VLOOKUP(B192,'📦 Productos'!A:C,3,FALSE),""),"")</f>
        <v>REVLON AGE DEFYING 3X FUNDATION SPF 25</v>
      </c>
      <c r="D192" s="13" t="s">
        <v>1072</v>
      </c>
      <c r="E192" s="13" t="s">
        <v>232</v>
      </c>
      <c r="F192" s="16">
        <v>0.0</v>
      </c>
      <c r="G192" s="17">
        <v>45900.0</v>
      </c>
      <c r="H192" s="18">
        <v>29835.0</v>
      </c>
      <c r="I192" s="20">
        <f t="shared" si="1"/>
        <v>35</v>
      </c>
      <c r="J192" s="22" t="s">
        <v>235</v>
      </c>
      <c r="K192" s="16" t="s">
        <v>236</v>
      </c>
      <c r="L192" s="13" t="s">
        <v>232</v>
      </c>
    </row>
    <row r="193" ht="19.5" customHeight="1">
      <c r="A193" s="25" t="s">
        <v>1076</v>
      </c>
      <c r="B193" s="25" t="s">
        <v>551</v>
      </c>
      <c r="C193" s="14" t="str">
        <f>IF(B193&lt;&gt;"",IFERROR(VLOOKUP(B193,'📦 Productos'!A:C,3,FALSE),""),"")</f>
        <v>REVLON BASE COL LIG</v>
      </c>
      <c r="D193" s="25" t="s">
        <v>232</v>
      </c>
      <c r="E193" s="25" t="s">
        <v>232</v>
      </c>
      <c r="F193" s="26">
        <v>0.0</v>
      </c>
      <c r="G193" s="27">
        <v>22600.0</v>
      </c>
      <c r="H193" s="29">
        <v>11300.0</v>
      </c>
      <c r="I193" s="20">
        <f t="shared" si="1"/>
        <v>50</v>
      </c>
      <c r="J193" s="31" t="s">
        <v>235</v>
      </c>
      <c r="K193" s="26" t="s">
        <v>236</v>
      </c>
      <c r="L193" s="25" t="s">
        <v>232</v>
      </c>
    </row>
    <row r="194" ht="19.5" customHeight="1">
      <c r="A194" s="13" t="s">
        <v>1079</v>
      </c>
      <c r="B194" s="13" t="s">
        <v>555</v>
      </c>
      <c r="C194" s="14" t="str">
        <f>IF(B194&lt;&gt;"",IFERROR(VLOOKUP(B194,'📦 Productos'!A:C,3,FALSE),""),"")</f>
        <v>REVLON COLORSTAY LONGWEAR MAKEUP SPF 15 NORMAL-SECA</v>
      </c>
      <c r="D194" s="13" t="s">
        <v>557</v>
      </c>
      <c r="E194" s="13" t="s">
        <v>232</v>
      </c>
      <c r="F194" s="16">
        <v>0.0</v>
      </c>
      <c r="G194" s="17">
        <v>41500.0</v>
      </c>
      <c r="H194" s="18">
        <v>26975.0</v>
      </c>
      <c r="I194" s="20">
        <f t="shared" si="1"/>
        <v>35</v>
      </c>
      <c r="J194" s="22" t="s">
        <v>235</v>
      </c>
      <c r="K194" s="16" t="s">
        <v>236</v>
      </c>
      <c r="L194" s="13" t="s">
        <v>232</v>
      </c>
    </row>
    <row r="195" ht="19.5" customHeight="1">
      <c r="A195" s="25" t="s">
        <v>1082</v>
      </c>
      <c r="B195" s="25" t="s">
        <v>555</v>
      </c>
      <c r="C195" s="14" t="str">
        <f>IF(B195&lt;&gt;"",IFERROR(VLOOKUP(B195,'📦 Productos'!A:C,3,FALSE),""),"")</f>
        <v>REVLON COLORSTAY LONGWEAR MAKEUP SPF 15 NORMAL-SECA</v>
      </c>
      <c r="D195" s="25" t="s">
        <v>1083</v>
      </c>
      <c r="E195" s="25" t="s">
        <v>232</v>
      </c>
      <c r="F195" s="26">
        <v>0.0</v>
      </c>
      <c r="G195" s="27">
        <v>41500.0</v>
      </c>
      <c r="H195" s="29">
        <v>26975.0</v>
      </c>
      <c r="I195" s="20">
        <f t="shared" si="1"/>
        <v>35</v>
      </c>
      <c r="J195" s="31" t="s">
        <v>235</v>
      </c>
      <c r="K195" s="26" t="s">
        <v>236</v>
      </c>
      <c r="L195" s="25" t="s">
        <v>232</v>
      </c>
    </row>
    <row r="196" ht="19.5" customHeight="1">
      <c r="A196" s="13" t="s">
        <v>1087</v>
      </c>
      <c r="B196" s="13" t="s">
        <v>555</v>
      </c>
      <c r="C196" s="14" t="str">
        <f>IF(B196&lt;&gt;"",IFERROR(VLOOKUP(B196,'📦 Productos'!A:C,3,FALSE),""),"")</f>
        <v>REVLON COLORSTAY LONGWEAR MAKEUP SPF 15 NORMAL-SECA</v>
      </c>
      <c r="D196" s="13" t="s">
        <v>1088</v>
      </c>
      <c r="E196" s="13" t="s">
        <v>232</v>
      </c>
      <c r="F196" s="16">
        <v>0.0</v>
      </c>
      <c r="G196" s="17">
        <v>41500.0</v>
      </c>
      <c r="H196" s="18">
        <v>26975.0</v>
      </c>
      <c r="I196" s="20">
        <f t="shared" si="1"/>
        <v>35</v>
      </c>
      <c r="J196" s="22" t="s">
        <v>235</v>
      </c>
      <c r="K196" s="16" t="s">
        <v>236</v>
      </c>
      <c r="L196" s="13" t="s">
        <v>232</v>
      </c>
    </row>
    <row r="197" ht="19.5" customHeight="1">
      <c r="A197" s="25" t="s">
        <v>1089</v>
      </c>
      <c r="B197" s="25" t="s">
        <v>555</v>
      </c>
      <c r="C197" s="14" t="str">
        <f>IF(B197&lt;&gt;"",IFERROR(VLOOKUP(B197,'📦 Productos'!A:C,3,FALSE),""),"")</f>
        <v>REVLON COLORSTAY LONGWEAR MAKEUP SPF 15 NORMAL-SECA</v>
      </c>
      <c r="D197" s="25" t="s">
        <v>1093</v>
      </c>
      <c r="E197" s="25" t="s">
        <v>232</v>
      </c>
      <c r="F197" s="26">
        <v>0.0</v>
      </c>
      <c r="G197" s="27">
        <v>41500.0</v>
      </c>
      <c r="H197" s="29">
        <v>26975.0</v>
      </c>
      <c r="I197" s="20">
        <f t="shared" si="1"/>
        <v>35</v>
      </c>
      <c r="J197" s="31" t="s">
        <v>235</v>
      </c>
      <c r="K197" s="26" t="s">
        <v>236</v>
      </c>
      <c r="L197" s="25" t="s">
        <v>232</v>
      </c>
    </row>
    <row r="198" ht="19.5" customHeight="1">
      <c r="A198" s="13" t="s">
        <v>1094</v>
      </c>
      <c r="B198" s="13" t="s">
        <v>555</v>
      </c>
      <c r="C198" s="14" t="str">
        <f>IF(B198&lt;&gt;"",IFERROR(VLOOKUP(B198,'📦 Productos'!A:C,3,FALSE),""),"")</f>
        <v>REVLON COLORSTAY LONGWEAR MAKEUP SPF 15 NORMAL-SECA</v>
      </c>
      <c r="D198" s="13" t="s">
        <v>1098</v>
      </c>
      <c r="E198" s="13" t="s">
        <v>232</v>
      </c>
      <c r="F198" s="16">
        <v>0.0</v>
      </c>
      <c r="G198" s="17">
        <v>41500.0</v>
      </c>
      <c r="H198" s="18">
        <v>26975.0</v>
      </c>
      <c r="I198" s="20">
        <f t="shared" si="1"/>
        <v>35</v>
      </c>
      <c r="J198" s="22" t="s">
        <v>235</v>
      </c>
      <c r="K198" s="16" t="s">
        <v>236</v>
      </c>
      <c r="L198" s="13" t="s">
        <v>232</v>
      </c>
    </row>
    <row r="199" ht="19.5" customHeight="1">
      <c r="A199" s="25" t="s">
        <v>1100</v>
      </c>
      <c r="B199" s="25" t="s">
        <v>561</v>
      </c>
      <c r="C199" s="14" t="str">
        <f>IF(B199&lt;&gt;"",IFERROR(VLOOKUP(B199,'📦 Productos'!A:C,3,FALSE),""),"")</f>
        <v>REVLON COLORSTAY LONGWEAR MAKEUP SPF 15 COMBINADA GRASA</v>
      </c>
      <c r="D199" s="25" t="s">
        <v>562</v>
      </c>
      <c r="E199" s="25" t="s">
        <v>232</v>
      </c>
      <c r="F199" s="26">
        <v>0.0</v>
      </c>
      <c r="G199" s="27">
        <v>41500.0</v>
      </c>
      <c r="H199" s="29">
        <v>26975.0</v>
      </c>
      <c r="I199" s="20">
        <f t="shared" si="1"/>
        <v>35</v>
      </c>
      <c r="J199" s="31" t="s">
        <v>235</v>
      </c>
      <c r="K199" s="26" t="s">
        <v>236</v>
      </c>
      <c r="L199" s="25" t="s">
        <v>232</v>
      </c>
    </row>
    <row r="200" ht="19.5" customHeight="1">
      <c r="A200" s="13" t="s">
        <v>1104</v>
      </c>
      <c r="B200" s="13" t="s">
        <v>561</v>
      </c>
      <c r="C200" s="14" t="str">
        <f>IF(B200&lt;&gt;"",IFERROR(VLOOKUP(B200,'📦 Productos'!A:C,3,FALSE),""),"")</f>
        <v>REVLON COLORSTAY LONGWEAR MAKEUP SPF 15 COMBINADA GRASA</v>
      </c>
      <c r="D200" s="13" t="s">
        <v>1105</v>
      </c>
      <c r="E200" s="13" t="s">
        <v>232</v>
      </c>
      <c r="F200" s="16">
        <v>0.0</v>
      </c>
      <c r="G200" s="17">
        <v>41500.0</v>
      </c>
      <c r="H200" s="18">
        <v>26975.0</v>
      </c>
      <c r="I200" s="20">
        <f t="shared" si="1"/>
        <v>35</v>
      </c>
      <c r="J200" s="22" t="s">
        <v>235</v>
      </c>
      <c r="K200" s="16" t="s">
        <v>236</v>
      </c>
      <c r="L200" s="13" t="s">
        <v>232</v>
      </c>
    </row>
    <row r="201" ht="19.5" customHeight="1">
      <c r="A201" s="25" t="s">
        <v>1108</v>
      </c>
      <c r="B201" s="25" t="s">
        <v>561</v>
      </c>
      <c r="C201" s="14" t="str">
        <f>IF(B201&lt;&gt;"",IFERROR(VLOOKUP(B201,'📦 Productos'!A:C,3,FALSE),""),"")</f>
        <v>REVLON COLORSTAY LONGWEAR MAKEUP SPF 15 COMBINADA GRASA</v>
      </c>
      <c r="D201" s="25" t="s">
        <v>1109</v>
      </c>
      <c r="E201" s="25" t="s">
        <v>232</v>
      </c>
      <c r="F201" s="26">
        <v>0.0</v>
      </c>
      <c r="G201" s="27">
        <v>41500.0</v>
      </c>
      <c r="H201" s="29">
        <v>26975.0</v>
      </c>
      <c r="I201" s="20">
        <f t="shared" si="1"/>
        <v>35</v>
      </c>
      <c r="J201" s="31" t="s">
        <v>235</v>
      </c>
      <c r="K201" s="26" t="s">
        <v>236</v>
      </c>
      <c r="L201" s="25" t="s">
        <v>232</v>
      </c>
    </row>
    <row r="202" ht="19.5" customHeight="1">
      <c r="A202" s="13" t="s">
        <v>1112</v>
      </c>
      <c r="B202" s="13" t="s">
        <v>561</v>
      </c>
      <c r="C202" s="14" t="str">
        <f>IF(B202&lt;&gt;"",IFERROR(VLOOKUP(B202,'📦 Productos'!A:C,3,FALSE),""),"")</f>
        <v>REVLON COLORSTAY LONGWEAR MAKEUP SPF 15 COMBINADA GRASA</v>
      </c>
      <c r="D202" s="13" t="s">
        <v>1113</v>
      </c>
      <c r="E202" s="13" t="s">
        <v>232</v>
      </c>
      <c r="F202" s="16">
        <v>0.0</v>
      </c>
      <c r="G202" s="17">
        <v>41500.0</v>
      </c>
      <c r="H202" s="18">
        <v>26975.0</v>
      </c>
      <c r="I202" s="20">
        <f t="shared" si="1"/>
        <v>35</v>
      </c>
      <c r="J202" s="22" t="s">
        <v>235</v>
      </c>
      <c r="K202" s="16" t="s">
        <v>236</v>
      </c>
      <c r="L202" s="13" t="s">
        <v>232</v>
      </c>
    </row>
    <row r="203" ht="19.5" customHeight="1">
      <c r="A203" s="25" t="s">
        <v>1117</v>
      </c>
      <c r="B203" s="25" t="s">
        <v>561</v>
      </c>
      <c r="C203" s="14" t="str">
        <f>IF(B203&lt;&gt;"",IFERROR(VLOOKUP(B203,'📦 Productos'!A:C,3,FALSE),""),"")</f>
        <v>REVLON COLORSTAY LONGWEAR MAKEUP SPF 15 COMBINADA GRASA</v>
      </c>
      <c r="D203" s="25" t="s">
        <v>1118</v>
      </c>
      <c r="E203" s="25" t="s">
        <v>232</v>
      </c>
      <c r="F203" s="26">
        <v>0.0</v>
      </c>
      <c r="G203" s="27">
        <v>41500.0</v>
      </c>
      <c r="H203" s="29">
        <v>26975.0</v>
      </c>
      <c r="I203" s="20">
        <f t="shared" si="1"/>
        <v>35</v>
      </c>
      <c r="J203" s="31" t="s">
        <v>235</v>
      </c>
      <c r="K203" s="26" t="s">
        <v>236</v>
      </c>
      <c r="L203" s="25" t="s">
        <v>232</v>
      </c>
    </row>
    <row r="204" ht="19.5" customHeight="1">
      <c r="A204" s="13" t="s">
        <v>1120</v>
      </c>
      <c r="B204" s="13" t="s">
        <v>566</v>
      </c>
      <c r="C204" s="14" t="str">
        <f>IF(B204&lt;&gt;"",IFERROR(VLOOKUP(B204,'📦 Productos'!A:C,3,FALSE),""),"")</f>
        <v>REVLON COLORSTAY SEMI-PERMANENT BROW INK BLONDE</v>
      </c>
      <c r="D204" s="13" t="s">
        <v>567</v>
      </c>
      <c r="E204" s="13" t="s">
        <v>232</v>
      </c>
      <c r="F204" s="16">
        <v>0.0</v>
      </c>
      <c r="G204" s="17">
        <v>24300.0</v>
      </c>
      <c r="H204" s="18">
        <v>12150.0</v>
      </c>
      <c r="I204" s="20">
        <f t="shared" si="1"/>
        <v>50</v>
      </c>
      <c r="J204" s="22" t="s">
        <v>235</v>
      </c>
      <c r="K204" s="16" t="s">
        <v>236</v>
      </c>
      <c r="L204" s="13" t="s">
        <v>232</v>
      </c>
    </row>
    <row r="205" ht="19.5" customHeight="1">
      <c r="A205" s="25" t="s">
        <v>1124</v>
      </c>
      <c r="B205" s="25" t="s">
        <v>573</v>
      </c>
      <c r="C205" s="14" t="str">
        <f>IF(B205&lt;&gt;"",IFERROR(VLOOKUP(B205,'📦 Productos'!A:C,3,FALSE),""),"")</f>
        <v>REVLON COLORSTAY SEMI-PERMANENT BROW INK SOFT BROWN</v>
      </c>
      <c r="D205" s="25" t="s">
        <v>574</v>
      </c>
      <c r="E205" s="25" t="s">
        <v>232</v>
      </c>
      <c r="F205" s="26">
        <v>0.0</v>
      </c>
      <c r="G205" s="27">
        <v>24300.0</v>
      </c>
      <c r="H205" s="29">
        <v>12150.0</v>
      </c>
      <c r="I205" s="20">
        <f t="shared" si="1"/>
        <v>50</v>
      </c>
      <c r="J205" s="31" t="s">
        <v>235</v>
      </c>
      <c r="K205" s="26" t="s">
        <v>236</v>
      </c>
      <c r="L205" s="25" t="s">
        <v>232</v>
      </c>
    </row>
    <row r="206" ht="19.5" customHeight="1">
      <c r="A206" s="13" t="s">
        <v>1128</v>
      </c>
      <c r="B206" s="13" t="s">
        <v>579</v>
      </c>
      <c r="C206" s="14" t="str">
        <f>IF(B206&lt;&gt;"",IFERROR(VLOOKUP(B206,'📦 Productos'!A:C,3,FALSE),""),"")</f>
        <v>REVLON PHOTOREADY ROSE GLOW MIST BRUMA</v>
      </c>
      <c r="D206" s="13" t="s">
        <v>580</v>
      </c>
      <c r="E206" s="13" t="s">
        <v>232</v>
      </c>
      <c r="F206" s="16">
        <v>0.0</v>
      </c>
      <c r="G206" s="17">
        <v>32600.0</v>
      </c>
      <c r="H206" s="18">
        <v>21190.0</v>
      </c>
      <c r="I206" s="20">
        <f t="shared" si="1"/>
        <v>35</v>
      </c>
      <c r="J206" s="22" t="s">
        <v>235</v>
      </c>
      <c r="K206" s="16" t="s">
        <v>236</v>
      </c>
      <c r="L206" s="13" t="s">
        <v>232</v>
      </c>
    </row>
    <row r="207" ht="19.5" customHeight="1">
      <c r="A207" s="25" t="s">
        <v>1131</v>
      </c>
      <c r="B207" s="25" t="s">
        <v>579</v>
      </c>
      <c r="C207" s="14" t="str">
        <f>IF(B207&lt;&gt;"",IFERROR(VLOOKUP(B207,'📦 Productos'!A:C,3,FALSE),""),"")</f>
        <v>REVLON PHOTOREADY ROSE GLOW MIST BRUMA</v>
      </c>
      <c r="D207" s="25" t="s">
        <v>580</v>
      </c>
      <c r="E207" s="25" t="s">
        <v>232</v>
      </c>
      <c r="F207" s="26">
        <v>0.0</v>
      </c>
      <c r="G207" s="27">
        <v>32600.0</v>
      </c>
      <c r="H207" s="29">
        <v>21190.0</v>
      </c>
      <c r="I207" s="20">
        <f t="shared" si="1"/>
        <v>35</v>
      </c>
      <c r="J207" s="31" t="s">
        <v>235</v>
      </c>
      <c r="K207" s="26" t="s">
        <v>236</v>
      </c>
      <c r="L207" s="25" t="s">
        <v>232</v>
      </c>
    </row>
    <row r="208" ht="19.5" customHeight="1">
      <c r="A208" s="13" t="s">
        <v>1134</v>
      </c>
      <c r="B208" s="13" t="s">
        <v>584</v>
      </c>
      <c r="C208" s="14" t="str">
        <f>IF(B208&lt;&gt;"",IFERROR(VLOOKUP(B208,'📦 Productos'!A:C,3,FALSE),""),"")</f>
        <v>REVLON CANDID FOND DE TEINT</v>
      </c>
      <c r="D208" s="13" t="s">
        <v>232</v>
      </c>
      <c r="E208" s="13" t="s">
        <v>232</v>
      </c>
      <c r="F208" s="16">
        <v>0.0</v>
      </c>
      <c r="G208" s="17">
        <v>22600.0</v>
      </c>
      <c r="H208" s="18">
        <v>11300.0</v>
      </c>
      <c r="I208" s="20">
        <f t="shared" si="1"/>
        <v>50</v>
      </c>
      <c r="J208" s="22" t="s">
        <v>235</v>
      </c>
      <c r="K208" s="16" t="s">
        <v>236</v>
      </c>
      <c r="L208" s="13" t="s">
        <v>232</v>
      </c>
    </row>
    <row r="209" ht="19.5" customHeight="1">
      <c r="A209" s="25" t="s">
        <v>1136</v>
      </c>
      <c r="B209" s="25" t="s">
        <v>588</v>
      </c>
      <c r="C209" s="14" t="str">
        <f>IF(B209&lt;&gt;"",IFERROR(VLOOKUP(B209,'📦 Productos'!A:C,3,FALSE),""),"")</f>
        <v>REVLON COL ANTI CONC</v>
      </c>
      <c r="D209" s="25" t="s">
        <v>232</v>
      </c>
      <c r="E209" s="25" t="s">
        <v>232</v>
      </c>
      <c r="F209" s="26">
        <v>0.0</v>
      </c>
      <c r="G209" s="27">
        <v>31600.0</v>
      </c>
      <c r="H209" s="29">
        <v>15800.0</v>
      </c>
      <c r="I209" s="20">
        <f t="shared" si="1"/>
        <v>50</v>
      </c>
      <c r="J209" s="31" t="s">
        <v>235</v>
      </c>
      <c r="K209" s="26" t="s">
        <v>236</v>
      </c>
      <c r="L209" s="25" t="s">
        <v>232</v>
      </c>
    </row>
    <row r="210" ht="19.5" customHeight="1">
      <c r="A210" s="13" t="s">
        <v>1138</v>
      </c>
      <c r="B210" s="13" t="s">
        <v>588</v>
      </c>
      <c r="C210" s="14" t="str">
        <f>IF(B210&lt;&gt;"",IFERROR(VLOOKUP(B210,'📦 Productos'!A:C,3,FALSE),""),"")</f>
        <v>REVLON COL ANTI CONC</v>
      </c>
      <c r="D210" s="13" t="s">
        <v>232</v>
      </c>
      <c r="E210" s="13" t="s">
        <v>232</v>
      </c>
      <c r="F210" s="16">
        <v>0.0</v>
      </c>
      <c r="G210" s="17">
        <v>31600.0</v>
      </c>
      <c r="H210" s="18">
        <v>15800.0</v>
      </c>
      <c r="I210" s="20">
        <f t="shared" si="1"/>
        <v>50</v>
      </c>
      <c r="J210" s="22" t="s">
        <v>235</v>
      </c>
      <c r="K210" s="16" t="s">
        <v>236</v>
      </c>
      <c r="L210" s="13" t="s">
        <v>232</v>
      </c>
    </row>
    <row r="211" ht="19.5" customHeight="1">
      <c r="A211" s="25" t="s">
        <v>1142</v>
      </c>
      <c r="B211" s="25" t="s">
        <v>592</v>
      </c>
      <c r="C211" s="14" t="str">
        <f>IF(B211&lt;&gt;"",IFERROR(VLOOKUP(B211,'📦 Productos'!A:C,3,FALSE),""),"")</f>
        <v>REVLON COLORSTAY BROW FIBER FILLER GEL TRANSPARENTE</v>
      </c>
      <c r="D211" s="25" t="s">
        <v>593</v>
      </c>
      <c r="E211" s="25" t="s">
        <v>232</v>
      </c>
      <c r="F211" s="26">
        <v>0.0</v>
      </c>
      <c r="G211" s="27">
        <v>24300.0</v>
      </c>
      <c r="H211" s="29">
        <v>12150.0</v>
      </c>
      <c r="I211" s="20">
        <f t="shared" si="1"/>
        <v>50</v>
      </c>
      <c r="J211" s="31" t="s">
        <v>235</v>
      </c>
      <c r="K211" s="26" t="s">
        <v>236</v>
      </c>
      <c r="L211" s="25" t="s">
        <v>232</v>
      </c>
    </row>
    <row r="212" ht="19.5" customHeight="1">
      <c r="A212" s="13" t="s">
        <v>1146</v>
      </c>
      <c r="B212" s="13" t="s">
        <v>599</v>
      </c>
      <c r="C212" s="14" t="str">
        <f>IF(B212&lt;&gt;"",IFERROR(VLOOKUP(B212,'📦 Productos'!A:C,3,FALSE),""),"")</f>
        <v>REVLON COLORSTAY CREME EYE SHADOW</v>
      </c>
      <c r="D212" s="13" t="s">
        <v>600</v>
      </c>
      <c r="E212" s="13" t="s">
        <v>232</v>
      </c>
      <c r="F212" s="16">
        <v>0.0</v>
      </c>
      <c r="G212" s="17">
        <v>28400.0</v>
      </c>
      <c r="H212" s="18"/>
      <c r="I212" s="20">
        <f t="shared" si="1"/>
        <v>0</v>
      </c>
      <c r="J212" s="22" t="s">
        <v>235</v>
      </c>
      <c r="K212" s="16" t="s">
        <v>236</v>
      </c>
      <c r="L212" s="13" t="s">
        <v>232</v>
      </c>
    </row>
    <row r="213" ht="19.5" customHeight="1">
      <c r="A213" s="25" t="s">
        <v>1150</v>
      </c>
      <c r="B213" s="25" t="s">
        <v>599</v>
      </c>
      <c r="C213" s="14" t="str">
        <f>IF(B213&lt;&gt;"",IFERROR(VLOOKUP(B213,'📦 Productos'!A:C,3,FALSE),""),"")</f>
        <v>REVLON COLORSTAY CREME EYE SHADOW</v>
      </c>
      <c r="D213" s="25" t="s">
        <v>1152</v>
      </c>
      <c r="E213" s="25" t="s">
        <v>232</v>
      </c>
      <c r="F213" s="26">
        <v>0.0</v>
      </c>
      <c r="G213" s="27">
        <v>28400.0</v>
      </c>
      <c r="H213" s="29"/>
      <c r="I213" s="20">
        <f t="shared" si="1"/>
        <v>0</v>
      </c>
      <c r="J213" s="31" t="s">
        <v>235</v>
      </c>
      <c r="K213" s="26" t="s">
        <v>236</v>
      </c>
      <c r="L213" s="25" t="s">
        <v>232</v>
      </c>
    </row>
    <row r="214" ht="19.5" customHeight="1">
      <c r="A214" s="13" t="s">
        <v>1156</v>
      </c>
      <c r="B214" s="13" t="s">
        <v>599</v>
      </c>
      <c r="C214" s="14" t="str">
        <f>IF(B214&lt;&gt;"",IFERROR(VLOOKUP(B214,'📦 Productos'!A:C,3,FALSE),""),"")</f>
        <v>REVLON COLORSTAY CREME EYE SHADOW</v>
      </c>
      <c r="D214" s="13" t="s">
        <v>1157</v>
      </c>
      <c r="E214" s="13" t="s">
        <v>232</v>
      </c>
      <c r="F214" s="16">
        <v>0.0</v>
      </c>
      <c r="G214" s="17">
        <v>28400.0</v>
      </c>
      <c r="H214" s="18">
        <v>14200.0</v>
      </c>
      <c r="I214" s="20">
        <f t="shared" si="1"/>
        <v>50</v>
      </c>
      <c r="J214" s="22" t="s">
        <v>235</v>
      </c>
      <c r="K214" s="16" t="s">
        <v>236</v>
      </c>
      <c r="L214" s="13" t="s">
        <v>232</v>
      </c>
    </row>
    <row r="215" ht="19.5" customHeight="1">
      <c r="A215" s="25" t="s">
        <v>1159</v>
      </c>
      <c r="B215" s="25" t="s">
        <v>606</v>
      </c>
      <c r="C215" s="14" t="str">
        <f>IF(B215&lt;&gt;"",IFERROR(VLOOKUP(B215,'📦 Productos'!A:C,3,FALSE),""),"")</f>
        <v>REVLON COL SHADOW CRE</v>
      </c>
      <c r="D215" s="25" t="s">
        <v>232</v>
      </c>
      <c r="E215" s="25" t="s">
        <v>232</v>
      </c>
      <c r="F215" s="26">
        <v>0.0</v>
      </c>
      <c r="G215" s="27">
        <v>28400.0</v>
      </c>
      <c r="H215" s="29">
        <v>14200.0</v>
      </c>
      <c r="I215" s="20">
        <f t="shared" si="1"/>
        <v>50</v>
      </c>
      <c r="J215" s="31" t="s">
        <v>235</v>
      </c>
      <c r="K215" s="26" t="s">
        <v>236</v>
      </c>
      <c r="L215" s="25" t="s">
        <v>232</v>
      </c>
    </row>
    <row r="216" ht="19.5" customHeight="1">
      <c r="A216" s="13" t="s">
        <v>1164</v>
      </c>
      <c r="B216" s="13" t="s">
        <v>611</v>
      </c>
      <c r="C216" s="14" t="str">
        <f>IF(B216&lt;&gt;"",IFERROR(VLOOKUP(B216,'📦 Productos'!A:C,3,FALSE),""),"")</f>
        <v>REVLON COLORSTAY BLOT SETTING MATTE POWDER</v>
      </c>
      <c r="D216" s="13" t="s">
        <v>612</v>
      </c>
      <c r="E216" s="13" t="s">
        <v>232</v>
      </c>
      <c r="F216" s="16">
        <v>0.0</v>
      </c>
      <c r="G216" s="17">
        <v>26900.0</v>
      </c>
      <c r="H216" s="18">
        <v>17485.0</v>
      </c>
      <c r="I216" s="20">
        <f t="shared" si="1"/>
        <v>35</v>
      </c>
      <c r="J216" s="22" t="s">
        <v>235</v>
      </c>
      <c r="K216" s="16" t="s">
        <v>236</v>
      </c>
      <c r="L216" s="13" t="s">
        <v>232</v>
      </c>
    </row>
    <row r="217" ht="19.5" customHeight="1">
      <c r="A217" s="25" t="s">
        <v>1169</v>
      </c>
      <c r="B217" s="25" t="s">
        <v>618</v>
      </c>
      <c r="C217" s="14" t="str">
        <f>IF(B217&lt;&gt;"",IFERROR(VLOOKUP(B217,'📦 Productos'!A:C,3,FALSE),""),"")</f>
        <v>REVLON COLORSTAY GRIP MATTE PRIMER</v>
      </c>
      <c r="D217" s="25" t="s">
        <v>232</v>
      </c>
      <c r="E217" s="25" t="s">
        <v>232</v>
      </c>
      <c r="F217" s="26">
        <v>0.0</v>
      </c>
      <c r="G217" s="27">
        <v>19300.0</v>
      </c>
      <c r="H217" s="29">
        <v>9650.0</v>
      </c>
      <c r="I217" s="20">
        <f t="shared" si="1"/>
        <v>50</v>
      </c>
      <c r="J217" s="31" t="s">
        <v>235</v>
      </c>
      <c r="K217" s="26" t="s">
        <v>236</v>
      </c>
      <c r="L217" s="25" t="s">
        <v>232</v>
      </c>
    </row>
    <row r="218" ht="19.5" customHeight="1">
      <c r="A218" s="13" t="s">
        <v>1173</v>
      </c>
      <c r="B218" s="13" t="s">
        <v>623</v>
      </c>
      <c r="C218" s="14" t="str">
        <f>IF(B218&lt;&gt;"",IFERROR(VLOOKUP(B218,'📦 Productos'!A:C,3,FALSE),""),"")</f>
        <v>REVLON COLORSTAY LINE CREATOR</v>
      </c>
      <c r="D218" s="13" t="s">
        <v>232</v>
      </c>
      <c r="E218" s="13" t="s">
        <v>232</v>
      </c>
      <c r="F218" s="16">
        <v>0.0</v>
      </c>
      <c r="G218" s="17">
        <v>30700.0</v>
      </c>
      <c r="H218" s="18"/>
      <c r="I218" s="20">
        <f t="shared" si="1"/>
        <v>0</v>
      </c>
      <c r="J218" s="22" t="s">
        <v>235</v>
      </c>
      <c r="K218" s="16" t="s">
        <v>236</v>
      </c>
      <c r="L218" s="13" t="s">
        <v>232</v>
      </c>
    </row>
    <row r="219" ht="19.5" customHeight="1">
      <c r="A219" s="25" t="s">
        <v>1177</v>
      </c>
      <c r="B219" s="25" t="s">
        <v>623</v>
      </c>
      <c r="C219" s="14" t="str">
        <f>IF(B219&lt;&gt;"",IFERROR(VLOOKUP(B219,'📦 Productos'!A:C,3,FALSE),""),"")</f>
        <v>REVLON COLORSTAY LINE CREATOR</v>
      </c>
      <c r="D219" s="25" t="s">
        <v>232</v>
      </c>
      <c r="E219" s="25" t="s">
        <v>232</v>
      </c>
      <c r="F219" s="26">
        <v>0.0</v>
      </c>
      <c r="G219" s="27">
        <v>30700.0</v>
      </c>
      <c r="H219" s="29">
        <v>15350.0</v>
      </c>
      <c r="I219" s="20">
        <f t="shared" si="1"/>
        <v>50</v>
      </c>
      <c r="J219" s="31" t="s">
        <v>235</v>
      </c>
      <c r="K219" s="26" t="s">
        <v>236</v>
      </c>
      <c r="L219" s="25" t="s">
        <v>232</v>
      </c>
    </row>
    <row r="220" ht="19.5" customHeight="1">
      <c r="A220" s="13" t="s">
        <v>1179</v>
      </c>
      <c r="B220" s="13" t="s">
        <v>626</v>
      </c>
      <c r="C220" s="14" t="str">
        <f>IF(B220&lt;&gt;"",IFERROR(VLOOKUP(B220,'📦 Productos'!A:C,3,FALSE),""),"")</f>
        <v>REVLON COLORSTAY PRESSED POWDER</v>
      </c>
      <c r="D220" s="13" t="s">
        <v>627</v>
      </c>
      <c r="E220" s="13" t="s">
        <v>232</v>
      </c>
      <c r="F220" s="16">
        <v>0.0</v>
      </c>
      <c r="G220" s="17">
        <v>32500.0</v>
      </c>
      <c r="H220" s="18">
        <v>16250.0</v>
      </c>
      <c r="I220" s="20">
        <f t="shared" si="1"/>
        <v>50</v>
      </c>
      <c r="J220" s="22" t="s">
        <v>235</v>
      </c>
      <c r="K220" s="16" t="s">
        <v>236</v>
      </c>
      <c r="L220" s="13" t="s">
        <v>232</v>
      </c>
    </row>
    <row r="221" ht="19.5" customHeight="1">
      <c r="A221" s="25" t="s">
        <v>1183</v>
      </c>
      <c r="B221" s="25" t="s">
        <v>626</v>
      </c>
      <c r="C221" s="14" t="str">
        <f>IF(B221&lt;&gt;"",IFERROR(VLOOKUP(B221,'📦 Productos'!A:C,3,FALSE),""),"")</f>
        <v>REVLON COLORSTAY PRESSED POWDER</v>
      </c>
      <c r="D221" s="25" t="s">
        <v>1186</v>
      </c>
      <c r="E221" s="25" t="s">
        <v>232</v>
      </c>
      <c r="F221" s="26">
        <v>0.0</v>
      </c>
      <c r="G221" s="27">
        <v>31500.0</v>
      </c>
      <c r="H221" s="29">
        <v>20475.0</v>
      </c>
      <c r="I221" s="20">
        <f t="shared" si="1"/>
        <v>35</v>
      </c>
      <c r="J221" s="31" t="s">
        <v>235</v>
      </c>
      <c r="K221" s="26" t="s">
        <v>236</v>
      </c>
      <c r="L221" s="25" t="s">
        <v>232</v>
      </c>
    </row>
    <row r="222" ht="19.5" customHeight="1">
      <c r="A222" s="13" t="s">
        <v>1187</v>
      </c>
      <c r="B222" s="13" t="s">
        <v>626</v>
      </c>
      <c r="C222" s="14" t="str">
        <f>IF(B222&lt;&gt;"",IFERROR(VLOOKUP(B222,'📦 Productos'!A:C,3,FALSE),""),"")</f>
        <v>REVLON COLORSTAY PRESSED POWDER</v>
      </c>
      <c r="D222" s="13" t="s">
        <v>1188</v>
      </c>
      <c r="E222" s="13" t="s">
        <v>232</v>
      </c>
      <c r="F222" s="16">
        <v>0.0</v>
      </c>
      <c r="G222" s="17">
        <v>31500.0</v>
      </c>
      <c r="H222" s="18">
        <v>20475.0</v>
      </c>
      <c r="I222" s="20">
        <f t="shared" si="1"/>
        <v>35</v>
      </c>
      <c r="J222" s="22" t="s">
        <v>235</v>
      </c>
      <c r="K222" s="16" t="s">
        <v>236</v>
      </c>
      <c r="L222" s="13" t="s">
        <v>232</v>
      </c>
    </row>
    <row r="223" ht="19.5" customHeight="1">
      <c r="A223" s="25" t="s">
        <v>1191</v>
      </c>
      <c r="B223" s="25" t="s">
        <v>626</v>
      </c>
      <c r="C223" s="14" t="str">
        <f>IF(B223&lt;&gt;"",IFERROR(VLOOKUP(B223,'📦 Productos'!A:C,3,FALSE),""),"")</f>
        <v>REVLON COLORSTAY PRESSED POWDER</v>
      </c>
      <c r="D223" s="25" t="s">
        <v>1192</v>
      </c>
      <c r="E223" s="25" t="s">
        <v>232</v>
      </c>
      <c r="F223" s="26">
        <v>0.0</v>
      </c>
      <c r="G223" s="27">
        <v>31500.0</v>
      </c>
      <c r="H223" s="29">
        <v>20475.0</v>
      </c>
      <c r="I223" s="20">
        <f t="shared" si="1"/>
        <v>35</v>
      </c>
      <c r="J223" s="31" t="s">
        <v>235</v>
      </c>
      <c r="K223" s="26" t="s">
        <v>236</v>
      </c>
      <c r="L223" s="25" t="s">
        <v>232</v>
      </c>
    </row>
    <row r="224" ht="19.5" customHeight="1">
      <c r="A224" s="13" t="s">
        <v>1196</v>
      </c>
      <c r="B224" s="13" t="s">
        <v>631</v>
      </c>
      <c r="C224" s="14" t="str">
        <f>IF(B224&lt;&gt;"",IFERROR(VLOOKUP(B224,'📦 Productos'!A:C,3,FALSE),""),"")</f>
        <v>REVLON COLORSTAY SUEDE INK LIPSTICK</v>
      </c>
      <c r="D224" s="13" t="s">
        <v>632</v>
      </c>
      <c r="E224" s="13" t="s">
        <v>232</v>
      </c>
      <c r="F224" s="16">
        <v>0.0</v>
      </c>
      <c r="G224" s="17">
        <v>26900.0</v>
      </c>
      <c r="H224" s="18">
        <v>17485.0</v>
      </c>
      <c r="I224" s="20">
        <f t="shared" si="1"/>
        <v>35</v>
      </c>
      <c r="J224" s="22" t="s">
        <v>235</v>
      </c>
      <c r="K224" s="16" t="s">
        <v>236</v>
      </c>
      <c r="L224" s="13" t="s">
        <v>232</v>
      </c>
    </row>
    <row r="225" ht="19.5" customHeight="1">
      <c r="A225" s="25" t="s">
        <v>1200</v>
      </c>
      <c r="B225" s="25" t="s">
        <v>631</v>
      </c>
      <c r="C225" s="14" t="str">
        <f>IF(B225&lt;&gt;"",IFERROR(VLOOKUP(B225,'📦 Productos'!A:C,3,FALSE),""),"")</f>
        <v>REVLON COLORSTAY SUEDE INK LIPSTICK</v>
      </c>
      <c r="D225" s="25" t="s">
        <v>1202</v>
      </c>
      <c r="E225" s="25" t="s">
        <v>232</v>
      </c>
      <c r="F225" s="26">
        <v>0.0</v>
      </c>
      <c r="G225" s="27">
        <v>26900.0</v>
      </c>
      <c r="H225" s="29">
        <v>13450.0</v>
      </c>
      <c r="I225" s="20">
        <f t="shared" si="1"/>
        <v>50</v>
      </c>
      <c r="J225" s="31" t="s">
        <v>235</v>
      </c>
      <c r="K225" s="26" t="s">
        <v>236</v>
      </c>
      <c r="L225" s="25" t="s">
        <v>232</v>
      </c>
    </row>
    <row r="226" ht="19.5" customHeight="1">
      <c r="A226" s="13" t="s">
        <v>1203</v>
      </c>
      <c r="B226" s="13" t="s">
        <v>631</v>
      </c>
      <c r="C226" s="14" t="str">
        <f>IF(B226&lt;&gt;"",IFERROR(VLOOKUP(B226,'📦 Productos'!A:C,3,FALSE),""),"")</f>
        <v>REVLON COLORSTAY SUEDE INK LIPSTICK</v>
      </c>
      <c r="D226" s="13" t="s">
        <v>1206</v>
      </c>
      <c r="E226" s="13" t="s">
        <v>232</v>
      </c>
      <c r="F226" s="16">
        <v>0.0</v>
      </c>
      <c r="G226" s="17">
        <v>26900.0</v>
      </c>
      <c r="H226" s="18">
        <v>13450.0</v>
      </c>
      <c r="I226" s="20">
        <f t="shared" si="1"/>
        <v>50</v>
      </c>
      <c r="J226" s="22" t="s">
        <v>235</v>
      </c>
      <c r="K226" s="16" t="s">
        <v>236</v>
      </c>
      <c r="L226" s="13" t="s">
        <v>232</v>
      </c>
    </row>
    <row r="227" ht="19.5" customHeight="1">
      <c r="A227" s="25" t="s">
        <v>1207</v>
      </c>
      <c r="B227" s="25" t="s">
        <v>631</v>
      </c>
      <c r="C227" s="14" t="str">
        <f>IF(B227&lt;&gt;"",IFERROR(VLOOKUP(B227,'📦 Productos'!A:C,3,FALSE),""),"")</f>
        <v>REVLON COLORSTAY SUEDE INK LIPSTICK</v>
      </c>
      <c r="D227" s="25" t="s">
        <v>1210</v>
      </c>
      <c r="E227" s="25" t="s">
        <v>232</v>
      </c>
      <c r="F227" s="26">
        <v>0.0</v>
      </c>
      <c r="G227" s="27">
        <v>26900.0</v>
      </c>
      <c r="H227" s="29">
        <v>17485.0</v>
      </c>
      <c r="I227" s="20">
        <f t="shared" si="1"/>
        <v>35</v>
      </c>
      <c r="J227" s="31" t="s">
        <v>235</v>
      </c>
      <c r="K227" s="26" t="s">
        <v>236</v>
      </c>
      <c r="L227" s="25" t="s">
        <v>232</v>
      </c>
    </row>
    <row r="228" ht="19.5" customHeight="1">
      <c r="A228" s="13" t="s">
        <v>1211</v>
      </c>
      <c r="B228" s="13" t="s">
        <v>631</v>
      </c>
      <c r="C228" s="14" t="str">
        <f>IF(B228&lt;&gt;"",IFERROR(VLOOKUP(B228,'📦 Productos'!A:C,3,FALSE),""),"")</f>
        <v>REVLON COLORSTAY SUEDE INK LIPSTICK</v>
      </c>
      <c r="D228" s="13" t="s">
        <v>1212</v>
      </c>
      <c r="E228" s="13" t="s">
        <v>232</v>
      </c>
      <c r="F228" s="16">
        <v>0.0</v>
      </c>
      <c r="G228" s="17">
        <v>26900.0</v>
      </c>
      <c r="H228" s="18">
        <v>17485.0</v>
      </c>
      <c r="I228" s="20">
        <f t="shared" si="1"/>
        <v>35</v>
      </c>
      <c r="J228" s="22" t="s">
        <v>235</v>
      </c>
      <c r="K228" s="16" t="s">
        <v>236</v>
      </c>
      <c r="L228" s="13" t="s">
        <v>232</v>
      </c>
    </row>
    <row r="229" ht="19.5" customHeight="1">
      <c r="A229" s="25" t="s">
        <v>1215</v>
      </c>
      <c r="B229" s="25" t="s">
        <v>631</v>
      </c>
      <c r="C229" s="14" t="str">
        <f>IF(B229&lt;&gt;"",IFERROR(VLOOKUP(B229,'📦 Productos'!A:C,3,FALSE),""),"")</f>
        <v>REVLON COLORSTAY SUEDE INK LIPSTICK</v>
      </c>
      <c r="D229" s="25" t="s">
        <v>1216</v>
      </c>
      <c r="E229" s="25" t="s">
        <v>232</v>
      </c>
      <c r="F229" s="26">
        <v>0.0</v>
      </c>
      <c r="G229" s="27">
        <v>26900.0</v>
      </c>
      <c r="H229" s="29">
        <v>17485.0</v>
      </c>
      <c r="I229" s="20">
        <f t="shared" si="1"/>
        <v>35</v>
      </c>
      <c r="J229" s="31" t="s">
        <v>235</v>
      </c>
      <c r="K229" s="26" t="s">
        <v>236</v>
      </c>
      <c r="L229" s="25" t="s">
        <v>232</v>
      </c>
    </row>
    <row r="230" ht="19.5" customHeight="1">
      <c r="A230" s="13" t="s">
        <v>1219</v>
      </c>
      <c r="B230" s="13" t="s">
        <v>631</v>
      </c>
      <c r="C230" s="14" t="str">
        <f>IF(B230&lt;&gt;"",IFERROR(VLOOKUP(B230,'📦 Productos'!A:C,3,FALSE),""),"")</f>
        <v>REVLON COLORSTAY SUEDE INK LIPSTICK</v>
      </c>
      <c r="D230" s="13" t="s">
        <v>1220</v>
      </c>
      <c r="E230" s="13" t="s">
        <v>232</v>
      </c>
      <c r="F230" s="16">
        <v>0.0</v>
      </c>
      <c r="G230" s="17">
        <v>26900.0</v>
      </c>
      <c r="H230" s="18">
        <v>17485.0</v>
      </c>
      <c r="I230" s="20">
        <f t="shared" si="1"/>
        <v>35</v>
      </c>
      <c r="J230" s="22" t="s">
        <v>235</v>
      </c>
      <c r="K230" s="16" t="s">
        <v>236</v>
      </c>
      <c r="L230" s="13" t="s">
        <v>232</v>
      </c>
    </row>
    <row r="231" ht="19.5" customHeight="1">
      <c r="A231" s="25" t="s">
        <v>1221</v>
      </c>
      <c r="B231" s="25" t="s">
        <v>631</v>
      </c>
      <c r="C231" s="14" t="str">
        <f>IF(B231&lt;&gt;"",IFERROR(VLOOKUP(B231,'📦 Productos'!A:C,3,FALSE),""),"")</f>
        <v>REVLON COLORSTAY SUEDE INK LIPSTICK</v>
      </c>
      <c r="D231" s="25" t="s">
        <v>1225</v>
      </c>
      <c r="E231" s="25" t="s">
        <v>232</v>
      </c>
      <c r="F231" s="26">
        <v>0.0</v>
      </c>
      <c r="G231" s="27">
        <v>26900.0</v>
      </c>
      <c r="H231" s="29">
        <v>17485.0</v>
      </c>
      <c r="I231" s="20">
        <f t="shared" si="1"/>
        <v>35</v>
      </c>
      <c r="J231" s="31" t="s">
        <v>235</v>
      </c>
      <c r="K231" s="26" t="s">
        <v>236</v>
      </c>
      <c r="L231" s="25" t="s">
        <v>232</v>
      </c>
    </row>
    <row r="232" ht="19.5" customHeight="1">
      <c r="A232" s="13" t="s">
        <v>1227</v>
      </c>
      <c r="B232" s="13" t="s">
        <v>631</v>
      </c>
      <c r="C232" s="14" t="str">
        <f>IF(B232&lt;&gt;"",IFERROR(VLOOKUP(B232,'📦 Productos'!A:C,3,FALSE),""),"")</f>
        <v>REVLON COLORSTAY SUEDE INK LIPSTICK</v>
      </c>
      <c r="D232" s="13" t="s">
        <v>1231</v>
      </c>
      <c r="E232" s="13" t="s">
        <v>232</v>
      </c>
      <c r="F232" s="16">
        <v>0.0</v>
      </c>
      <c r="G232" s="17">
        <v>26900.0</v>
      </c>
      <c r="H232" s="18">
        <v>17485.0</v>
      </c>
      <c r="I232" s="20">
        <f t="shared" si="1"/>
        <v>35</v>
      </c>
      <c r="J232" s="22" t="s">
        <v>235</v>
      </c>
      <c r="K232" s="16" t="s">
        <v>236</v>
      </c>
      <c r="L232" s="13" t="s">
        <v>232</v>
      </c>
    </row>
    <row r="233" ht="19.5" customHeight="1">
      <c r="A233" s="25" t="s">
        <v>1233</v>
      </c>
      <c r="B233" s="25" t="s">
        <v>631</v>
      </c>
      <c r="C233" s="14" t="str">
        <f>IF(B233&lt;&gt;"",IFERROR(VLOOKUP(B233,'📦 Productos'!A:C,3,FALSE),""),"")</f>
        <v>REVLON COLORSTAY SUEDE INK LIPSTICK</v>
      </c>
      <c r="D233" s="25" t="s">
        <v>1234</v>
      </c>
      <c r="E233" s="25" t="s">
        <v>232</v>
      </c>
      <c r="F233" s="26">
        <v>0.0</v>
      </c>
      <c r="G233" s="27">
        <v>26900.0</v>
      </c>
      <c r="H233" s="29">
        <v>17485.0</v>
      </c>
      <c r="I233" s="20">
        <f t="shared" si="1"/>
        <v>35</v>
      </c>
      <c r="J233" s="31" t="s">
        <v>235</v>
      </c>
      <c r="K233" s="26" t="s">
        <v>236</v>
      </c>
      <c r="L233" s="25" t="s">
        <v>232</v>
      </c>
    </row>
    <row r="234" ht="19.5" customHeight="1">
      <c r="A234" s="13" t="s">
        <v>1239</v>
      </c>
      <c r="B234" s="13" t="s">
        <v>631</v>
      </c>
      <c r="C234" s="14" t="str">
        <f>IF(B234&lt;&gt;"",IFERROR(VLOOKUP(B234,'📦 Productos'!A:C,3,FALSE),""),"")</f>
        <v>REVLON COLORSTAY SUEDE INK LIPSTICK</v>
      </c>
      <c r="D234" s="13" t="s">
        <v>1241</v>
      </c>
      <c r="E234" s="13" t="s">
        <v>232</v>
      </c>
      <c r="F234" s="16">
        <v>0.0</v>
      </c>
      <c r="G234" s="17">
        <v>26900.0</v>
      </c>
      <c r="H234" s="18">
        <v>17485.0</v>
      </c>
      <c r="I234" s="20">
        <f t="shared" si="1"/>
        <v>35</v>
      </c>
      <c r="J234" s="22" t="s">
        <v>235</v>
      </c>
      <c r="K234" s="16" t="s">
        <v>236</v>
      </c>
      <c r="L234" s="13" t="s">
        <v>232</v>
      </c>
    </row>
    <row r="235" ht="19.5" customHeight="1">
      <c r="A235" s="25" t="s">
        <v>1244</v>
      </c>
      <c r="B235" s="25" t="s">
        <v>631</v>
      </c>
      <c r="C235" s="14" t="str">
        <f>IF(B235&lt;&gt;"",IFERROR(VLOOKUP(B235,'📦 Productos'!A:C,3,FALSE),""),"")</f>
        <v>REVLON COLORSTAY SUEDE INK LIPSTICK</v>
      </c>
      <c r="D235" s="25" t="s">
        <v>1245</v>
      </c>
      <c r="E235" s="25" t="s">
        <v>232</v>
      </c>
      <c r="F235" s="26">
        <v>0.0</v>
      </c>
      <c r="G235" s="27">
        <v>26900.0</v>
      </c>
      <c r="H235" s="29">
        <v>17485.0</v>
      </c>
      <c r="I235" s="20">
        <f t="shared" si="1"/>
        <v>35</v>
      </c>
      <c r="J235" s="31" t="s">
        <v>235</v>
      </c>
      <c r="K235" s="26" t="s">
        <v>236</v>
      </c>
      <c r="L235" s="25" t="s">
        <v>232</v>
      </c>
    </row>
    <row r="236" ht="19.5" customHeight="1">
      <c r="A236" s="13" t="s">
        <v>1247</v>
      </c>
      <c r="B236" s="13" t="s">
        <v>631</v>
      </c>
      <c r="C236" s="14" t="str">
        <f>IF(B236&lt;&gt;"",IFERROR(VLOOKUP(B236,'📦 Productos'!A:C,3,FALSE),""),"")</f>
        <v>REVLON COLORSTAY SUEDE INK LIPSTICK</v>
      </c>
      <c r="D236" s="13" t="s">
        <v>1249</v>
      </c>
      <c r="E236" s="13" t="s">
        <v>232</v>
      </c>
      <c r="F236" s="16">
        <v>0.0</v>
      </c>
      <c r="G236" s="17">
        <v>26900.0</v>
      </c>
      <c r="H236" s="18">
        <v>13450.0</v>
      </c>
      <c r="I236" s="20">
        <f t="shared" si="1"/>
        <v>50</v>
      </c>
      <c r="J236" s="22" t="s">
        <v>235</v>
      </c>
      <c r="K236" s="16" t="s">
        <v>236</v>
      </c>
      <c r="L236" s="13" t="s">
        <v>232</v>
      </c>
    </row>
    <row r="237" ht="19.5" customHeight="1">
      <c r="A237" s="25" t="s">
        <v>1250</v>
      </c>
      <c r="B237" s="25" t="s">
        <v>631</v>
      </c>
      <c r="C237" s="14" t="str">
        <f>IF(B237&lt;&gt;"",IFERROR(VLOOKUP(B237,'📦 Productos'!A:C,3,FALSE),""),"")</f>
        <v>REVLON COLORSTAY SUEDE INK LIPSTICK</v>
      </c>
      <c r="D237" s="25" t="s">
        <v>1253</v>
      </c>
      <c r="E237" s="25" t="s">
        <v>232</v>
      </c>
      <c r="F237" s="26">
        <v>0.0</v>
      </c>
      <c r="G237" s="27">
        <v>26900.0</v>
      </c>
      <c r="H237" s="29">
        <v>17485.0</v>
      </c>
      <c r="I237" s="20">
        <f t="shared" si="1"/>
        <v>35</v>
      </c>
      <c r="J237" s="31" t="s">
        <v>235</v>
      </c>
      <c r="K237" s="26" t="s">
        <v>236</v>
      </c>
      <c r="L237" s="25" t="s">
        <v>232</v>
      </c>
    </row>
    <row r="238" ht="19.5" customHeight="1">
      <c r="A238" s="13" t="s">
        <v>1254</v>
      </c>
      <c r="B238" s="13" t="s">
        <v>631</v>
      </c>
      <c r="C238" s="14" t="str">
        <f>IF(B238&lt;&gt;"",IFERROR(VLOOKUP(B238,'📦 Productos'!A:C,3,FALSE),""),"")</f>
        <v>REVLON COLORSTAY SUEDE INK LIPSTICK</v>
      </c>
      <c r="D238" s="13" t="s">
        <v>1255</v>
      </c>
      <c r="E238" s="13" t="s">
        <v>232</v>
      </c>
      <c r="F238" s="16">
        <v>0.0</v>
      </c>
      <c r="G238" s="17">
        <v>26900.0</v>
      </c>
      <c r="H238" s="18">
        <v>17485.0</v>
      </c>
      <c r="I238" s="20">
        <f t="shared" si="1"/>
        <v>35</v>
      </c>
      <c r="J238" s="22" t="s">
        <v>235</v>
      </c>
      <c r="K238" s="16" t="s">
        <v>236</v>
      </c>
      <c r="L238" s="13" t="s">
        <v>232</v>
      </c>
    </row>
    <row r="239" ht="19.5" customHeight="1">
      <c r="A239" s="25" t="s">
        <v>1258</v>
      </c>
      <c r="B239" s="25" t="s">
        <v>631</v>
      </c>
      <c r="C239" s="14" t="str">
        <f>IF(B239&lt;&gt;"",IFERROR(VLOOKUP(B239,'📦 Productos'!A:C,3,FALSE),""),"")</f>
        <v>REVLON COLORSTAY SUEDE INK LIPSTICK</v>
      </c>
      <c r="D239" s="25" t="s">
        <v>1259</v>
      </c>
      <c r="E239" s="25" t="s">
        <v>232</v>
      </c>
      <c r="F239" s="26">
        <v>0.0</v>
      </c>
      <c r="G239" s="27">
        <v>26900.0</v>
      </c>
      <c r="H239" s="29">
        <v>13450.0</v>
      </c>
      <c r="I239" s="20">
        <f t="shared" si="1"/>
        <v>50</v>
      </c>
      <c r="J239" s="31" t="s">
        <v>235</v>
      </c>
      <c r="K239" s="26" t="s">
        <v>236</v>
      </c>
      <c r="L239" s="25" t="s">
        <v>232</v>
      </c>
    </row>
    <row r="240" ht="19.5" customHeight="1">
      <c r="A240" s="13" t="s">
        <v>1262</v>
      </c>
      <c r="B240" s="13" t="s">
        <v>635</v>
      </c>
      <c r="C240" s="14" t="str">
        <f>IF(B240&lt;&gt;"",IFERROR(VLOOKUP(B240,'📦 Productos'!A:C,3,FALSE),""),"")</f>
        <v>REVLON COLORSTAY CONCEALER SKIN AWAKEN 5 IN 1</v>
      </c>
      <c r="D240" s="13" t="s">
        <v>637</v>
      </c>
      <c r="E240" s="13" t="s">
        <v>232</v>
      </c>
      <c r="F240" s="16">
        <v>0.0</v>
      </c>
      <c r="G240" s="17">
        <v>31600.0</v>
      </c>
      <c r="H240" s="18">
        <v>20540.0</v>
      </c>
      <c r="I240" s="20">
        <f t="shared" si="1"/>
        <v>35</v>
      </c>
      <c r="J240" s="22" t="s">
        <v>235</v>
      </c>
      <c r="K240" s="16" t="s">
        <v>236</v>
      </c>
      <c r="L240" s="13" t="s">
        <v>232</v>
      </c>
    </row>
    <row r="241" ht="19.5" customHeight="1">
      <c r="A241" s="25" t="s">
        <v>1264</v>
      </c>
      <c r="B241" s="25" t="s">
        <v>635</v>
      </c>
      <c r="C241" s="14" t="str">
        <f>IF(B241&lt;&gt;"",IFERROR(VLOOKUP(B241,'📦 Productos'!A:C,3,FALSE),""),"")</f>
        <v>REVLON COLORSTAY CONCEALER SKIN AWAKEN 5 IN 1</v>
      </c>
      <c r="D241" s="25" t="s">
        <v>1266</v>
      </c>
      <c r="E241" s="25" t="s">
        <v>232</v>
      </c>
      <c r="F241" s="26">
        <v>0.0</v>
      </c>
      <c r="G241" s="27">
        <v>31600.0</v>
      </c>
      <c r="H241" s="29">
        <v>20540.0</v>
      </c>
      <c r="I241" s="20">
        <f t="shared" si="1"/>
        <v>35</v>
      </c>
      <c r="J241" s="31" t="s">
        <v>235</v>
      </c>
      <c r="K241" s="26" t="s">
        <v>236</v>
      </c>
      <c r="L241" s="25" t="s">
        <v>232</v>
      </c>
    </row>
    <row r="242" ht="19.5" customHeight="1">
      <c r="A242" s="13" t="s">
        <v>1267</v>
      </c>
      <c r="B242" s="13" t="s">
        <v>635</v>
      </c>
      <c r="C242" s="14" t="str">
        <f>IF(B242&lt;&gt;"",IFERROR(VLOOKUP(B242,'📦 Productos'!A:C,3,FALSE),""),"")</f>
        <v>REVLON COLORSTAY CONCEALER SKIN AWAKEN 5 IN 1</v>
      </c>
      <c r="D242" s="13" t="s">
        <v>1270</v>
      </c>
      <c r="E242" s="13" t="s">
        <v>232</v>
      </c>
      <c r="F242" s="16">
        <v>0.0</v>
      </c>
      <c r="G242" s="17">
        <v>31600.0</v>
      </c>
      <c r="H242" s="18">
        <v>20540.0</v>
      </c>
      <c r="I242" s="20">
        <f t="shared" si="1"/>
        <v>35</v>
      </c>
      <c r="J242" s="22" t="s">
        <v>235</v>
      </c>
      <c r="K242" s="16" t="s">
        <v>236</v>
      </c>
      <c r="L242" s="13" t="s">
        <v>232</v>
      </c>
    </row>
    <row r="243" ht="19.5" customHeight="1">
      <c r="A243" s="25" t="s">
        <v>1271</v>
      </c>
      <c r="B243" s="25" t="s">
        <v>635</v>
      </c>
      <c r="C243" s="14" t="str">
        <f>IF(B243&lt;&gt;"",IFERROR(VLOOKUP(B243,'📦 Productos'!A:C,3,FALSE),""),"")</f>
        <v>REVLON COLORSTAY CONCEALER SKIN AWAKEN 5 IN 1</v>
      </c>
      <c r="D243" s="25" t="s">
        <v>1274</v>
      </c>
      <c r="E243" s="25" t="s">
        <v>232</v>
      </c>
      <c r="F243" s="26">
        <v>0.0</v>
      </c>
      <c r="G243" s="27">
        <v>31600.0</v>
      </c>
      <c r="H243" s="29">
        <v>15800.0</v>
      </c>
      <c r="I243" s="20">
        <f t="shared" si="1"/>
        <v>50</v>
      </c>
      <c r="J243" s="31" t="s">
        <v>235</v>
      </c>
      <c r="K243" s="26" t="s">
        <v>236</v>
      </c>
      <c r="L243" s="25" t="s">
        <v>232</v>
      </c>
    </row>
    <row r="244" ht="19.5" customHeight="1">
      <c r="A244" s="13" t="s">
        <v>1275</v>
      </c>
      <c r="B244" s="13" t="s">
        <v>635</v>
      </c>
      <c r="C244" s="14" t="str">
        <f>IF(B244&lt;&gt;"",IFERROR(VLOOKUP(B244,'📦 Productos'!A:C,3,FALSE),""),"")</f>
        <v>REVLON COLORSTAY CONCEALER SKIN AWAKEN 5 IN 1</v>
      </c>
      <c r="D244" s="13" t="s">
        <v>1277</v>
      </c>
      <c r="E244" s="13" t="s">
        <v>232</v>
      </c>
      <c r="F244" s="16">
        <v>0.0</v>
      </c>
      <c r="G244" s="17">
        <v>31600.0</v>
      </c>
      <c r="H244" s="18">
        <v>15800.0</v>
      </c>
      <c r="I244" s="20">
        <f t="shared" si="1"/>
        <v>50</v>
      </c>
      <c r="J244" s="22" t="s">
        <v>235</v>
      </c>
      <c r="K244" s="16" t="s">
        <v>236</v>
      </c>
      <c r="L244" s="13" t="s">
        <v>232</v>
      </c>
    </row>
    <row r="245" ht="19.5" customHeight="1">
      <c r="A245" s="25" t="s">
        <v>1279</v>
      </c>
      <c r="B245" s="25" t="s">
        <v>640</v>
      </c>
      <c r="C245" s="14" t="str">
        <f>IF(B245&lt;&gt;"",IFERROR(VLOOKUP(B245,'📦 Productos'!A:C,3,FALSE),""),"")</f>
        <v>REVLON CORR PHOTO</v>
      </c>
      <c r="D245" s="25" t="s">
        <v>232</v>
      </c>
      <c r="E245" s="25" t="s">
        <v>232</v>
      </c>
      <c r="F245" s="26">
        <v>0.0</v>
      </c>
      <c r="G245" s="27">
        <v>31600.0</v>
      </c>
      <c r="H245" s="29">
        <v>15800.0</v>
      </c>
      <c r="I245" s="20">
        <f t="shared" si="1"/>
        <v>50</v>
      </c>
      <c r="J245" s="31" t="s">
        <v>235</v>
      </c>
      <c r="K245" s="26" t="s">
        <v>236</v>
      </c>
      <c r="L245" s="25" t="s">
        <v>232</v>
      </c>
    </row>
    <row r="246" ht="19.5" customHeight="1">
      <c r="A246" s="13" t="s">
        <v>1283</v>
      </c>
      <c r="B246" s="13" t="s">
        <v>644</v>
      </c>
      <c r="C246" s="14" t="str">
        <f>IF(B246&lt;&gt;"",IFERROR(VLOOKUP(B246,'📦 Productos'!A:C,3,FALSE),""),"")</f>
        <v>REVLON COLORSTAY MATTE LIT CRAYON LIPSTICK</v>
      </c>
      <c r="D246" s="13" t="s">
        <v>645</v>
      </c>
      <c r="E246" s="13" t="s">
        <v>232</v>
      </c>
      <c r="F246" s="16">
        <v>0.0</v>
      </c>
      <c r="G246" s="17">
        <v>26900.0</v>
      </c>
      <c r="H246" s="18">
        <v>13450.0</v>
      </c>
      <c r="I246" s="20">
        <f t="shared" si="1"/>
        <v>50</v>
      </c>
      <c r="J246" s="22" t="s">
        <v>235</v>
      </c>
      <c r="K246" s="16" t="s">
        <v>236</v>
      </c>
      <c r="L246" s="13" t="s">
        <v>232</v>
      </c>
    </row>
    <row r="247" ht="19.5" customHeight="1">
      <c r="A247" s="25" t="s">
        <v>1285</v>
      </c>
      <c r="B247" s="25" t="s">
        <v>644</v>
      </c>
      <c r="C247" s="14" t="str">
        <f>IF(B247&lt;&gt;"",IFERROR(VLOOKUP(B247,'📦 Productos'!A:C,3,FALSE),""),"")</f>
        <v>REVLON COLORSTAY MATTE LIT CRAYON LIPSTICK</v>
      </c>
      <c r="D247" s="25" t="s">
        <v>1287</v>
      </c>
      <c r="E247" s="25" t="s">
        <v>232</v>
      </c>
      <c r="F247" s="26">
        <v>0.0</v>
      </c>
      <c r="G247" s="27">
        <v>26900.0</v>
      </c>
      <c r="H247" s="29">
        <v>13450.0</v>
      </c>
      <c r="I247" s="20">
        <f t="shared" si="1"/>
        <v>50</v>
      </c>
      <c r="J247" s="31" t="s">
        <v>235</v>
      </c>
      <c r="K247" s="26" t="s">
        <v>236</v>
      </c>
      <c r="L247" s="25" t="s">
        <v>232</v>
      </c>
    </row>
    <row r="248" ht="19.5" customHeight="1">
      <c r="A248" s="13" t="s">
        <v>1290</v>
      </c>
      <c r="B248" s="13" t="s">
        <v>644</v>
      </c>
      <c r="C248" s="14" t="str">
        <f>IF(B248&lt;&gt;"",IFERROR(VLOOKUP(B248,'📦 Productos'!A:C,3,FALSE),""),"")</f>
        <v>REVLON COLORSTAY MATTE LIT CRAYON LIPSTICK</v>
      </c>
      <c r="D248" s="13" t="s">
        <v>1291</v>
      </c>
      <c r="E248" s="13" t="s">
        <v>232</v>
      </c>
      <c r="F248" s="16">
        <v>0.0</v>
      </c>
      <c r="G248" s="17">
        <v>26900.0</v>
      </c>
      <c r="H248" s="18">
        <v>13450.0</v>
      </c>
      <c r="I248" s="20">
        <f t="shared" si="1"/>
        <v>50</v>
      </c>
      <c r="J248" s="22" t="s">
        <v>235</v>
      </c>
      <c r="K248" s="16" t="s">
        <v>236</v>
      </c>
      <c r="L248" s="13" t="s">
        <v>232</v>
      </c>
    </row>
    <row r="249" ht="19.5" customHeight="1">
      <c r="A249" s="25" t="s">
        <v>1295</v>
      </c>
      <c r="B249" s="25" t="s">
        <v>644</v>
      </c>
      <c r="C249" s="14" t="str">
        <f>IF(B249&lt;&gt;"",IFERROR(VLOOKUP(B249,'📦 Productos'!A:C,3,FALSE),""),"")</f>
        <v>REVLON COLORSTAY MATTE LIT CRAYON LIPSTICK</v>
      </c>
      <c r="D249" s="25" t="s">
        <v>1296</v>
      </c>
      <c r="E249" s="25" t="s">
        <v>232</v>
      </c>
      <c r="F249" s="26">
        <v>0.0</v>
      </c>
      <c r="G249" s="27">
        <v>26900.0</v>
      </c>
      <c r="H249" s="29">
        <v>13450.0</v>
      </c>
      <c r="I249" s="20">
        <f t="shared" si="1"/>
        <v>50</v>
      </c>
      <c r="J249" s="31" t="s">
        <v>235</v>
      </c>
      <c r="K249" s="26" t="s">
        <v>236</v>
      </c>
      <c r="L249" s="25" t="s">
        <v>232</v>
      </c>
    </row>
    <row r="250" ht="19.5" customHeight="1">
      <c r="A250" s="13" t="s">
        <v>1299</v>
      </c>
      <c r="B250" s="13" t="s">
        <v>649</v>
      </c>
      <c r="C250" s="14" t="str">
        <f>IF(B250&lt;&gt;"",IFERROR(VLOOKUP(B250,'📦 Productos'!A:C,3,FALSE),""),"")</f>
        <v>REVLON CREME SHADOW 705 CREME BRULEE</v>
      </c>
      <c r="D250" s="13" t="s">
        <v>650</v>
      </c>
      <c r="E250" s="13" t="s">
        <v>232</v>
      </c>
      <c r="F250" s="16">
        <v>0.0</v>
      </c>
      <c r="G250" s="17">
        <v>28400.0</v>
      </c>
      <c r="H250" s="18"/>
      <c r="I250" s="20">
        <f t="shared" si="1"/>
        <v>0</v>
      </c>
      <c r="J250" s="22" t="s">
        <v>235</v>
      </c>
      <c r="K250" s="16" t="s">
        <v>236</v>
      </c>
      <c r="L250" s="13" t="s">
        <v>232</v>
      </c>
    </row>
    <row r="251" ht="19.5" customHeight="1">
      <c r="A251" s="25" t="s">
        <v>1301</v>
      </c>
      <c r="B251" s="25" t="s">
        <v>653</v>
      </c>
      <c r="C251" s="14" t="str">
        <f>IF(B251&lt;&gt;"",IFERROR(VLOOKUP(B251,'📦 Productos'!A:C,3,FALSE),""),"")</f>
        <v>REVLON CREME SHADOW 710 CARAMEL</v>
      </c>
      <c r="D251" s="25" t="s">
        <v>655</v>
      </c>
      <c r="E251" s="25" t="s">
        <v>232</v>
      </c>
      <c r="F251" s="26">
        <v>0.0</v>
      </c>
      <c r="G251" s="27">
        <v>28400.0</v>
      </c>
      <c r="H251" s="29"/>
      <c r="I251" s="20">
        <f t="shared" si="1"/>
        <v>0</v>
      </c>
      <c r="J251" s="31" t="s">
        <v>235</v>
      </c>
      <c r="K251" s="26" t="s">
        <v>236</v>
      </c>
      <c r="L251" s="25" t="s">
        <v>232</v>
      </c>
    </row>
    <row r="252" ht="19.5" customHeight="1">
      <c r="A252" s="13" t="s">
        <v>1305</v>
      </c>
      <c r="B252" s="13" t="s">
        <v>659</v>
      </c>
      <c r="C252" s="14" t="str">
        <f>IF(B252&lt;&gt;"",IFERROR(VLOOKUP(B252,'📦 Productos'!A:C,3,FALSE),""),"")</f>
        <v>REVLON COLORSTAY MULTI PLAYER DELINEADOR</v>
      </c>
      <c r="D252" s="13" t="s">
        <v>660</v>
      </c>
      <c r="E252" s="13" t="s">
        <v>232</v>
      </c>
      <c r="F252" s="16">
        <v>0.0</v>
      </c>
      <c r="G252" s="17">
        <v>30700.0</v>
      </c>
      <c r="H252" s="18">
        <v>15350.0</v>
      </c>
      <c r="I252" s="20">
        <f t="shared" si="1"/>
        <v>50</v>
      </c>
      <c r="J252" s="22" t="s">
        <v>235</v>
      </c>
      <c r="K252" s="16" t="s">
        <v>236</v>
      </c>
      <c r="L252" s="13" t="s">
        <v>232</v>
      </c>
    </row>
    <row r="253" ht="19.5" customHeight="1">
      <c r="A253" s="25" t="s">
        <v>1309</v>
      </c>
      <c r="B253" s="25" t="s">
        <v>659</v>
      </c>
      <c r="C253" s="14" t="str">
        <f>IF(B253&lt;&gt;"",IFERROR(VLOOKUP(B253,'📦 Productos'!A:C,3,FALSE),""),"")</f>
        <v>REVLON COLORSTAY MULTI PLAYER DELINEADOR</v>
      </c>
      <c r="D253" s="25" t="s">
        <v>1311</v>
      </c>
      <c r="E253" s="25" t="s">
        <v>232</v>
      </c>
      <c r="F253" s="26">
        <v>0.0</v>
      </c>
      <c r="G253" s="27">
        <v>30700.0</v>
      </c>
      <c r="H253" s="29"/>
      <c r="I253" s="20">
        <f t="shared" si="1"/>
        <v>0</v>
      </c>
      <c r="J253" s="31" t="s">
        <v>235</v>
      </c>
      <c r="K253" s="26" t="s">
        <v>236</v>
      </c>
      <c r="L253" s="25" t="s">
        <v>232</v>
      </c>
    </row>
    <row r="254" ht="19.5" customHeight="1">
      <c r="A254" s="13" t="s">
        <v>1312</v>
      </c>
      <c r="B254" s="13" t="s">
        <v>659</v>
      </c>
      <c r="C254" s="14" t="str">
        <f>IF(B254&lt;&gt;"",IFERROR(VLOOKUP(B254,'📦 Productos'!A:C,3,FALSE),""),"")</f>
        <v>REVLON COLORSTAY MULTI PLAYER DELINEADOR</v>
      </c>
      <c r="D254" s="13" t="s">
        <v>1316</v>
      </c>
      <c r="E254" s="13" t="s">
        <v>232</v>
      </c>
      <c r="F254" s="16">
        <v>0.0</v>
      </c>
      <c r="G254" s="17">
        <v>30700.0</v>
      </c>
      <c r="H254" s="18"/>
      <c r="I254" s="20">
        <f t="shared" si="1"/>
        <v>0</v>
      </c>
      <c r="J254" s="22" t="s">
        <v>235</v>
      </c>
      <c r="K254" s="16" t="s">
        <v>236</v>
      </c>
      <c r="L254" s="13" t="s">
        <v>232</v>
      </c>
    </row>
    <row r="255" ht="19.5" customHeight="1">
      <c r="A255" s="25" t="s">
        <v>1317</v>
      </c>
      <c r="B255" s="25" t="s">
        <v>659</v>
      </c>
      <c r="C255" s="14" t="str">
        <f>IF(B255&lt;&gt;"",IFERROR(VLOOKUP(B255,'📦 Productos'!A:C,3,FALSE),""),"")</f>
        <v>REVLON COLORSTAY MULTI PLAYER DELINEADOR</v>
      </c>
      <c r="D255" s="25" t="s">
        <v>1321</v>
      </c>
      <c r="E255" s="25" t="s">
        <v>232</v>
      </c>
      <c r="F255" s="26">
        <v>0.0</v>
      </c>
      <c r="G255" s="27">
        <v>30700.0</v>
      </c>
      <c r="H255" s="29"/>
      <c r="I255" s="20">
        <f t="shared" si="1"/>
        <v>0</v>
      </c>
      <c r="J255" s="31" t="s">
        <v>235</v>
      </c>
      <c r="K255" s="26" t="s">
        <v>236</v>
      </c>
      <c r="L255" s="25" t="s">
        <v>232</v>
      </c>
    </row>
    <row r="256" ht="19.5" customHeight="1">
      <c r="A256" s="13" t="s">
        <v>1322</v>
      </c>
      <c r="B256" s="13" t="s">
        <v>659</v>
      </c>
      <c r="C256" s="14" t="str">
        <f>IF(B256&lt;&gt;"",IFERROR(VLOOKUP(B256,'📦 Productos'!A:C,3,FALSE),""),"")</f>
        <v>REVLON COLORSTAY MULTI PLAYER DELINEADOR</v>
      </c>
      <c r="D256" s="13" t="s">
        <v>1326</v>
      </c>
      <c r="E256" s="13" t="s">
        <v>232</v>
      </c>
      <c r="F256" s="16">
        <v>0.0</v>
      </c>
      <c r="G256" s="17">
        <v>30700.0</v>
      </c>
      <c r="H256" s="18">
        <v>15350.0</v>
      </c>
      <c r="I256" s="20">
        <f t="shared" si="1"/>
        <v>50</v>
      </c>
      <c r="J256" s="22" t="s">
        <v>235</v>
      </c>
      <c r="K256" s="16" t="s">
        <v>236</v>
      </c>
      <c r="L256" s="13" t="s">
        <v>232</v>
      </c>
    </row>
    <row r="257" ht="19.5" customHeight="1">
      <c r="A257" s="25" t="s">
        <v>1327</v>
      </c>
      <c r="B257" s="25" t="s">
        <v>659</v>
      </c>
      <c r="C257" s="14" t="str">
        <f>IF(B257&lt;&gt;"",IFERROR(VLOOKUP(B257,'📦 Productos'!A:C,3,FALSE),""),"")</f>
        <v>REVLON COLORSTAY MULTI PLAYER DELINEADOR</v>
      </c>
      <c r="D257" s="25" t="s">
        <v>1330</v>
      </c>
      <c r="E257" s="25" t="s">
        <v>232</v>
      </c>
      <c r="F257" s="26">
        <v>0.0</v>
      </c>
      <c r="G257" s="27">
        <v>30700.0</v>
      </c>
      <c r="H257" s="29">
        <v>15350.0</v>
      </c>
      <c r="I257" s="20">
        <f t="shared" si="1"/>
        <v>50</v>
      </c>
      <c r="J257" s="31" t="s">
        <v>235</v>
      </c>
      <c r="K257" s="26" t="s">
        <v>236</v>
      </c>
      <c r="L257" s="25" t="s">
        <v>232</v>
      </c>
    </row>
    <row r="258" ht="19.5" customHeight="1">
      <c r="A258" s="13" t="s">
        <v>1332</v>
      </c>
      <c r="B258" s="13" t="s">
        <v>665</v>
      </c>
      <c r="C258" s="14" t="str">
        <f>IF(B258&lt;&gt;"",IFERROR(VLOOKUP(B258,'📦 Productos'!A:C,3,FALSE),""),"")</f>
        <v>REVLON COLORSTAY DAY TO NIGHT EYESHADOW QUAD</v>
      </c>
      <c r="D258" s="13" t="s">
        <v>666</v>
      </c>
      <c r="E258" s="13" t="s">
        <v>232</v>
      </c>
      <c r="F258" s="16">
        <v>0.0</v>
      </c>
      <c r="G258" s="17">
        <v>28400.0</v>
      </c>
      <c r="H258" s="18"/>
      <c r="I258" s="20">
        <f t="shared" si="1"/>
        <v>0</v>
      </c>
      <c r="J258" s="22" t="s">
        <v>235</v>
      </c>
      <c r="K258" s="16" t="s">
        <v>236</v>
      </c>
      <c r="L258" s="13" t="s">
        <v>232</v>
      </c>
    </row>
    <row r="259" ht="19.5" customHeight="1">
      <c r="A259" s="25" t="s">
        <v>1336</v>
      </c>
      <c r="B259" s="25" t="s">
        <v>671</v>
      </c>
      <c r="C259" s="14" t="str">
        <f>IF(B259&lt;&gt;"",IFERROR(VLOOKUP(B259,'📦 Productos'!A:C,3,FALSE),""),"")</f>
        <v>REVLON DEL CEJAS COL</v>
      </c>
      <c r="D259" s="25" t="s">
        <v>232</v>
      </c>
      <c r="E259" s="25" t="s">
        <v>232</v>
      </c>
      <c r="F259" s="26">
        <v>0.0</v>
      </c>
      <c r="G259" s="27">
        <v>24300.0</v>
      </c>
      <c r="H259" s="29">
        <v>12150.0</v>
      </c>
      <c r="I259" s="20">
        <f t="shared" si="1"/>
        <v>50</v>
      </c>
      <c r="J259" s="31" t="s">
        <v>235</v>
      </c>
      <c r="K259" s="26" t="s">
        <v>236</v>
      </c>
      <c r="L259" s="25" t="s">
        <v>232</v>
      </c>
    </row>
    <row r="260" ht="19.5" customHeight="1">
      <c r="A260" s="13" t="s">
        <v>1340</v>
      </c>
      <c r="B260" s="13" t="s">
        <v>676</v>
      </c>
      <c r="C260" s="14" t="str">
        <f>IF(B260&lt;&gt;"",IFERROR(VLOOKUP(B260,'📦 Productos'!A:C,3,FALSE),""),"")</f>
        <v>REVLON COLORSTAY BROW FIBER FILLER DARK BROWN</v>
      </c>
      <c r="D260" s="13" t="s">
        <v>677</v>
      </c>
      <c r="E260" s="13" t="s">
        <v>232</v>
      </c>
      <c r="F260" s="16">
        <v>0.0</v>
      </c>
      <c r="G260" s="17">
        <v>27300.0</v>
      </c>
      <c r="H260" s="18"/>
      <c r="I260" s="20">
        <f t="shared" si="1"/>
        <v>0</v>
      </c>
      <c r="J260" s="22" t="s">
        <v>235</v>
      </c>
      <c r="K260" s="16" t="s">
        <v>236</v>
      </c>
      <c r="L260" s="13" t="s">
        <v>232</v>
      </c>
    </row>
    <row r="261" ht="19.5" customHeight="1">
      <c r="A261" s="25" t="s">
        <v>1342</v>
      </c>
      <c r="B261" s="25" t="s">
        <v>682</v>
      </c>
      <c r="C261" s="14" t="str">
        <f>IF(B261&lt;&gt;"",IFERROR(VLOOKUP(B261,'📦 Productos'!A:C,3,FALSE),""),"")</f>
        <v>REVLON COLORSTAY BROW FIBER FILLER MEDIUM BROWN</v>
      </c>
      <c r="D261" s="25" t="s">
        <v>683</v>
      </c>
      <c r="E261" s="25" t="s">
        <v>232</v>
      </c>
      <c r="F261" s="26">
        <v>0.0</v>
      </c>
      <c r="G261" s="27">
        <v>27300.0</v>
      </c>
      <c r="H261" s="29"/>
      <c r="I261" s="20">
        <f t="shared" si="1"/>
        <v>0</v>
      </c>
      <c r="J261" s="31" t="s">
        <v>235</v>
      </c>
      <c r="K261" s="26" t="s">
        <v>236</v>
      </c>
      <c r="L261" s="25" t="s">
        <v>232</v>
      </c>
    </row>
    <row r="262" ht="19.5" customHeight="1">
      <c r="A262" s="13" t="s">
        <v>1345</v>
      </c>
      <c r="B262" s="13" t="s">
        <v>688</v>
      </c>
      <c r="C262" s="14" t="str">
        <f>IF(B262&lt;&gt;"",IFERROR(VLOOKUP(B262,'📦 Productos'!A:C,3,FALSE),""),"")</f>
        <v>REVLON DEL CEJAS MOUS SOFT BR</v>
      </c>
      <c r="D262" s="13" t="s">
        <v>232</v>
      </c>
      <c r="E262" s="13" t="s">
        <v>232</v>
      </c>
      <c r="F262" s="16">
        <v>0.0</v>
      </c>
      <c r="G262" s="17">
        <v>24300.0</v>
      </c>
      <c r="H262" s="18">
        <v>12150.0</v>
      </c>
      <c r="I262" s="20">
        <f t="shared" si="1"/>
        <v>50</v>
      </c>
      <c r="J262" s="22" t="s">
        <v>235</v>
      </c>
      <c r="K262" s="16" t="s">
        <v>236</v>
      </c>
      <c r="L262" s="13" t="s">
        <v>232</v>
      </c>
    </row>
    <row r="263" ht="19.5" customHeight="1">
      <c r="A263" s="25" t="s">
        <v>1349</v>
      </c>
      <c r="B263" s="25" t="s">
        <v>693</v>
      </c>
      <c r="C263" s="14" t="str">
        <f>IF(B263&lt;&gt;"",IFERROR(VLOOKUP(B263,'📦 Productos'!A:C,3,FALSE),""),"")</f>
        <v>REVLON COLORSTAY LONGWEAR LIP LINER NATURAL</v>
      </c>
      <c r="D263" s="25" t="s">
        <v>694</v>
      </c>
      <c r="E263" s="25" t="s">
        <v>232</v>
      </c>
      <c r="F263" s="26">
        <v>0.0</v>
      </c>
      <c r="G263" s="27">
        <v>19500.0</v>
      </c>
      <c r="H263" s="29">
        <v>9750.0</v>
      </c>
      <c r="I263" s="20">
        <f t="shared" si="1"/>
        <v>50</v>
      </c>
      <c r="J263" s="31" t="s">
        <v>235</v>
      </c>
      <c r="K263" s="26" t="s">
        <v>236</v>
      </c>
      <c r="L263" s="25" t="s">
        <v>232</v>
      </c>
    </row>
    <row r="264" ht="19.5" customHeight="1">
      <c r="A264" s="13" t="s">
        <v>1353</v>
      </c>
      <c r="B264" s="13" t="s">
        <v>700</v>
      </c>
      <c r="C264" s="14" t="str">
        <f>IF(B264&lt;&gt;"",IFERROR(VLOOKUP(B264,'📦 Productos'!A:C,3,FALSE),""),"")</f>
        <v>REVLON COLORSTAY LONGWEAR LIP LINER NUDE</v>
      </c>
      <c r="D264" s="13" t="s">
        <v>701</v>
      </c>
      <c r="E264" s="13" t="s">
        <v>232</v>
      </c>
      <c r="F264" s="16">
        <v>0.0</v>
      </c>
      <c r="G264" s="17">
        <v>19500.0</v>
      </c>
      <c r="H264" s="18">
        <v>12675.0</v>
      </c>
      <c r="I264" s="20">
        <f t="shared" si="1"/>
        <v>35</v>
      </c>
      <c r="J264" s="22" t="s">
        <v>235</v>
      </c>
      <c r="K264" s="16" t="s">
        <v>236</v>
      </c>
      <c r="L264" s="13" t="s">
        <v>232</v>
      </c>
    </row>
    <row r="265" ht="19.5" customHeight="1">
      <c r="A265" s="25" t="s">
        <v>1357</v>
      </c>
      <c r="B265" s="25" t="s">
        <v>706</v>
      </c>
      <c r="C265" s="14" t="str">
        <f>IF(B265&lt;&gt;"",IFERROR(VLOOKUP(B265,'📦 Productos'!A:C,3,FALSE),""),"")</f>
        <v>REVLON COLORSTAY LONGWEAR LIP LINER PLUM</v>
      </c>
      <c r="D265" s="25" t="s">
        <v>707</v>
      </c>
      <c r="E265" s="25" t="s">
        <v>232</v>
      </c>
      <c r="F265" s="26">
        <v>0.0</v>
      </c>
      <c r="G265" s="27">
        <v>19500.0</v>
      </c>
      <c r="H265" s="29">
        <v>12675.0</v>
      </c>
      <c r="I265" s="20">
        <f t="shared" si="1"/>
        <v>35</v>
      </c>
      <c r="J265" s="31" t="s">
        <v>235</v>
      </c>
      <c r="K265" s="26" t="s">
        <v>236</v>
      </c>
      <c r="L265" s="25" t="s">
        <v>232</v>
      </c>
    </row>
    <row r="266" ht="19.5" customHeight="1">
      <c r="A266" s="13" t="s">
        <v>1361</v>
      </c>
      <c r="B266" s="13" t="s">
        <v>712</v>
      </c>
      <c r="C266" s="14" t="str">
        <f>IF(B266&lt;&gt;"",IFERROR(VLOOKUP(B266,'📦 Productos'!A:C,3,FALSE),""),"")</f>
        <v>REVLON COLORSTAY LONGWEAR LIP LINER RED</v>
      </c>
      <c r="D266" s="13" t="s">
        <v>714</v>
      </c>
      <c r="E266" s="13" t="s">
        <v>232</v>
      </c>
      <c r="F266" s="16">
        <v>0.0</v>
      </c>
      <c r="G266" s="17">
        <v>19500.0</v>
      </c>
      <c r="H266" s="18">
        <v>12675.0</v>
      </c>
      <c r="I266" s="20">
        <f t="shared" si="1"/>
        <v>35</v>
      </c>
      <c r="J266" s="22" t="s">
        <v>235</v>
      </c>
      <c r="K266" s="16" t="s">
        <v>236</v>
      </c>
      <c r="L266" s="13" t="s">
        <v>232</v>
      </c>
    </row>
    <row r="267" ht="19.5" customHeight="1">
      <c r="A267" s="25" t="s">
        <v>1365</v>
      </c>
      <c r="B267" s="25" t="s">
        <v>719</v>
      </c>
      <c r="C267" s="14" t="str">
        <f>IF(B267&lt;&gt;"",IFERROR(VLOOKUP(B267,'📦 Productos'!A:C,3,FALSE),""),"")</f>
        <v>REVLON COLORSTAY LONGWEAR LIP LINER ROSE FARD</v>
      </c>
      <c r="D267" s="25" t="s">
        <v>720</v>
      </c>
      <c r="E267" s="25" t="s">
        <v>232</v>
      </c>
      <c r="F267" s="26">
        <v>0.0</v>
      </c>
      <c r="G267" s="27">
        <v>19500.0</v>
      </c>
      <c r="H267" s="29">
        <v>12675.0</v>
      </c>
      <c r="I267" s="20">
        <f t="shared" si="1"/>
        <v>35</v>
      </c>
      <c r="J267" s="31" t="s">
        <v>235</v>
      </c>
      <c r="K267" s="26" t="s">
        <v>236</v>
      </c>
      <c r="L267" s="25" t="s">
        <v>232</v>
      </c>
    </row>
    <row r="268" ht="19.5" customHeight="1">
      <c r="A268" s="13" t="s">
        <v>1366</v>
      </c>
      <c r="B268" s="13" t="s">
        <v>724</v>
      </c>
      <c r="C268" s="14" t="str">
        <f>IF(B268&lt;&gt;"",IFERROR(VLOOKUP(B268,'📦 Productos'!A:C,3,FALSE),""),"")</f>
        <v>REVLON COLORSTAY LONGWEAR LIP LINER SIENA</v>
      </c>
      <c r="D268" s="13" t="s">
        <v>725</v>
      </c>
      <c r="E268" s="13" t="s">
        <v>232</v>
      </c>
      <c r="F268" s="16">
        <v>0.0</v>
      </c>
      <c r="G268" s="17">
        <v>19500.0</v>
      </c>
      <c r="H268" s="18">
        <v>12675.0</v>
      </c>
      <c r="I268" s="20">
        <f t="shared" si="1"/>
        <v>35</v>
      </c>
      <c r="J268" s="22" t="s">
        <v>235</v>
      </c>
      <c r="K268" s="16" t="s">
        <v>236</v>
      </c>
      <c r="L268" s="13" t="s">
        <v>232</v>
      </c>
    </row>
    <row r="269" ht="19.5" customHeight="1">
      <c r="A269" s="25" t="s">
        <v>1370</v>
      </c>
      <c r="B269" s="25" t="s">
        <v>730</v>
      </c>
      <c r="C269" s="14" t="str">
        <f>IF(B269&lt;&gt;"",IFERROR(VLOOKUP(B269,'📦 Productos'!A:C,3,FALSE),""),"")</f>
        <v>REVLON DEL LIQ</v>
      </c>
      <c r="D269" s="25" t="s">
        <v>232</v>
      </c>
      <c r="E269" s="25" t="s">
        <v>232</v>
      </c>
      <c r="F269" s="26">
        <v>0.0</v>
      </c>
      <c r="G269" s="27">
        <v>26500.0</v>
      </c>
      <c r="H269" s="29">
        <v>13250.0</v>
      </c>
      <c r="I269" s="20">
        <f t="shared" si="1"/>
        <v>50</v>
      </c>
      <c r="J269" s="31" t="s">
        <v>235</v>
      </c>
      <c r="K269" s="26" t="s">
        <v>236</v>
      </c>
      <c r="L269" s="25" t="s">
        <v>232</v>
      </c>
    </row>
    <row r="270" ht="19.5" customHeight="1">
      <c r="A270" s="13" t="s">
        <v>1375</v>
      </c>
      <c r="B270" s="13" t="s">
        <v>735</v>
      </c>
      <c r="C270" s="14" t="str">
        <f>IF(B270&lt;&gt;"",IFERROR(VLOOKUP(B270,'📦 Productos'!A:C,3,FALSE),""),"")</f>
        <v>REVLON COLORSTAY LIQUID EYELINER</v>
      </c>
      <c r="D270" s="13" t="s">
        <v>736</v>
      </c>
      <c r="E270" s="13" t="s">
        <v>232</v>
      </c>
      <c r="F270" s="16">
        <v>0.0</v>
      </c>
      <c r="G270" s="17">
        <v>26500.0</v>
      </c>
      <c r="H270" s="18"/>
      <c r="I270" s="20">
        <f t="shared" si="1"/>
        <v>0</v>
      </c>
      <c r="J270" s="22" t="s">
        <v>235</v>
      </c>
      <c r="K270" s="16" t="s">
        <v>236</v>
      </c>
      <c r="L270" s="13" t="s">
        <v>232</v>
      </c>
    </row>
    <row r="271" ht="19.5" customHeight="1">
      <c r="A271" s="25" t="s">
        <v>1380</v>
      </c>
      <c r="B271" s="25" t="s">
        <v>741</v>
      </c>
      <c r="C271" s="14" t="str">
        <f>IF(B271&lt;&gt;"",IFERROR(VLOOKUP(B271,'📦 Productos'!A:C,3,FALSE),""),"")</f>
        <v>REVLON COLORSTAY MICRO LINER EASY PRECISION MARRON</v>
      </c>
      <c r="D271" s="25" t="s">
        <v>742</v>
      </c>
      <c r="E271" s="25" t="s">
        <v>232</v>
      </c>
      <c r="F271" s="26">
        <v>0.0</v>
      </c>
      <c r="G271" s="27">
        <v>29400.0</v>
      </c>
      <c r="H271" s="29"/>
      <c r="I271" s="20">
        <f t="shared" si="1"/>
        <v>0</v>
      </c>
      <c r="J271" s="31" t="s">
        <v>235</v>
      </c>
      <c r="K271" s="26" t="s">
        <v>236</v>
      </c>
      <c r="L271" s="25" t="s">
        <v>232</v>
      </c>
    </row>
    <row r="272" ht="19.5" customHeight="1">
      <c r="A272" s="13" t="s">
        <v>1381</v>
      </c>
      <c r="B272" s="13" t="s">
        <v>747</v>
      </c>
      <c r="C272" s="14" t="str">
        <f>IF(B272&lt;&gt;"",IFERROR(VLOOKUP(B272,'📦 Productos'!A:C,3,FALSE),""),"")</f>
        <v>REVLON COLORSTAY MICRO LINER EASY PRECISION NEGRO</v>
      </c>
      <c r="D272" s="13" t="s">
        <v>749</v>
      </c>
      <c r="E272" s="13" t="s">
        <v>232</v>
      </c>
      <c r="F272" s="16">
        <v>0.0</v>
      </c>
      <c r="G272" s="17">
        <v>29400.0</v>
      </c>
      <c r="H272" s="18"/>
      <c r="I272" s="20">
        <f t="shared" si="1"/>
        <v>0</v>
      </c>
      <c r="J272" s="22" t="s">
        <v>235</v>
      </c>
      <c r="K272" s="16" t="s">
        <v>236</v>
      </c>
      <c r="L272" s="13" t="s">
        <v>232</v>
      </c>
    </row>
    <row r="273" ht="19.5" customHeight="1">
      <c r="A273" s="25" t="s">
        <v>1382</v>
      </c>
      <c r="B273" s="25" t="s">
        <v>753</v>
      </c>
      <c r="C273" s="14" t="str">
        <f>IF(B273&lt;&gt;"",IFERROR(VLOOKUP(B273,'📦 Productos'!A:C,3,FALSE),""),"")</f>
        <v>REVLON DEL LIQ OJ EXAC MERM</v>
      </c>
      <c r="D273" s="25" t="s">
        <v>232</v>
      </c>
      <c r="E273" s="25" t="s">
        <v>232</v>
      </c>
      <c r="F273" s="26">
        <v>0.0</v>
      </c>
      <c r="G273" s="27">
        <v>19300.0</v>
      </c>
      <c r="H273" s="29">
        <v>9650.0</v>
      </c>
      <c r="I273" s="20">
        <f t="shared" si="1"/>
        <v>50</v>
      </c>
      <c r="J273" s="31" t="s">
        <v>235</v>
      </c>
      <c r="K273" s="26" t="s">
        <v>236</v>
      </c>
      <c r="L273" s="25" t="s">
        <v>232</v>
      </c>
    </row>
    <row r="274" ht="19.5" customHeight="1">
      <c r="A274" s="13" t="s">
        <v>1383</v>
      </c>
      <c r="B274" s="13" t="s">
        <v>757</v>
      </c>
      <c r="C274" s="14" t="str">
        <f>IF(B274&lt;&gt;"",IFERROR(VLOOKUP(B274,'📦 Productos'!A:C,3,FALSE),""),"")</f>
        <v>REVLON DEL LIQ OJ EXAC MULB</v>
      </c>
      <c r="D274" s="13" t="s">
        <v>759</v>
      </c>
      <c r="E274" s="13" t="s">
        <v>232</v>
      </c>
      <c r="F274" s="16">
        <v>0.0</v>
      </c>
      <c r="G274" s="17">
        <v>19300.0</v>
      </c>
      <c r="H274" s="18"/>
      <c r="I274" s="20">
        <f t="shared" si="1"/>
        <v>0</v>
      </c>
      <c r="J274" s="22" t="s">
        <v>235</v>
      </c>
      <c r="K274" s="16" t="s">
        <v>236</v>
      </c>
      <c r="L274" s="13" t="s">
        <v>232</v>
      </c>
    </row>
    <row r="275" ht="19.5" customHeight="1">
      <c r="A275" s="25" t="s">
        <v>1384</v>
      </c>
      <c r="B275" s="25" t="s">
        <v>763</v>
      </c>
      <c r="C275" s="14" t="str">
        <f>IF(B275&lt;&gt;"",IFERROR(VLOOKUP(B275,'📦 Productos'!A:C,3,FALSE),""),"")</f>
        <v>REVLON DEL LIQ SO F BRONZAGE</v>
      </c>
      <c r="D275" s="25" t="s">
        <v>232</v>
      </c>
      <c r="E275" s="25" t="s">
        <v>232</v>
      </c>
      <c r="F275" s="26">
        <v>0.0</v>
      </c>
      <c r="G275" s="27">
        <v>19300.0</v>
      </c>
      <c r="H275" s="29">
        <v>9650.0</v>
      </c>
      <c r="I275" s="20">
        <f t="shared" si="1"/>
        <v>50</v>
      </c>
      <c r="J275" s="31" t="s">
        <v>235</v>
      </c>
      <c r="K275" s="26" t="s">
        <v>236</v>
      </c>
      <c r="L275" s="25" t="s">
        <v>232</v>
      </c>
    </row>
    <row r="276" ht="19.5" customHeight="1">
      <c r="A276" s="13" t="s">
        <v>1385</v>
      </c>
      <c r="B276" s="13" t="s">
        <v>767</v>
      </c>
      <c r="C276" s="14" t="str">
        <f>IF(B276&lt;&gt;"",IFERROR(VLOOKUP(B276,'📦 Productos'!A:C,3,FALSE),""),"")</f>
        <v>REVLON DEL LIQ SO F GUNMETAL</v>
      </c>
      <c r="D276" s="13" t="s">
        <v>768</v>
      </c>
      <c r="E276" s="13" t="s">
        <v>232</v>
      </c>
      <c r="F276" s="16">
        <v>0.0</v>
      </c>
      <c r="G276" s="17">
        <v>19300.0</v>
      </c>
      <c r="H276" s="18">
        <v>9650.0</v>
      </c>
      <c r="I276" s="20">
        <f t="shared" si="1"/>
        <v>50</v>
      </c>
      <c r="J276" s="22" t="s">
        <v>235</v>
      </c>
      <c r="K276" s="16" t="s">
        <v>236</v>
      </c>
      <c r="L276" s="13" t="s">
        <v>232</v>
      </c>
    </row>
    <row r="277" ht="19.5" customHeight="1">
      <c r="A277" s="25" t="s">
        <v>1386</v>
      </c>
      <c r="B277" s="25" t="s">
        <v>771</v>
      </c>
      <c r="C277" s="14" t="str">
        <f>IF(B277&lt;&gt;"",IFERROR(VLOOKUP(B277,'📦 Productos'!A:C,3,FALSE),""),"")</f>
        <v>REVLON DEL OJ 2 EN 1</v>
      </c>
      <c r="D277" s="25" t="s">
        <v>232</v>
      </c>
      <c r="E277" s="25" t="s">
        <v>232</v>
      </c>
      <c r="F277" s="26">
        <v>0.0</v>
      </c>
      <c r="G277" s="27">
        <v>19300.0</v>
      </c>
      <c r="H277" s="29">
        <v>9650.0</v>
      </c>
      <c r="I277" s="20">
        <f t="shared" si="1"/>
        <v>50</v>
      </c>
      <c r="J277" s="31" t="s">
        <v>235</v>
      </c>
      <c r="K277" s="26" t="s">
        <v>236</v>
      </c>
      <c r="L277" s="25" t="s">
        <v>232</v>
      </c>
    </row>
    <row r="278" ht="19.5" customHeight="1">
      <c r="A278" s="13" t="s">
        <v>1387</v>
      </c>
      <c r="B278" s="13" t="s">
        <v>774</v>
      </c>
      <c r="C278" s="14" t="str">
        <f>IF(B278&lt;&gt;"",IFERROR(VLOOKUP(B278,'📦 Productos'!A:C,3,FALSE),""),"")</f>
        <v>REVLON COLORSTAY EYELINER RETRACTIL BLACK</v>
      </c>
      <c r="D278" s="13" t="s">
        <v>776</v>
      </c>
      <c r="E278" s="13" t="s">
        <v>232</v>
      </c>
      <c r="F278" s="16">
        <v>0.0</v>
      </c>
      <c r="G278" s="17">
        <v>26500.0</v>
      </c>
      <c r="H278" s="18"/>
      <c r="I278" s="20">
        <f t="shared" si="1"/>
        <v>0</v>
      </c>
      <c r="J278" s="22" t="s">
        <v>235</v>
      </c>
      <c r="K278" s="16" t="s">
        <v>236</v>
      </c>
      <c r="L278" s="13" t="s">
        <v>232</v>
      </c>
    </row>
    <row r="279" ht="19.5" customHeight="1">
      <c r="A279" s="25" t="s">
        <v>1388</v>
      </c>
      <c r="B279" s="25" t="s">
        <v>781</v>
      </c>
      <c r="C279" s="14" t="str">
        <f>IF(B279&lt;&gt;"",IFERROR(VLOOKUP(B279,'📦 Productos'!A:C,3,FALSE),""),"")</f>
        <v>REVLON DEL OJ COL LIQ</v>
      </c>
      <c r="D279" s="25" t="s">
        <v>232</v>
      </c>
      <c r="E279" s="25" t="s">
        <v>232</v>
      </c>
      <c r="F279" s="26">
        <v>0.0</v>
      </c>
      <c r="G279" s="27">
        <v>26500.0</v>
      </c>
      <c r="H279" s="29"/>
      <c r="I279" s="20">
        <f t="shared" si="1"/>
        <v>0</v>
      </c>
      <c r="J279" s="31" t="s">
        <v>235</v>
      </c>
      <c r="K279" s="26" t="s">
        <v>236</v>
      </c>
      <c r="L279" s="25" t="s">
        <v>232</v>
      </c>
    </row>
    <row r="280" ht="19.5" customHeight="1">
      <c r="A280" s="13" t="s">
        <v>1389</v>
      </c>
      <c r="B280" s="13" t="s">
        <v>785</v>
      </c>
      <c r="C280" s="14" t="str">
        <f>IF(B280&lt;&gt;"",IFERROR(VLOOKUP(B280,'📦 Productos'!A:C,3,FALSE),""),"")</f>
        <v>REVLON DEL OJ SO FIERCE</v>
      </c>
      <c r="D280" s="13" t="s">
        <v>232</v>
      </c>
      <c r="E280" s="13" t="s">
        <v>232</v>
      </c>
      <c r="F280" s="16">
        <v>0.0</v>
      </c>
      <c r="G280" s="17">
        <v>26500.0</v>
      </c>
      <c r="H280" s="18">
        <v>13250.0</v>
      </c>
      <c r="I280" s="20">
        <f t="shared" si="1"/>
        <v>50</v>
      </c>
      <c r="J280" s="22" t="s">
        <v>235</v>
      </c>
      <c r="K280" s="16" t="s">
        <v>236</v>
      </c>
      <c r="L280" s="13" t="s">
        <v>232</v>
      </c>
    </row>
    <row r="281" ht="19.5" customHeight="1">
      <c r="A281" s="25" t="s">
        <v>1390</v>
      </c>
      <c r="B281" s="25" t="s">
        <v>789</v>
      </c>
      <c r="C281" s="14" t="str">
        <f>IF(B281&lt;&gt;"",IFERROR(VLOOKUP(B281,'📦 Productos'!A:C,3,FALSE),""),"")</f>
        <v>REVLON DEL OJOS MICRO GEL NEGRO</v>
      </c>
      <c r="D281" s="25" t="s">
        <v>232</v>
      </c>
      <c r="E281" s="25" t="s">
        <v>232</v>
      </c>
      <c r="F281" s="26">
        <v>0.0</v>
      </c>
      <c r="G281" s="27">
        <v>26500.0</v>
      </c>
      <c r="H281" s="29">
        <v>13250.0</v>
      </c>
      <c r="I281" s="20">
        <f t="shared" si="1"/>
        <v>50</v>
      </c>
      <c r="J281" s="31" t="s">
        <v>235</v>
      </c>
      <c r="K281" s="26" t="s">
        <v>236</v>
      </c>
      <c r="L281" s="25" t="s">
        <v>232</v>
      </c>
    </row>
    <row r="282" ht="19.5" customHeight="1">
      <c r="A282" s="13" t="s">
        <v>1391</v>
      </c>
      <c r="B282" s="13" t="s">
        <v>794</v>
      </c>
      <c r="C282" s="14" t="str">
        <f>IF(B282&lt;&gt;"",IFERROR(VLOOKUP(B282,'📦 Productos'!A:C,3,FALSE),""),"")</f>
        <v>REVLON SUPER LUSTROUS NAIL ENAMEL ESMATE</v>
      </c>
      <c r="D282" s="13" t="s">
        <v>795</v>
      </c>
      <c r="E282" s="13" t="s">
        <v>232</v>
      </c>
      <c r="F282" s="16">
        <v>0.0</v>
      </c>
      <c r="G282" s="17">
        <v>12400.0</v>
      </c>
      <c r="H282" s="18">
        <v>6200.0</v>
      </c>
      <c r="I282" s="20">
        <f t="shared" si="1"/>
        <v>50</v>
      </c>
      <c r="J282" s="22" t="s">
        <v>235</v>
      </c>
      <c r="K282" s="16" t="s">
        <v>236</v>
      </c>
      <c r="L282" s="13" t="s">
        <v>232</v>
      </c>
    </row>
    <row r="283" ht="19.5" customHeight="1">
      <c r="A283" s="25" t="s">
        <v>1392</v>
      </c>
      <c r="B283" s="25" t="s">
        <v>800</v>
      </c>
      <c r="C283" s="14" t="str">
        <f>IF(B283&lt;&gt;"",IFERROR(VLOOKUP(B283,'📦 Productos'!A:C,3,FALSE),""),"")</f>
        <v>REVLON ESM COL GEL 010N</v>
      </c>
      <c r="D283" s="25" t="s">
        <v>232</v>
      </c>
      <c r="E283" s="25" t="s">
        <v>232</v>
      </c>
      <c r="F283" s="26">
        <v>0.0</v>
      </c>
      <c r="G283" s="27">
        <v>12700.0</v>
      </c>
      <c r="H283" s="29"/>
      <c r="I283" s="20">
        <f t="shared" si="1"/>
        <v>0</v>
      </c>
      <c r="J283" s="31" t="s">
        <v>235</v>
      </c>
      <c r="K283" s="26" t="s">
        <v>236</v>
      </c>
      <c r="L283" s="25" t="s">
        <v>232</v>
      </c>
    </row>
    <row r="284" ht="19.5" customHeight="1">
      <c r="A284" s="13" t="s">
        <v>1393</v>
      </c>
      <c r="B284" s="13" t="s">
        <v>804</v>
      </c>
      <c r="C284" s="14" t="str">
        <f>IF(B284&lt;&gt;"",IFERROR(VLOOKUP(B284,'📦 Productos'!A:C,3,FALSE),""),"")</f>
        <v>REVLON ESM COL GEL</v>
      </c>
      <c r="D284" s="13" t="s">
        <v>232</v>
      </c>
      <c r="E284" s="13" t="s">
        <v>232</v>
      </c>
      <c r="F284" s="16">
        <v>0.0</v>
      </c>
      <c r="G284" s="17">
        <v>12700.0</v>
      </c>
      <c r="H284" s="18">
        <v>6350.0</v>
      </c>
      <c r="I284" s="20">
        <f t="shared" si="1"/>
        <v>50</v>
      </c>
      <c r="J284" s="22" t="s">
        <v>235</v>
      </c>
      <c r="K284" s="16" t="s">
        <v>236</v>
      </c>
      <c r="L284" s="13" t="s">
        <v>232</v>
      </c>
    </row>
    <row r="285" ht="19.5" customHeight="1">
      <c r="A285" s="25" t="s">
        <v>1394</v>
      </c>
      <c r="B285" s="25" t="s">
        <v>804</v>
      </c>
      <c r="C285" s="14" t="str">
        <f>IF(B285&lt;&gt;"",IFERROR(VLOOKUP(B285,'📦 Productos'!A:C,3,FALSE),""),"")</f>
        <v>REVLON ESM COL GEL</v>
      </c>
      <c r="D285" s="25" t="s">
        <v>232</v>
      </c>
      <c r="E285" s="25" t="s">
        <v>232</v>
      </c>
      <c r="F285" s="26">
        <v>0.0</v>
      </c>
      <c r="G285" s="27">
        <v>12700.0</v>
      </c>
      <c r="H285" s="29">
        <v>6350.0</v>
      </c>
      <c r="I285" s="20">
        <f t="shared" si="1"/>
        <v>50</v>
      </c>
      <c r="J285" s="31" t="s">
        <v>235</v>
      </c>
      <c r="K285" s="26" t="s">
        <v>236</v>
      </c>
      <c r="L285" s="25" t="s">
        <v>232</v>
      </c>
    </row>
    <row r="286" ht="19.5" customHeight="1">
      <c r="A286" s="13" t="s">
        <v>1395</v>
      </c>
      <c r="B286" s="13" t="s">
        <v>804</v>
      </c>
      <c r="C286" s="14" t="str">
        <f>IF(B286&lt;&gt;"",IFERROR(VLOOKUP(B286,'📦 Productos'!A:C,3,FALSE),""),"")</f>
        <v>REVLON ESM COL GEL</v>
      </c>
      <c r="D286" s="13" t="s">
        <v>232</v>
      </c>
      <c r="E286" s="13" t="s">
        <v>232</v>
      </c>
      <c r="F286" s="16">
        <v>0.0</v>
      </c>
      <c r="G286" s="17">
        <v>12700.0</v>
      </c>
      <c r="H286" s="18">
        <v>6350.0</v>
      </c>
      <c r="I286" s="20">
        <f t="shared" si="1"/>
        <v>50</v>
      </c>
      <c r="J286" s="22" t="s">
        <v>235</v>
      </c>
      <c r="K286" s="16" t="s">
        <v>236</v>
      </c>
      <c r="L286" s="13" t="s">
        <v>232</v>
      </c>
    </row>
    <row r="287" ht="19.5" customHeight="1">
      <c r="A287" s="25" t="s">
        <v>1396</v>
      </c>
      <c r="B287" s="25" t="s">
        <v>804</v>
      </c>
      <c r="C287" s="14" t="str">
        <f>IF(B287&lt;&gt;"",IFERROR(VLOOKUP(B287,'📦 Productos'!A:C,3,FALSE),""),"")</f>
        <v>REVLON ESM COL GEL</v>
      </c>
      <c r="D287" s="25" t="s">
        <v>232</v>
      </c>
      <c r="E287" s="25" t="s">
        <v>232</v>
      </c>
      <c r="F287" s="26">
        <v>0.0</v>
      </c>
      <c r="G287" s="27">
        <v>12700.0</v>
      </c>
      <c r="H287" s="29">
        <v>6350.0</v>
      </c>
      <c r="I287" s="20">
        <f t="shared" si="1"/>
        <v>50</v>
      </c>
      <c r="J287" s="31" t="s">
        <v>235</v>
      </c>
      <c r="K287" s="26" t="s">
        <v>236</v>
      </c>
      <c r="L287" s="25" t="s">
        <v>232</v>
      </c>
    </row>
    <row r="288" ht="19.5" customHeight="1">
      <c r="A288" s="13" t="s">
        <v>1397</v>
      </c>
      <c r="B288" s="13" t="s">
        <v>804</v>
      </c>
      <c r="C288" s="14" t="str">
        <f>IF(B288&lt;&gt;"",IFERROR(VLOOKUP(B288,'📦 Productos'!A:C,3,FALSE),""),"")</f>
        <v>REVLON ESM COL GEL</v>
      </c>
      <c r="D288" s="13" t="s">
        <v>232</v>
      </c>
      <c r="E288" s="13" t="s">
        <v>232</v>
      </c>
      <c r="F288" s="16">
        <v>0.0</v>
      </c>
      <c r="G288" s="17">
        <v>12700.0</v>
      </c>
      <c r="H288" s="18">
        <v>6350.0</v>
      </c>
      <c r="I288" s="20">
        <f t="shared" si="1"/>
        <v>50</v>
      </c>
      <c r="J288" s="22" t="s">
        <v>235</v>
      </c>
      <c r="K288" s="16" t="s">
        <v>236</v>
      </c>
      <c r="L288" s="13" t="s">
        <v>232</v>
      </c>
    </row>
    <row r="289" ht="19.5" customHeight="1">
      <c r="A289" s="25" t="s">
        <v>1398</v>
      </c>
      <c r="B289" s="25" t="s">
        <v>804</v>
      </c>
      <c r="C289" s="14" t="str">
        <f>IF(B289&lt;&gt;"",IFERROR(VLOOKUP(B289,'📦 Productos'!A:C,3,FALSE),""),"")</f>
        <v>REVLON ESM COL GEL</v>
      </c>
      <c r="D289" s="25" t="s">
        <v>232</v>
      </c>
      <c r="E289" s="25" t="s">
        <v>232</v>
      </c>
      <c r="F289" s="26">
        <v>0.0</v>
      </c>
      <c r="G289" s="27">
        <v>12700.0</v>
      </c>
      <c r="H289" s="29">
        <v>6350.0</v>
      </c>
      <c r="I289" s="20">
        <f t="shared" si="1"/>
        <v>50</v>
      </c>
      <c r="J289" s="31" t="s">
        <v>235</v>
      </c>
      <c r="K289" s="26" t="s">
        <v>236</v>
      </c>
      <c r="L289" s="25" t="s">
        <v>232</v>
      </c>
    </row>
    <row r="290" ht="19.5" customHeight="1">
      <c r="A290" s="13" t="s">
        <v>1399</v>
      </c>
      <c r="B290" s="13" t="s">
        <v>804</v>
      </c>
      <c r="C290" s="14" t="str">
        <f>IF(B290&lt;&gt;"",IFERROR(VLOOKUP(B290,'📦 Productos'!A:C,3,FALSE),""),"")</f>
        <v>REVLON ESM COL GEL</v>
      </c>
      <c r="D290" s="13" t="s">
        <v>232</v>
      </c>
      <c r="E290" s="13" t="s">
        <v>232</v>
      </c>
      <c r="F290" s="16">
        <v>0.0</v>
      </c>
      <c r="G290" s="17">
        <v>12700.0</v>
      </c>
      <c r="H290" s="18">
        <v>6350.0</v>
      </c>
      <c r="I290" s="20">
        <f t="shared" si="1"/>
        <v>50</v>
      </c>
      <c r="J290" s="22" t="s">
        <v>235</v>
      </c>
      <c r="K290" s="16" t="s">
        <v>236</v>
      </c>
      <c r="L290" s="13" t="s">
        <v>232</v>
      </c>
    </row>
    <row r="291" ht="19.5" customHeight="1">
      <c r="A291" s="25" t="s">
        <v>1400</v>
      </c>
      <c r="B291" s="25" t="s">
        <v>804</v>
      </c>
      <c r="C291" s="14" t="str">
        <f>IF(B291&lt;&gt;"",IFERROR(VLOOKUP(B291,'📦 Productos'!A:C,3,FALSE),""),"")</f>
        <v>REVLON ESM COL GEL</v>
      </c>
      <c r="D291" s="25" t="s">
        <v>232</v>
      </c>
      <c r="E291" s="25" t="s">
        <v>232</v>
      </c>
      <c r="F291" s="26">
        <v>0.0</v>
      </c>
      <c r="G291" s="27">
        <v>12700.0</v>
      </c>
      <c r="H291" s="29">
        <v>6350.0</v>
      </c>
      <c r="I291" s="20">
        <f t="shared" si="1"/>
        <v>50</v>
      </c>
      <c r="J291" s="31" t="s">
        <v>235</v>
      </c>
      <c r="K291" s="26" t="s">
        <v>236</v>
      </c>
      <c r="L291" s="25" t="s">
        <v>232</v>
      </c>
    </row>
    <row r="292" ht="19.5" customHeight="1">
      <c r="A292" s="13" t="s">
        <v>1401</v>
      </c>
      <c r="B292" s="13" t="s">
        <v>804</v>
      </c>
      <c r="C292" s="14" t="str">
        <f>IF(B292&lt;&gt;"",IFERROR(VLOOKUP(B292,'📦 Productos'!A:C,3,FALSE),""),"")</f>
        <v>REVLON ESM COL GEL</v>
      </c>
      <c r="D292" s="13" t="s">
        <v>232</v>
      </c>
      <c r="E292" s="13" t="s">
        <v>232</v>
      </c>
      <c r="F292" s="16">
        <v>0.0</v>
      </c>
      <c r="G292" s="17">
        <v>12700.0</v>
      </c>
      <c r="H292" s="18">
        <v>6350.0</v>
      </c>
      <c r="I292" s="20">
        <f t="shared" si="1"/>
        <v>50</v>
      </c>
      <c r="J292" s="22" t="s">
        <v>235</v>
      </c>
      <c r="K292" s="16" t="s">
        <v>236</v>
      </c>
      <c r="L292" s="13" t="s">
        <v>232</v>
      </c>
    </row>
    <row r="293" ht="19.5" customHeight="1">
      <c r="A293" s="25" t="s">
        <v>1402</v>
      </c>
      <c r="B293" s="25" t="s">
        <v>804</v>
      </c>
      <c r="C293" s="14" t="str">
        <f>IF(B293&lt;&gt;"",IFERROR(VLOOKUP(B293,'📦 Productos'!A:C,3,FALSE),""),"")</f>
        <v>REVLON ESM COL GEL</v>
      </c>
      <c r="D293" s="25" t="s">
        <v>232</v>
      </c>
      <c r="E293" s="25" t="s">
        <v>232</v>
      </c>
      <c r="F293" s="26">
        <v>0.0</v>
      </c>
      <c r="G293" s="27">
        <v>12700.0</v>
      </c>
      <c r="H293" s="29">
        <v>6350.0</v>
      </c>
      <c r="I293" s="20">
        <f t="shared" si="1"/>
        <v>50</v>
      </c>
      <c r="J293" s="31" t="s">
        <v>235</v>
      </c>
      <c r="K293" s="26" t="s">
        <v>236</v>
      </c>
      <c r="L293" s="25" t="s">
        <v>232</v>
      </c>
    </row>
    <row r="294" ht="19.5" customHeight="1">
      <c r="A294" s="13" t="s">
        <v>1403</v>
      </c>
      <c r="B294" s="13" t="s">
        <v>804</v>
      </c>
      <c r="C294" s="14" t="str">
        <f>IF(B294&lt;&gt;"",IFERROR(VLOOKUP(B294,'📦 Productos'!A:C,3,FALSE),""),"")</f>
        <v>REVLON ESM COL GEL</v>
      </c>
      <c r="D294" s="13" t="s">
        <v>232</v>
      </c>
      <c r="E294" s="13" t="s">
        <v>232</v>
      </c>
      <c r="F294" s="16">
        <v>0.0</v>
      </c>
      <c r="G294" s="17">
        <v>12700.0</v>
      </c>
      <c r="H294" s="18">
        <v>6350.0</v>
      </c>
      <c r="I294" s="20">
        <f t="shared" si="1"/>
        <v>50</v>
      </c>
      <c r="J294" s="22" t="s">
        <v>235</v>
      </c>
      <c r="K294" s="16" t="s">
        <v>236</v>
      </c>
      <c r="L294" s="13" t="s">
        <v>232</v>
      </c>
    </row>
    <row r="295" ht="19.5" customHeight="1">
      <c r="A295" s="25" t="s">
        <v>1404</v>
      </c>
      <c r="B295" s="25" t="s">
        <v>809</v>
      </c>
      <c r="C295" s="14" t="str">
        <f>IF(B295&lt;&gt;"",IFERROR(VLOOKUP(B295,'📦 Productos'!A:C,3,FALSE),""),"")</f>
        <v>REVLON ULTRA HD SNAP ESMALTE BLUE MY MIND</v>
      </c>
      <c r="D295" s="25" t="s">
        <v>810</v>
      </c>
      <c r="E295" s="25" t="s">
        <v>232</v>
      </c>
      <c r="F295" s="26">
        <v>0.0</v>
      </c>
      <c r="G295" s="27">
        <v>15500.0</v>
      </c>
      <c r="H295" s="29">
        <v>7750.0</v>
      </c>
      <c r="I295" s="20">
        <f t="shared" si="1"/>
        <v>50</v>
      </c>
      <c r="J295" s="31" t="s">
        <v>235</v>
      </c>
      <c r="K295" s="26" t="s">
        <v>236</v>
      </c>
      <c r="L295" s="25" t="s">
        <v>232</v>
      </c>
    </row>
    <row r="296" ht="19.5" customHeight="1">
      <c r="A296" s="13" t="s">
        <v>1405</v>
      </c>
      <c r="B296" s="13" t="s">
        <v>815</v>
      </c>
      <c r="C296" s="14" t="str">
        <f>IF(B296&lt;&gt;"",IFERROR(VLOOKUP(B296,'📦 Productos'!A:C,3,FALSE),""),"")</f>
        <v>REVLON ULTRA HD SNAP ESMALTE BRIGHT SIDE</v>
      </c>
      <c r="D296" s="13" t="s">
        <v>817</v>
      </c>
      <c r="E296" s="13" t="s">
        <v>232</v>
      </c>
      <c r="F296" s="16">
        <v>0.0</v>
      </c>
      <c r="G296" s="17">
        <v>15500.0</v>
      </c>
      <c r="H296" s="18">
        <v>7750.0</v>
      </c>
      <c r="I296" s="20">
        <f t="shared" si="1"/>
        <v>50</v>
      </c>
      <c r="J296" s="22" t="s">
        <v>235</v>
      </c>
      <c r="K296" s="16" t="s">
        <v>236</v>
      </c>
      <c r="L296" s="13" t="s">
        <v>232</v>
      </c>
    </row>
    <row r="297" ht="19.5" customHeight="1">
      <c r="A297" s="25" t="s">
        <v>1406</v>
      </c>
      <c r="B297" s="25" t="s">
        <v>821</v>
      </c>
      <c r="C297" s="14" t="str">
        <f>IF(B297&lt;&gt;"",IFERROR(VLOOKUP(B297,'📦 Productos'!A:C,3,FALSE),""),"")</f>
        <v>REVLON ULTRA HD SNAP ESMALTE DAREDEVIL</v>
      </c>
      <c r="D297" s="25" t="s">
        <v>822</v>
      </c>
      <c r="E297" s="25" t="s">
        <v>232</v>
      </c>
      <c r="F297" s="26">
        <v>0.0</v>
      </c>
      <c r="G297" s="27">
        <v>15500.0</v>
      </c>
      <c r="H297" s="29">
        <v>7750.0</v>
      </c>
      <c r="I297" s="20">
        <f t="shared" si="1"/>
        <v>50</v>
      </c>
      <c r="J297" s="31" t="s">
        <v>235</v>
      </c>
      <c r="K297" s="26" t="s">
        <v>236</v>
      </c>
      <c r="L297" s="25" t="s">
        <v>232</v>
      </c>
    </row>
    <row r="298" ht="19.5" customHeight="1">
      <c r="A298" s="13" t="s">
        <v>1407</v>
      </c>
      <c r="B298" s="13" t="s">
        <v>826</v>
      </c>
      <c r="C298" s="14" t="str">
        <f>IF(B298&lt;&gt;"",IFERROR(VLOOKUP(B298,'📦 Productos'!A:C,3,FALSE),""),"")</f>
        <v>REVLON ULTRA HD SNAP ESMALTE</v>
      </c>
      <c r="D298" s="13" t="s">
        <v>828</v>
      </c>
      <c r="E298" s="13" t="s">
        <v>232</v>
      </c>
      <c r="F298" s="16">
        <v>0.0</v>
      </c>
      <c r="G298" s="17">
        <v>15500.0</v>
      </c>
      <c r="H298" s="18"/>
      <c r="I298" s="20">
        <f t="shared" si="1"/>
        <v>0</v>
      </c>
      <c r="J298" s="22" t="s">
        <v>235</v>
      </c>
      <c r="K298" s="16" t="s">
        <v>236</v>
      </c>
      <c r="L298" s="13" t="s">
        <v>232</v>
      </c>
    </row>
    <row r="299" ht="19.5" customHeight="1">
      <c r="A299" s="25" t="s">
        <v>1408</v>
      </c>
      <c r="B299" s="25" t="s">
        <v>826</v>
      </c>
      <c r="C299" s="14" t="str">
        <f>IF(B299&lt;&gt;"",IFERROR(VLOOKUP(B299,'📦 Productos'!A:C,3,FALSE),""),"")</f>
        <v>REVLON ULTRA HD SNAP ESMALTE</v>
      </c>
      <c r="D299" s="25" t="s">
        <v>1409</v>
      </c>
      <c r="E299" s="25" t="s">
        <v>232</v>
      </c>
      <c r="F299" s="26">
        <v>0.0</v>
      </c>
      <c r="G299" s="27">
        <v>15500.0</v>
      </c>
      <c r="H299" s="29"/>
      <c r="I299" s="20">
        <f t="shared" si="1"/>
        <v>0</v>
      </c>
      <c r="J299" s="31" t="s">
        <v>235</v>
      </c>
      <c r="K299" s="26" t="s">
        <v>236</v>
      </c>
      <c r="L299" s="25" t="s">
        <v>232</v>
      </c>
    </row>
    <row r="300" ht="19.5" customHeight="1">
      <c r="A300" s="13" t="s">
        <v>1410</v>
      </c>
      <c r="B300" s="13" t="s">
        <v>826</v>
      </c>
      <c r="C300" s="14" t="str">
        <f>IF(B300&lt;&gt;"",IFERROR(VLOOKUP(B300,'📦 Productos'!A:C,3,FALSE),""),"")</f>
        <v>REVLON ULTRA HD SNAP ESMALTE</v>
      </c>
      <c r="D300" s="13" t="s">
        <v>1411</v>
      </c>
      <c r="E300" s="13" t="s">
        <v>232</v>
      </c>
      <c r="F300" s="16">
        <v>0.0</v>
      </c>
      <c r="G300" s="17">
        <v>15500.0</v>
      </c>
      <c r="H300" s="18"/>
      <c r="I300" s="20">
        <f t="shared" si="1"/>
        <v>0</v>
      </c>
      <c r="J300" s="22" t="s">
        <v>235</v>
      </c>
      <c r="K300" s="16" t="s">
        <v>236</v>
      </c>
      <c r="L300" s="13" t="s">
        <v>232</v>
      </c>
    </row>
    <row r="301" ht="19.5" customHeight="1">
      <c r="A301" s="25" t="s">
        <v>1412</v>
      </c>
      <c r="B301" s="25" t="s">
        <v>826</v>
      </c>
      <c r="C301" s="14" t="str">
        <f>IF(B301&lt;&gt;"",IFERROR(VLOOKUP(B301,'📦 Productos'!A:C,3,FALSE),""),"")</f>
        <v>REVLON ULTRA HD SNAP ESMALTE</v>
      </c>
      <c r="D301" s="25" t="s">
        <v>1413</v>
      </c>
      <c r="E301" s="25" t="s">
        <v>232</v>
      </c>
      <c r="F301" s="26">
        <v>0.0</v>
      </c>
      <c r="G301" s="27">
        <v>15500.0</v>
      </c>
      <c r="H301" s="29"/>
      <c r="I301" s="20">
        <f t="shared" si="1"/>
        <v>0</v>
      </c>
      <c r="J301" s="31" t="s">
        <v>235</v>
      </c>
      <c r="K301" s="26" t="s">
        <v>236</v>
      </c>
      <c r="L301" s="25" t="s">
        <v>232</v>
      </c>
    </row>
    <row r="302" ht="19.5" customHeight="1">
      <c r="A302" s="13" t="s">
        <v>1414</v>
      </c>
      <c r="B302" s="13" t="s">
        <v>826</v>
      </c>
      <c r="C302" s="14" t="str">
        <f>IF(B302&lt;&gt;"",IFERROR(VLOOKUP(B302,'📦 Productos'!A:C,3,FALSE),""),"")</f>
        <v>REVLON ULTRA HD SNAP ESMALTE</v>
      </c>
      <c r="D302" s="13" t="s">
        <v>1415</v>
      </c>
      <c r="E302" s="13" t="s">
        <v>232</v>
      </c>
      <c r="F302" s="16">
        <v>0.0</v>
      </c>
      <c r="G302" s="17">
        <v>15500.0</v>
      </c>
      <c r="H302" s="18"/>
      <c r="I302" s="20">
        <f t="shared" si="1"/>
        <v>0</v>
      </c>
      <c r="J302" s="22" t="s">
        <v>235</v>
      </c>
      <c r="K302" s="16" t="s">
        <v>236</v>
      </c>
      <c r="L302" s="13" t="s">
        <v>232</v>
      </c>
    </row>
    <row r="303" ht="19.5" customHeight="1">
      <c r="A303" s="25" t="s">
        <v>1416</v>
      </c>
      <c r="B303" s="25" t="s">
        <v>826</v>
      </c>
      <c r="C303" s="14" t="str">
        <f>IF(B303&lt;&gt;"",IFERROR(VLOOKUP(B303,'📦 Productos'!A:C,3,FALSE),""),"")</f>
        <v>REVLON ULTRA HD SNAP ESMALTE</v>
      </c>
      <c r="D303" s="25" t="s">
        <v>1417</v>
      </c>
      <c r="E303" s="25" t="s">
        <v>232</v>
      </c>
      <c r="F303" s="26">
        <v>0.0</v>
      </c>
      <c r="G303" s="27">
        <v>15500.0</v>
      </c>
      <c r="H303" s="29"/>
      <c r="I303" s="20">
        <f t="shared" si="1"/>
        <v>0</v>
      </c>
      <c r="J303" s="31" t="s">
        <v>235</v>
      </c>
      <c r="K303" s="26" t="s">
        <v>236</v>
      </c>
      <c r="L303" s="25" t="s">
        <v>232</v>
      </c>
    </row>
    <row r="304" ht="19.5" customHeight="1">
      <c r="A304" s="13" t="s">
        <v>1418</v>
      </c>
      <c r="B304" s="13" t="s">
        <v>826</v>
      </c>
      <c r="C304" s="14" t="str">
        <f>IF(B304&lt;&gt;"",IFERROR(VLOOKUP(B304,'📦 Productos'!A:C,3,FALSE),""),"")</f>
        <v>REVLON ULTRA HD SNAP ESMALTE</v>
      </c>
      <c r="D304" s="13" t="s">
        <v>1419</v>
      </c>
      <c r="E304" s="13" t="s">
        <v>232</v>
      </c>
      <c r="F304" s="16">
        <v>0.0</v>
      </c>
      <c r="G304" s="17">
        <v>15500.0</v>
      </c>
      <c r="H304" s="18"/>
      <c r="I304" s="20">
        <f t="shared" si="1"/>
        <v>0</v>
      </c>
      <c r="J304" s="22" t="s">
        <v>235</v>
      </c>
      <c r="K304" s="16" t="s">
        <v>236</v>
      </c>
      <c r="L304" s="13" t="s">
        <v>232</v>
      </c>
    </row>
    <row r="305" ht="19.5" customHeight="1">
      <c r="A305" s="25" t="s">
        <v>1420</v>
      </c>
      <c r="B305" s="25" t="s">
        <v>832</v>
      </c>
      <c r="C305" s="14" t="str">
        <f>IF(B305&lt;&gt;"",IFERROR(VLOOKUP(B305,'📦 Productos'!A:C,3,FALSE),""),"")</f>
        <v>REVLON ULTRA HD SNAP ESMALTE NO DRAMA</v>
      </c>
      <c r="D305" s="25" t="s">
        <v>833</v>
      </c>
      <c r="E305" s="25" t="s">
        <v>232</v>
      </c>
      <c r="F305" s="26">
        <v>0.0</v>
      </c>
      <c r="G305" s="27">
        <v>15500.0</v>
      </c>
      <c r="H305" s="29">
        <v>7750.0</v>
      </c>
      <c r="I305" s="20">
        <f t="shared" si="1"/>
        <v>50</v>
      </c>
      <c r="J305" s="31" t="s">
        <v>235</v>
      </c>
      <c r="K305" s="26" t="s">
        <v>236</v>
      </c>
      <c r="L305" s="25" t="s">
        <v>232</v>
      </c>
    </row>
    <row r="306" ht="19.5" customHeight="1">
      <c r="A306" s="13" t="s">
        <v>1421</v>
      </c>
      <c r="B306" s="13" t="s">
        <v>838</v>
      </c>
      <c r="C306" s="14" t="str">
        <f>IF(B306&lt;&gt;"",IFERROR(VLOOKUP(B306,'📦 Productos'!A:C,3,FALSE),""),"")</f>
        <v>REVLON ULTRA HD SNAP ESMALTE RULE THE WORLD</v>
      </c>
      <c r="D306" s="13" t="s">
        <v>839</v>
      </c>
      <c r="E306" s="13" t="s">
        <v>232</v>
      </c>
      <c r="F306" s="16">
        <v>0.0</v>
      </c>
      <c r="G306" s="17">
        <v>15500.0</v>
      </c>
      <c r="H306" s="18"/>
      <c r="I306" s="20">
        <f t="shared" si="1"/>
        <v>0</v>
      </c>
      <c r="J306" s="22" t="s">
        <v>235</v>
      </c>
      <c r="K306" s="16" t="s">
        <v>236</v>
      </c>
      <c r="L306" s="13" t="s">
        <v>232</v>
      </c>
    </row>
    <row r="307" ht="19.5" customHeight="1">
      <c r="A307" s="25" t="s">
        <v>1422</v>
      </c>
      <c r="B307" s="25" t="s">
        <v>844</v>
      </c>
      <c r="C307" s="14" t="str">
        <f>IF(B307&lt;&gt;"",IFERROR(VLOOKUP(B307,'📦 Productos'!A:C,3,FALSE),""),"")</f>
        <v>REVLON COLORSTAY FACE + BODY GLOW LOTION</v>
      </c>
      <c r="D307" s="25" t="s">
        <v>845</v>
      </c>
      <c r="E307" s="25" t="s">
        <v>232</v>
      </c>
      <c r="F307" s="26">
        <v>0.0</v>
      </c>
      <c r="G307" s="27">
        <v>26400.0</v>
      </c>
      <c r="H307" s="29">
        <v>17160.0</v>
      </c>
      <c r="I307" s="20">
        <f t="shared" si="1"/>
        <v>35</v>
      </c>
      <c r="J307" s="31" t="s">
        <v>235</v>
      </c>
      <c r="K307" s="26" t="s">
        <v>236</v>
      </c>
      <c r="L307" s="25" t="s">
        <v>232</v>
      </c>
    </row>
    <row r="308" ht="19.5" customHeight="1">
      <c r="A308" s="13" t="s">
        <v>1423</v>
      </c>
      <c r="B308" s="13" t="s">
        <v>844</v>
      </c>
      <c r="C308" s="14" t="str">
        <f>IF(B308&lt;&gt;"",IFERROR(VLOOKUP(B308,'📦 Productos'!A:C,3,FALSE),""),"")</f>
        <v>REVLON COLORSTAY FACE + BODY GLOW LOTION</v>
      </c>
      <c r="D308" s="13" t="s">
        <v>1424</v>
      </c>
      <c r="E308" s="13" t="s">
        <v>232</v>
      </c>
      <c r="F308" s="16">
        <v>0.0</v>
      </c>
      <c r="G308" s="17">
        <v>26400.0</v>
      </c>
      <c r="H308" s="18">
        <v>17160.0</v>
      </c>
      <c r="I308" s="20">
        <f t="shared" si="1"/>
        <v>35</v>
      </c>
      <c r="J308" s="22" t="s">
        <v>235</v>
      </c>
      <c r="K308" s="16" t="s">
        <v>236</v>
      </c>
      <c r="L308" s="13" t="s">
        <v>232</v>
      </c>
    </row>
    <row r="309" ht="19.5" customHeight="1">
      <c r="A309" s="25" t="s">
        <v>1425</v>
      </c>
      <c r="B309" s="25" t="s">
        <v>844</v>
      </c>
      <c r="C309" s="14" t="str">
        <f>IF(B309&lt;&gt;"",IFERROR(VLOOKUP(B309,'📦 Productos'!A:C,3,FALSE),""),"")</f>
        <v>REVLON COLORSTAY FACE + BODY GLOW LOTION</v>
      </c>
      <c r="D309" s="25" t="s">
        <v>1426</v>
      </c>
      <c r="E309" s="25" t="s">
        <v>232</v>
      </c>
      <c r="F309" s="26">
        <v>0.0</v>
      </c>
      <c r="G309" s="27">
        <v>26400.0</v>
      </c>
      <c r="H309" s="29">
        <v>17160.0</v>
      </c>
      <c r="I309" s="20">
        <f t="shared" si="1"/>
        <v>35</v>
      </c>
      <c r="J309" s="31" t="s">
        <v>235</v>
      </c>
      <c r="K309" s="26" t="s">
        <v>236</v>
      </c>
      <c r="L309" s="25" t="s">
        <v>232</v>
      </c>
    </row>
    <row r="310" ht="19.5" customHeight="1">
      <c r="A310" s="13" t="s">
        <v>1427</v>
      </c>
      <c r="B310" s="13" t="s">
        <v>850</v>
      </c>
      <c r="C310" s="14" t="str">
        <f>IF(B310&lt;&gt;"",IFERROR(VLOOKUP(B310,'📦 Productos'!A:C,3,FALSE),""),"")</f>
        <v>REVLON FACIAL ROLLER PIEDRA JADE</v>
      </c>
      <c r="D310" s="13" t="s">
        <v>852</v>
      </c>
      <c r="E310" s="13" t="s">
        <v>232</v>
      </c>
      <c r="F310" s="16">
        <v>0.0</v>
      </c>
      <c r="G310" s="17">
        <v>24900.0</v>
      </c>
      <c r="H310" s="18">
        <v>12450.0</v>
      </c>
      <c r="I310" s="20">
        <f t="shared" si="1"/>
        <v>50</v>
      </c>
      <c r="J310" s="22" t="s">
        <v>235</v>
      </c>
      <c r="K310" s="16" t="s">
        <v>236</v>
      </c>
      <c r="L310" s="13" t="s">
        <v>232</v>
      </c>
    </row>
    <row r="311" ht="19.5" customHeight="1">
      <c r="A311" s="25" t="s">
        <v>1428</v>
      </c>
      <c r="B311" s="25" t="s">
        <v>859</v>
      </c>
      <c r="C311" s="14" t="str">
        <f>IF(B311&lt;&gt;"",IFERROR(VLOOKUP(B311,'📦 Productos'!A:C,3,FALSE),""),"")</f>
        <v>REVLON COLORSTAY FLEX WEAR FULL COVER CONCEALER</v>
      </c>
      <c r="D311" s="25" t="s">
        <v>860</v>
      </c>
      <c r="E311" s="25" t="s">
        <v>232</v>
      </c>
      <c r="F311" s="26">
        <v>0.0</v>
      </c>
      <c r="G311" s="27">
        <v>32500.0</v>
      </c>
      <c r="H311" s="29">
        <v>16250.0</v>
      </c>
      <c r="I311" s="20">
        <f t="shared" si="1"/>
        <v>50</v>
      </c>
      <c r="J311" s="31" t="s">
        <v>235</v>
      </c>
      <c r="K311" s="26" t="s">
        <v>236</v>
      </c>
      <c r="L311" s="25" t="s">
        <v>232</v>
      </c>
    </row>
    <row r="312" ht="19.5" customHeight="1">
      <c r="A312" s="13" t="s">
        <v>1429</v>
      </c>
      <c r="B312" s="13" t="s">
        <v>859</v>
      </c>
      <c r="C312" s="14" t="str">
        <f>IF(B312&lt;&gt;"",IFERROR(VLOOKUP(B312,'📦 Productos'!A:C,3,FALSE),""),"")</f>
        <v>REVLON COLORSTAY FLEX WEAR FULL COVER CONCEALER</v>
      </c>
      <c r="D312" s="13" t="s">
        <v>1430</v>
      </c>
      <c r="E312" s="13" t="s">
        <v>232</v>
      </c>
      <c r="F312" s="16">
        <v>0.0</v>
      </c>
      <c r="G312" s="17">
        <v>32500.0</v>
      </c>
      <c r="H312" s="18">
        <v>21125.0</v>
      </c>
      <c r="I312" s="20">
        <f t="shared" si="1"/>
        <v>35</v>
      </c>
      <c r="J312" s="22" t="s">
        <v>235</v>
      </c>
      <c r="K312" s="16" t="s">
        <v>236</v>
      </c>
      <c r="L312" s="13" t="s">
        <v>232</v>
      </c>
    </row>
    <row r="313" ht="19.5" customHeight="1">
      <c r="A313" s="25" t="s">
        <v>1431</v>
      </c>
      <c r="B313" s="25" t="s">
        <v>859</v>
      </c>
      <c r="C313" s="14" t="str">
        <f>IF(B313&lt;&gt;"",IFERROR(VLOOKUP(B313,'📦 Productos'!A:C,3,FALSE),""),"")</f>
        <v>REVLON COLORSTAY FLEX WEAR FULL COVER CONCEALER</v>
      </c>
      <c r="D313" s="25" t="s">
        <v>1432</v>
      </c>
      <c r="E313" s="25" t="s">
        <v>232</v>
      </c>
      <c r="F313" s="26">
        <v>0.0</v>
      </c>
      <c r="G313" s="27">
        <v>32500.0</v>
      </c>
      <c r="H313" s="29">
        <v>21125.0</v>
      </c>
      <c r="I313" s="20">
        <f t="shared" si="1"/>
        <v>35</v>
      </c>
      <c r="J313" s="31" t="s">
        <v>235</v>
      </c>
      <c r="K313" s="26" t="s">
        <v>236</v>
      </c>
      <c r="L313" s="25" t="s">
        <v>232</v>
      </c>
    </row>
    <row r="314" ht="19.5" customHeight="1">
      <c r="A314" s="13" t="s">
        <v>1433</v>
      </c>
      <c r="B314" s="13" t="s">
        <v>859</v>
      </c>
      <c r="C314" s="14" t="str">
        <f>IF(B314&lt;&gt;"",IFERROR(VLOOKUP(B314,'📦 Productos'!A:C,3,FALSE),""),"")</f>
        <v>REVLON COLORSTAY FLEX WEAR FULL COVER CONCEALER</v>
      </c>
      <c r="D314" s="13" t="s">
        <v>1434</v>
      </c>
      <c r="E314" s="13" t="s">
        <v>232</v>
      </c>
      <c r="F314" s="16">
        <v>0.0</v>
      </c>
      <c r="G314" s="17">
        <v>32500.0</v>
      </c>
      <c r="H314" s="18">
        <v>16250.0</v>
      </c>
      <c r="I314" s="20">
        <f t="shared" si="1"/>
        <v>50</v>
      </c>
      <c r="J314" s="22" t="s">
        <v>235</v>
      </c>
      <c r="K314" s="16" t="s">
        <v>236</v>
      </c>
      <c r="L314" s="13" t="s">
        <v>232</v>
      </c>
    </row>
    <row r="315" ht="19.5" customHeight="1">
      <c r="A315" s="25" t="s">
        <v>1435</v>
      </c>
      <c r="B315" s="25" t="s">
        <v>859</v>
      </c>
      <c r="C315" s="14" t="str">
        <f>IF(B315&lt;&gt;"",IFERROR(VLOOKUP(B315,'📦 Productos'!A:C,3,FALSE),""),"")</f>
        <v>REVLON COLORSTAY FLEX WEAR FULL COVER CONCEALER</v>
      </c>
      <c r="D315" s="25" t="s">
        <v>1436</v>
      </c>
      <c r="E315" s="25" t="s">
        <v>232</v>
      </c>
      <c r="F315" s="26">
        <v>0.0</v>
      </c>
      <c r="G315" s="27">
        <v>32500.0</v>
      </c>
      <c r="H315" s="29">
        <v>16250.0</v>
      </c>
      <c r="I315" s="20">
        <f t="shared" si="1"/>
        <v>50</v>
      </c>
      <c r="J315" s="31" t="s">
        <v>235</v>
      </c>
      <c r="K315" s="26" t="s">
        <v>236</v>
      </c>
      <c r="L315" s="25" t="s">
        <v>232</v>
      </c>
    </row>
    <row r="316" ht="19.5" customHeight="1">
      <c r="A316" s="13" t="s">
        <v>1437</v>
      </c>
      <c r="B316" s="13" t="s">
        <v>859</v>
      </c>
      <c r="C316" s="14" t="str">
        <f>IF(B316&lt;&gt;"",IFERROR(VLOOKUP(B316,'📦 Productos'!A:C,3,FALSE),""),"")</f>
        <v>REVLON COLORSTAY FLEX WEAR FULL COVER CONCEALER</v>
      </c>
      <c r="D316" s="13" t="s">
        <v>1438</v>
      </c>
      <c r="E316" s="13" t="s">
        <v>232</v>
      </c>
      <c r="F316" s="16">
        <v>0.0</v>
      </c>
      <c r="G316" s="17">
        <v>32500.0</v>
      </c>
      <c r="H316" s="18">
        <v>21125.0</v>
      </c>
      <c r="I316" s="20">
        <f t="shared" si="1"/>
        <v>35</v>
      </c>
      <c r="J316" s="22" t="s">
        <v>235</v>
      </c>
      <c r="K316" s="16" t="s">
        <v>236</v>
      </c>
      <c r="L316" s="13" t="s">
        <v>232</v>
      </c>
    </row>
    <row r="317" ht="19.5" customHeight="1">
      <c r="A317" s="25" t="s">
        <v>1439</v>
      </c>
      <c r="B317" s="25" t="s">
        <v>866</v>
      </c>
      <c r="C317" s="14" t="str">
        <f>IF(B317&lt;&gt;"",IFERROR(VLOOKUP(B317,'📦 Productos'!A:C,3,FALSE),""),"")</f>
        <v>REVLON SUPER LUSTROUS GLIMMER GLOSS</v>
      </c>
      <c r="D317" s="25" t="s">
        <v>867</v>
      </c>
      <c r="E317" s="25" t="s">
        <v>232</v>
      </c>
      <c r="F317" s="26">
        <v>0.0</v>
      </c>
      <c r="G317" s="27">
        <v>27900.0</v>
      </c>
      <c r="H317" s="29">
        <v>18135.0</v>
      </c>
      <c r="I317" s="20">
        <f t="shared" si="1"/>
        <v>35</v>
      </c>
      <c r="J317" s="31" t="s">
        <v>235</v>
      </c>
      <c r="K317" s="26" t="s">
        <v>236</v>
      </c>
      <c r="L317" s="25" t="s">
        <v>232</v>
      </c>
    </row>
    <row r="318" ht="19.5" customHeight="1">
      <c r="A318" s="13" t="s">
        <v>1440</v>
      </c>
      <c r="B318" s="13" t="s">
        <v>866</v>
      </c>
      <c r="C318" s="14" t="str">
        <f>IF(B318&lt;&gt;"",IFERROR(VLOOKUP(B318,'📦 Productos'!A:C,3,FALSE),""),"")</f>
        <v>REVLON SUPER LUSTROUS GLIMMER GLOSS</v>
      </c>
      <c r="D318" s="13" t="s">
        <v>1441</v>
      </c>
      <c r="E318" s="13" t="s">
        <v>232</v>
      </c>
      <c r="F318" s="16">
        <v>0.0</v>
      </c>
      <c r="G318" s="17">
        <v>27900.0</v>
      </c>
      <c r="H318" s="18">
        <v>18135.0</v>
      </c>
      <c r="I318" s="20">
        <f t="shared" si="1"/>
        <v>35</v>
      </c>
      <c r="J318" s="22" t="s">
        <v>235</v>
      </c>
      <c r="K318" s="16" t="s">
        <v>236</v>
      </c>
      <c r="L318" s="13" t="s">
        <v>232</v>
      </c>
    </row>
    <row r="319" ht="19.5" customHeight="1">
      <c r="A319" s="25" t="s">
        <v>1442</v>
      </c>
      <c r="B319" s="25" t="s">
        <v>866</v>
      </c>
      <c r="C319" s="14" t="str">
        <f>IF(B319&lt;&gt;"",IFERROR(VLOOKUP(B319,'📦 Productos'!A:C,3,FALSE),""),"")</f>
        <v>REVLON SUPER LUSTROUS GLIMMER GLOSS</v>
      </c>
      <c r="D319" s="25" t="s">
        <v>1443</v>
      </c>
      <c r="E319" s="25" t="s">
        <v>232</v>
      </c>
      <c r="F319" s="26">
        <v>0.0</v>
      </c>
      <c r="G319" s="27">
        <v>27900.0</v>
      </c>
      <c r="H319" s="29">
        <v>18135.0</v>
      </c>
      <c r="I319" s="20">
        <f t="shared" si="1"/>
        <v>35</v>
      </c>
      <c r="J319" s="31" t="s">
        <v>235</v>
      </c>
      <c r="K319" s="26" t="s">
        <v>236</v>
      </c>
      <c r="L319" s="25" t="s">
        <v>232</v>
      </c>
    </row>
    <row r="320" ht="19.5" customHeight="1">
      <c r="A320" s="13" t="s">
        <v>1444</v>
      </c>
      <c r="B320" s="13" t="s">
        <v>866</v>
      </c>
      <c r="C320" s="14" t="str">
        <f>IF(B320&lt;&gt;"",IFERROR(VLOOKUP(B320,'📦 Productos'!A:C,3,FALSE),""),"")</f>
        <v>REVLON SUPER LUSTROUS GLIMMER GLOSS</v>
      </c>
      <c r="D320" s="13" t="s">
        <v>1445</v>
      </c>
      <c r="E320" s="13" t="s">
        <v>232</v>
      </c>
      <c r="F320" s="16">
        <v>0.0</v>
      </c>
      <c r="G320" s="17">
        <v>27900.0</v>
      </c>
      <c r="H320" s="18">
        <v>18135.0</v>
      </c>
      <c r="I320" s="20">
        <f t="shared" si="1"/>
        <v>35</v>
      </c>
      <c r="J320" s="22" t="s">
        <v>235</v>
      </c>
      <c r="K320" s="16" t="s">
        <v>236</v>
      </c>
      <c r="L320" s="13" t="s">
        <v>232</v>
      </c>
    </row>
    <row r="321" ht="19.5" customHeight="1">
      <c r="A321" s="25" t="s">
        <v>1446</v>
      </c>
      <c r="B321" s="25" t="s">
        <v>866</v>
      </c>
      <c r="C321" s="14" t="str">
        <f>IF(B321&lt;&gt;"",IFERROR(VLOOKUP(B321,'📦 Productos'!A:C,3,FALSE),""),"")</f>
        <v>REVLON SUPER LUSTROUS GLIMMER GLOSS</v>
      </c>
      <c r="D321" s="25" t="s">
        <v>1447</v>
      </c>
      <c r="E321" s="25" t="s">
        <v>232</v>
      </c>
      <c r="F321" s="26">
        <v>0.0</v>
      </c>
      <c r="G321" s="27">
        <v>27900.0</v>
      </c>
      <c r="H321" s="29">
        <v>18135.0</v>
      </c>
      <c r="I321" s="20">
        <f t="shared" si="1"/>
        <v>35</v>
      </c>
      <c r="J321" s="31" t="s">
        <v>235</v>
      </c>
      <c r="K321" s="26" t="s">
        <v>236</v>
      </c>
      <c r="L321" s="25" t="s">
        <v>232</v>
      </c>
    </row>
    <row r="322" ht="19.5" customHeight="1">
      <c r="A322" s="13" t="s">
        <v>1448</v>
      </c>
      <c r="B322" s="13" t="s">
        <v>872</v>
      </c>
      <c r="C322" s="14" t="str">
        <f>IF(B322&lt;&gt;"",IFERROR(VLOOKUP(B322,'📦 Productos'!A:C,3,FALSE),""),"")</f>
        <v>REVLON GLIMMER BRIGTENING CONCEALER</v>
      </c>
      <c r="D322" s="13" t="s">
        <v>873</v>
      </c>
      <c r="E322" s="13" t="s">
        <v>232</v>
      </c>
      <c r="F322" s="16">
        <v>0.0</v>
      </c>
      <c r="G322" s="17">
        <v>31500.0</v>
      </c>
      <c r="H322" s="18">
        <v>20475.0</v>
      </c>
      <c r="I322" s="20">
        <f t="shared" si="1"/>
        <v>35</v>
      </c>
      <c r="J322" s="22" t="s">
        <v>235</v>
      </c>
      <c r="K322" s="16" t="s">
        <v>236</v>
      </c>
      <c r="L322" s="13" t="s">
        <v>232</v>
      </c>
    </row>
    <row r="323" ht="19.5" customHeight="1">
      <c r="A323" s="25" t="s">
        <v>1449</v>
      </c>
      <c r="B323" s="25" t="s">
        <v>872</v>
      </c>
      <c r="C323" s="14" t="str">
        <f>IF(B323&lt;&gt;"",IFERROR(VLOOKUP(B323,'📦 Productos'!A:C,3,FALSE),""),"")</f>
        <v>REVLON GLIMMER BRIGTENING CONCEALER</v>
      </c>
      <c r="D323" s="25" t="s">
        <v>1450</v>
      </c>
      <c r="E323" s="25" t="s">
        <v>232</v>
      </c>
      <c r="F323" s="26">
        <v>0.0</v>
      </c>
      <c r="G323" s="27">
        <v>31500.0</v>
      </c>
      <c r="H323" s="29">
        <v>20475.0</v>
      </c>
      <c r="I323" s="20">
        <f t="shared" si="1"/>
        <v>35</v>
      </c>
      <c r="J323" s="31" t="s">
        <v>235</v>
      </c>
      <c r="K323" s="26" t="s">
        <v>236</v>
      </c>
      <c r="L323" s="25" t="s">
        <v>232</v>
      </c>
    </row>
    <row r="324" ht="19.5" customHeight="1">
      <c r="A324" s="13" t="s">
        <v>1451</v>
      </c>
      <c r="B324" s="13" t="s">
        <v>872</v>
      </c>
      <c r="C324" s="14" t="str">
        <f>IF(B324&lt;&gt;"",IFERROR(VLOOKUP(B324,'📦 Productos'!A:C,3,FALSE),""),"")</f>
        <v>REVLON GLIMMER BRIGTENING CONCEALER</v>
      </c>
      <c r="D324" s="13" t="s">
        <v>1452</v>
      </c>
      <c r="E324" s="13" t="s">
        <v>232</v>
      </c>
      <c r="F324" s="16">
        <v>0.0</v>
      </c>
      <c r="G324" s="17">
        <v>31500.0</v>
      </c>
      <c r="H324" s="18">
        <v>20475.0</v>
      </c>
      <c r="I324" s="20">
        <f t="shared" si="1"/>
        <v>35</v>
      </c>
      <c r="J324" s="22" t="s">
        <v>235</v>
      </c>
      <c r="K324" s="16" t="s">
        <v>236</v>
      </c>
      <c r="L324" s="13" t="s">
        <v>232</v>
      </c>
    </row>
    <row r="325" ht="19.5" customHeight="1">
      <c r="A325" s="25" t="s">
        <v>1453</v>
      </c>
      <c r="B325" s="25" t="s">
        <v>879</v>
      </c>
      <c r="C325" s="14" t="str">
        <f>IF(B325&lt;&gt;"",IFERROR(VLOOKUP(B325,'📦 Productos'!A:C,3,FALSE),""),"")</f>
        <v>REVLON GLIMMER GLOSS</v>
      </c>
      <c r="D325" s="25" t="s">
        <v>880</v>
      </c>
      <c r="E325" s="25" t="s">
        <v>232</v>
      </c>
      <c r="F325" s="26">
        <v>0.0</v>
      </c>
      <c r="G325" s="27">
        <v>28200.0</v>
      </c>
      <c r="H325" s="29">
        <v>18330.0</v>
      </c>
      <c r="I325" s="20">
        <f t="shared" si="1"/>
        <v>35</v>
      </c>
      <c r="J325" s="31" t="s">
        <v>235</v>
      </c>
      <c r="K325" s="26" t="s">
        <v>236</v>
      </c>
      <c r="L325" s="25" t="s">
        <v>232</v>
      </c>
    </row>
    <row r="326" ht="19.5" customHeight="1">
      <c r="A326" s="13" t="s">
        <v>1454</v>
      </c>
      <c r="B326" s="13" t="s">
        <v>884</v>
      </c>
      <c r="C326" s="14" t="str">
        <f>IF(B326&lt;&gt;"",IFERROR(VLOOKUP(B326,'📦 Productos'!A:C,3,FALSE),""),"")</f>
        <v>REVLON GLIMMER LIP TREAT BALM + MASK</v>
      </c>
      <c r="D326" s="13" t="s">
        <v>885</v>
      </c>
      <c r="E326" s="13" t="s">
        <v>232</v>
      </c>
      <c r="F326" s="16">
        <v>0.0</v>
      </c>
      <c r="G326" s="17">
        <v>28200.0</v>
      </c>
      <c r="H326" s="18"/>
      <c r="I326" s="20">
        <f t="shared" si="1"/>
        <v>0</v>
      </c>
      <c r="J326" s="22" t="s">
        <v>235</v>
      </c>
      <c r="K326" s="16" t="s">
        <v>236</v>
      </c>
      <c r="L326" s="13" t="s">
        <v>232</v>
      </c>
    </row>
    <row r="327" ht="19.5" customHeight="1">
      <c r="A327" s="25" t="s">
        <v>1455</v>
      </c>
      <c r="B327" s="25" t="s">
        <v>884</v>
      </c>
      <c r="C327" s="14" t="str">
        <f>IF(B327&lt;&gt;"",IFERROR(VLOOKUP(B327,'📦 Productos'!A:C,3,FALSE),""),"")</f>
        <v>REVLON GLIMMER LIP TREAT BALM + MASK</v>
      </c>
      <c r="D327" s="25" t="s">
        <v>1456</v>
      </c>
      <c r="E327" s="25" t="s">
        <v>232</v>
      </c>
      <c r="F327" s="26">
        <v>0.0</v>
      </c>
      <c r="G327" s="27">
        <v>28200.0</v>
      </c>
      <c r="H327" s="29"/>
      <c r="I327" s="20">
        <f t="shared" si="1"/>
        <v>0</v>
      </c>
      <c r="J327" s="31" t="s">
        <v>235</v>
      </c>
      <c r="K327" s="26" t="s">
        <v>236</v>
      </c>
      <c r="L327" s="25" t="s">
        <v>232</v>
      </c>
    </row>
    <row r="328" ht="19.5" customHeight="1">
      <c r="A328" s="13" t="s">
        <v>1457</v>
      </c>
      <c r="B328" s="13" t="s">
        <v>884</v>
      </c>
      <c r="C328" s="14" t="str">
        <f>IF(B328&lt;&gt;"",IFERROR(VLOOKUP(B328,'📦 Productos'!A:C,3,FALSE),""),"")</f>
        <v>REVLON GLIMMER LIP TREAT BALM + MASK</v>
      </c>
      <c r="D328" s="13" t="s">
        <v>1458</v>
      </c>
      <c r="E328" s="13" t="s">
        <v>232</v>
      </c>
      <c r="F328" s="16">
        <v>0.0</v>
      </c>
      <c r="G328" s="17">
        <v>28200.0</v>
      </c>
      <c r="H328" s="18"/>
      <c r="I328" s="20">
        <f t="shared" si="1"/>
        <v>0</v>
      </c>
      <c r="J328" s="22" t="s">
        <v>235</v>
      </c>
      <c r="K328" s="16" t="s">
        <v>236</v>
      </c>
      <c r="L328" s="13" t="s">
        <v>232</v>
      </c>
    </row>
    <row r="329" ht="19.5" customHeight="1">
      <c r="A329" s="25" t="s">
        <v>1459</v>
      </c>
      <c r="B329" s="25" t="s">
        <v>884</v>
      </c>
      <c r="C329" s="14" t="str">
        <f>IF(B329&lt;&gt;"",IFERROR(VLOOKUP(B329,'📦 Productos'!A:C,3,FALSE),""),"")</f>
        <v>REVLON GLIMMER LIP TREAT BALM + MASK</v>
      </c>
      <c r="D329" s="25" t="s">
        <v>1460</v>
      </c>
      <c r="E329" s="25" t="s">
        <v>232</v>
      </c>
      <c r="F329" s="26">
        <v>0.0</v>
      </c>
      <c r="G329" s="27">
        <v>28200.0</v>
      </c>
      <c r="H329" s="29"/>
      <c r="I329" s="20">
        <f t="shared" si="1"/>
        <v>0</v>
      </c>
      <c r="J329" s="31" t="s">
        <v>235</v>
      </c>
      <c r="K329" s="26" t="s">
        <v>236</v>
      </c>
      <c r="L329" s="25" t="s">
        <v>232</v>
      </c>
    </row>
    <row r="330" ht="19.5" customHeight="1">
      <c r="A330" s="13" t="s">
        <v>1461</v>
      </c>
      <c r="B330" s="13" t="s">
        <v>891</v>
      </c>
      <c r="C330" s="14" t="str">
        <f>IF(B330&lt;&gt;"",IFERROR(VLOOKUP(B330,'📦 Productos'!A:C,3,FALSE),""),"")</f>
        <v>REVLON GLITTER GLOSS</v>
      </c>
      <c r="D330" s="13" t="s">
        <v>232</v>
      </c>
      <c r="E330" s="13" t="s">
        <v>232</v>
      </c>
      <c r="F330" s="16">
        <v>0.0</v>
      </c>
      <c r="G330" s="17">
        <v>28200.0</v>
      </c>
      <c r="H330" s="18">
        <v>18330.0</v>
      </c>
      <c r="I330" s="20">
        <f t="shared" si="1"/>
        <v>35</v>
      </c>
      <c r="J330" s="22" t="s">
        <v>235</v>
      </c>
      <c r="K330" s="16" t="s">
        <v>236</v>
      </c>
      <c r="L330" s="13" t="s">
        <v>232</v>
      </c>
    </row>
    <row r="331" ht="19.5" customHeight="1">
      <c r="A331" s="25" t="s">
        <v>1462</v>
      </c>
      <c r="B331" s="25" t="s">
        <v>891</v>
      </c>
      <c r="C331" s="14" t="str">
        <f>IF(B331&lt;&gt;"",IFERROR(VLOOKUP(B331,'📦 Productos'!A:C,3,FALSE),""),"")</f>
        <v>REVLON GLITTER GLOSS</v>
      </c>
      <c r="D331" s="25" t="s">
        <v>232</v>
      </c>
      <c r="E331" s="25" t="s">
        <v>232</v>
      </c>
      <c r="F331" s="26">
        <v>0.0</v>
      </c>
      <c r="G331" s="27">
        <v>28200.0</v>
      </c>
      <c r="H331" s="29">
        <v>18330.0</v>
      </c>
      <c r="I331" s="20">
        <f t="shared" si="1"/>
        <v>35</v>
      </c>
      <c r="J331" s="31" t="s">
        <v>235</v>
      </c>
      <c r="K331" s="26" t="s">
        <v>236</v>
      </c>
      <c r="L331" s="25" t="s">
        <v>232</v>
      </c>
    </row>
    <row r="332" ht="19.5" customHeight="1">
      <c r="A332" s="13" t="s">
        <v>1463</v>
      </c>
      <c r="B332" s="13" t="s">
        <v>891</v>
      </c>
      <c r="C332" s="14" t="str">
        <f>IF(B332&lt;&gt;"",IFERROR(VLOOKUP(B332,'📦 Productos'!A:C,3,FALSE),""),"")</f>
        <v>REVLON GLITTER GLOSS</v>
      </c>
      <c r="D332" s="13" t="s">
        <v>232</v>
      </c>
      <c r="E332" s="13" t="s">
        <v>232</v>
      </c>
      <c r="F332" s="16">
        <v>0.0</v>
      </c>
      <c r="G332" s="17">
        <v>28200.0</v>
      </c>
      <c r="H332" s="18">
        <v>18330.0</v>
      </c>
      <c r="I332" s="20">
        <f t="shared" si="1"/>
        <v>35</v>
      </c>
      <c r="J332" s="22" t="s">
        <v>235</v>
      </c>
      <c r="K332" s="16" t="s">
        <v>236</v>
      </c>
      <c r="L332" s="13" t="s">
        <v>232</v>
      </c>
    </row>
    <row r="333" ht="19.5" customHeight="1">
      <c r="A333" s="25" t="s">
        <v>1464</v>
      </c>
      <c r="B333" s="25" t="s">
        <v>891</v>
      </c>
      <c r="C333" s="14" t="str">
        <f>IF(B333&lt;&gt;"",IFERROR(VLOOKUP(B333,'📦 Productos'!A:C,3,FALSE),""),"")</f>
        <v>REVLON GLITTER GLOSS</v>
      </c>
      <c r="D333" s="25" t="s">
        <v>232</v>
      </c>
      <c r="E333" s="25" t="s">
        <v>232</v>
      </c>
      <c r="F333" s="26">
        <v>0.0</v>
      </c>
      <c r="G333" s="27">
        <v>28200.0</v>
      </c>
      <c r="H333" s="29">
        <v>18330.0</v>
      </c>
      <c r="I333" s="20">
        <f t="shared" si="1"/>
        <v>35</v>
      </c>
      <c r="J333" s="31" t="s">
        <v>235</v>
      </c>
      <c r="K333" s="26" t="s">
        <v>236</v>
      </c>
      <c r="L333" s="25" t="s">
        <v>232</v>
      </c>
    </row>
    <row r="334" ht="19.5" customHeight="1">
      <c r="A334" s="13" t="s">
        <v>1465</v>
      </c>
      <c r="B334" s="13" t="s">
        <v>895</v>
      </c>
      <c r="C334" s="14" t="str">
        <f>IF(B334&lt;&gt;"",IFERROR(VLOOKUP(B334,'📦 Productos'!A:C,3,FALSE),""),"")</f>
        <v>REVLON ILLUMINANCE FLUID</v>
      </c>
      <c r="D334" s="13" t="s">
        <v>232</v>
      </c>
      <c r="E334" s="13" t="s">
        <v>232</v>
      </c>
      <c r="F334" s="16">
        <v>0.0</v>
      </c>
      <c r="G334" s="17">
        <v>42900.0</v>
      </c>
      <c r="H334" s="18">
        <v>27885.0</v>
      </c>
      <c r="I334" s="20">
        <f t="shared" si="1"/>
        <v>35</v>
      </c>
      <c r="J334" s="22" t="s">
        <v>235</v>
      </c>
      <c r="K334" s="16" t="s">
        <v>236</v>
      </c>
      <c r="L334" s="13" t="s">
        <v>232</v>
      </c>
    </row>
    <row r="335" ht="19.5" customHeight="1">
      <c r="A335" s="25" t="s">
        <v>1466</v>
      </c>
      <c r="B335" s="25" t="s">
        <v>895</v>
      </c>
      <c r="C335" s="14" t="str">
        <f>IF(B335&lt;&gt;"",IFERROR(VLOOKUP(B335,'📦 Productos'!A:C,3,FALSE),""),"")</f>
        <v>REVLON ILLUMINANCE FLUID</v>
      </c>
      <c r="D335" s="25" t="s">
        <v>232</v>
      </c>
      <c r="E335" s="25" t="s">
        <v>232</v>
      </c>
      <c r="F335" s="26">
        <v>0.0</v>
      </c>
      <c r="G335" s="27">
        <v>42900.0</v>
      </c>
      <c r="H335" s="29">
        <v>27885.0</v>
      </c>
      <c r="I335" s="20">
        <f t="shared" si="1"/>
        <v>35</v>
      </c>
      <c r="J335" s="31" t="s">
        <v>235</v>
      </c>
      <c r="K335" s="26" t="s">
        <v>236</v>
      </c>
      <c r="L335" s="25" t="s">
        <v>232</v>
      </c>
    </row>
    <row r="336" ht="19.5" customHeight="1">
      <c r="A336" s="13" t="s">
        <v>1467</v>
      </c>
      <c r="B336" s="13" t="s">
        <v>899</v>
      </c>
      <c r="C336" s="14" t="str">
        <f>IF(B336&lt;&gt;"",IFERROR(VLOOKUP(B336,'📦 Productos'!A:C,3,FALSE),""),"")</f>
        <v>REVLON ILLUMINANCE FOND DE TEINT</v>
      </c>
      <c r="D336" s="13" t="s">
        <v>900</v>
      </c>
      <c r="E336" s="13" t="s">
        <v>232</v>
      </c>
      <c r="F336" s="16">
        <v>0.0</v>
      </c>
      <c r="G336" s="17">
        <v>42900.0</v>
      </c>
      <c r="H336" s="18">
        <v>21450.0</v>
      </c>
      <c r="I336" s="20">
        <f t="shared" si="1"/>
        <v>50</v>
      </c>
      <c r="J336" s="22" t="s">
        <v>235</v>
      </c>
      <c r="K336" s="16" t="s">
        <v>236</v>
      </c>
      <c r="L336" s="13" t="s">
        <v>232</v>
      </c>
    </row>
    <row r="337" ht="19.5" customHeight="1">
      <c r="A337" s="25" t="s">
        <v>1468</v>
      </c>
      <c r="B337" s="25" t="s">
        <v>899</v>
      </c>
      <c r="C337" s="14" t="str">
        <f>IF(B337&lt;&gt;"",IFERROR(VLOOKUP(B337,'📦 Productos'!A:C,3,FALSE),""),"")</f>
        <v>REVLON ILLUMINANCE FOND DE TEINT</v>
      </c>
      <c r="D337" s="25" t="s">
        <v>1469</v>
      </c>
      <c r="E337" s="25" t="s">
        <v>232</v>
      </c>
      <c r="F337" s="26">
        <v>0.0</v>
      </c>
      <c r="G337" s="27">
        <v>42900.0</v>
      </c>
      <c r="H337" s="29">
        <v>21450.0</v>
      </c>
      <c r="I337" s="20">
        <f t="shared" si="1"/>
        <v>50</v>
      </c>
      <c r="J337" s="31" t="s">
        <v>235</v>
      </c>
      <c r="K337" s="26" t="s">
        <v>236</v>
      </c>
      <c r="L337" s="25" t="s">
        <v>232</v>
      </c>
    </row>
    <row r="338" ht="19.5" customHeight="1">
      <c r="A338" s="13" t="s">
        <v>1470</v>
      </c>
      <c r="B338" s="13" t="s">
        <v>899</v>
      </c>
      <c r="C338" s="14" t="str">
        <f>IF(B338&lt;&gt;"",IFERROR(VLOOKUP(B338,'📦 Productos'!A:C,3,FALSE),""),"")</f>
        <v>REVLON ILLUMINANCE FOND DE TEINT</v>
      </c>
      <c r="D338" s="13" t="s">
        <v>1471</v>
      </c>
      <c r="E338" s="13" t="s">
        <v>232</v>
      </c>
      <c r="F338" s="16">
        <v>0.0</v>
      </c>
      <c r="G338" s="17">
        <v>42900.0</v>
      </c>
      <c r="H338" s="18">
        <v>21450.0</v>
      </c>
      <c r="I338" s="20">
        <f t="shared" si="1"/>
        <v>50</v>
      </c>
      <c r="J338" s="22" t="s">
        <v>235</v>
      </c>
      <c r="K338" s="16" t="s">
        <v>236</v>
      </c>
      <c r="L338" s="13" t="s">
        <v>232</v>
      </c>
    </row>
    <row r="339" ht="19.5" customHeight="1">
      <c r="A339" s="25" t="s">
        <v>1472</v>
      </c>
      <c r="B339" s="25" t="s">
        <v>899</v>
      </c>
      <c r="C339" s="14" t="str">
        <f>IF(B339&lt;&gt;"",IFERROR(VLOOKUP(B339,'📦 Productos'!A:C,3,FALSE),""),"")</f>
        <v>REVLON ILLUMINANCE FOND DE TEINT</v>
      </c>
      <c r="D339" s="25" t="s">
        <v>1473</v>
      </c>
      <c r="E339" s="25" t="s">
        <v>232</v>
      </c>
      <c r="F339" s="26">
        <v>0.0</v>
      </c>
      <c r="G339" s="27">
        <v>42900.0</v>
      </c>
      <c r="H339" s="29">
        <v>21450.0</v>
      </c>
      <c r="I339" s="20">
        <f t="shared" si="1"/>
        <v>50</v>
      </c>
      <c r="J339" s="31" t="s">
        <v>235</v>
      </c>
      <c r="K339" s="26" t="s">
        <v>236</v>
      </c>
      <c r="L339" s="25" t="s">
        <v>232</v>
      </c>
    </row>
    <row r="340" ht="19.5" customHeight="1">
      <c r="A340" s="13" t="s">
        <v>1474</v>
      </c>
      <c r="B340" s="13" t="s">
        <v>899</v>
      </c>
      <c r="C340" s="14" t="str">
        <f>IF(B340&lt;&gt;"",IFERROR(VLOOKUP(B340,'📦 Productos'!A:C,3,FALSE),""),"")</f>
        <v>REVLON ILLUMINANCE FOND DE TEINT</v>
      </c>
      <c r="D340" s="13" t="s">
        <v>1475</v>
      </c>
      <c r="E340" s="13" t="s">
        <v>232</v>
      </c>
      <c r="F340" s="16">
        <v>0.0</v>
      </c>
      <c r="G340" s="17">
        <v>42900.0</v>
      </c>
      <c r="H340" s="18">
        <v>21450.0</v>
      </c>
      <c r="I340" s="20">
        <f t="shared" si="1"/>
        <v>50</v>
      </c>
      <c r="J340" s="22" t="s">
        <v>235</v>
      </c>
      <c r="K340" s="16" t="s">
        <v>236</v>
      </c>
      <c r="L340" s="13" t="s">
        <v>232</v>
      </c>
    </row>
    <row r="341" ht="19.5" customHeight="1">
      <c r="A341" s="25" t="s">
        <v>1476</v>
      </c>
      <c r="B341" s="25" t="s">
        <v>906</v>
      </c>
      <c r="C341" s="14" t="str">
        <f>IF(B341&lt;&gt;"",IFERROR(VLOOKUP(B341,'📦 Productos'!A:C,3,FALSE),""),"")</f>
        <v>REVLON ILLUMINANCE GEL SERUM BLUSH POMO</v>
      </c>
      <c r="D341" s="25" t="s">
        <v>907</v>
      </c>
      <c r="E341" s="25" t="s">
        <v>232</v>
      </c>
      <c r="F341" s="26">
        <v>0.0</v>
      </c>
      <c r="G341" s="27">
        <v>31500.0</v>
      </c>
      <c r="H341" s="29">
        <v>15750.0</v>
      </c>
      <c r="I341" s="20">
        <f t="shared" si="1"/>
        <v>50</v>
      </c>
      <c r="J341" s="31" t="s">
        <v>235</v>
      </c>
      <c r="K341" s="26" t="s">
        <v>236</v>
      </c>
      <c r="L341" s="25" t="s">
        <v>232</v>
      </c>
    </row>
    <row r="342" ht="19.5" customHeight="1">
      <c r="A342" s="13" t="s">
        <v>1477</v>
      </c>
      <c r="B342" s="13" t="s">
        <v>906</v>
      </c>
      <c r="C342" s="14" t="str">
        <f>IF(B342&lt;&gt;"",IFERROR(VLOOKUP(B342,'📦 Productos'!A:C,3,FALSE),""),"")</f>
        <v>REVLON ILLUMINANCE GEL SERUM BLUSH POMO</v>
      </c>
      <c r="D342" s="13" t="s">
        <v>1478</v>
      </c>
      <c r="E342" s="13" t="s">
        <v>232</v>
      </c>
      <c r="F342" s="16">
        <v>0.0</v>
      </c>
      <c r="G342" s="17">
        <v>31500.0</v>
      </c>
      <c r="H342" s="18">
        <v>15750.0</v>
      </c>
      <c r="I342" s="20">
        <f t="shared" si="1"/>
        <v>50</v>
      </c>
      <c r="J342" s="22" t="s">
        <v>235</v>
      </c>
      <c r="K342" s="16" t="s">
        <v>236</v>
      </c>
      <c r="L342" s="13" t="s">
        <v>232</v>
      </c>
    </row>
    <row r="343" ht="19.5" customHeight="1">
      <c r="A343" s="25" t="s">
        <v>1479</v>
      </c>
      <c r="B343" s="25" t="s">
        <v>906</v>
      </c>
      <c r="C343" s="14" t="str">
        <f>IF(B343&lt;&gt;"",IFERROR(VLOOKUP(B343,'📦 Productos'!A:C,3,FALSE),""),"")</f>
        <v>REVLON ILLUMINANCE GEL SERUM BLUSH POMO</v>
      </c>
      <c r="D343" s="25" t="s">
        <v>1480</v>
      </c>
      <c r="E343" s="25" t="s">
        <v>232</v>
      </c>
      <c r="F343" s="26">
        <v>0.0</v>
      </c>
      <c r="G343" s="27">
        <v>31500.0</v>
      </c>
      <c r="H343" s="29">
        <v>15750.0</v>
      </c>
      <c r="I343" s="20">
        <f t="shared" si="1"/>
        <v>50</v>
      </c>
      <c r="J343" s="31" t="s">
        <v>235</v>
      </c>
      <c r="K343" s="26" t="s">
        <v>236</v>
      </c>
      <c r="L343" s="25" t="s">
        <v>232</v>
      </c>
    </row>
    <row r="344" ht="19.5" customHeight="1">
      <c r="A344" s="13" t="s">
        <v>1481</v>
      </c>
      <c r="B344" s="13" t="s">
        <v>912</v>
      </c>
      <c r="C344" s="14" t="str">
        <f>IF(B344&lt;&gt;"",IFERROR(VLOOKUP(B344,'📦 Productos'!A:C,3,FALSE),""),"")</f>
        <v>REVLON ILLUMINANCE PRIMER CORRECT + BRIGHTEN</v>
      </c>
      <c r="D344" s="13" t="s">
        <v>913</v>
      </c>
      <c r="E344" s="13" t="s">
        <v>232</v>
      </c>
      <c r="F344" s="16">
        <v>0.0</v>
      </c>
      <c r="G344" s="17">
        <v>36300.0</v>
      </c>
      <c r="H344" s="18">
        <v>23595.0</v>
      </c>
      <c r="I344" s="20">
        <f t="shared" si="1"/>
        <v>35</v>
      </c>
      <c r="J344" s="22" t="s">
        <v>235</v>
      </c>
      <c r="K344" s="16" t="s">
        <v>236</v>
      </c>
      <c r="L344" s="13" t="s">
        <v>232</v>
      </c>
    </row>
    <row r="345" ht="19.5" customHeight="1">
      <c r="A345" s="25" t="s">
        <v>1482</v>
      </c>
      <c r="B345" s="25" t="s">
        <v>919</v>
      </c>
      <c r="C345" s="14" t="str">
        <f>IF(B345&lt;&gt;"",IFERROR(VLOOKUP(B345,'📦 Productos'!A:C,3,FALSE),""),"")</f>
        <v>REVLON ILLUMINANCE PRIMER CORRECT</v>
      </c>
      <c r="D345" s="25" t="s">
        <v>232</v>
      </c>
      <c r="E345" s="25" t="s">
        <v>232</v>
      </c>
      <c r="F345" s="26">
        <v>0.0</v>
      </c>
      <c r="G345" s="27">
        <v>36300.0</v>
      </c>
      <c r="H345" s="29">
        <v>23595.0</v>
      </c>
      <c r="I345" s="20">
        <f t="shared" si="1"/>
        <v>35</v>
      </c>
      <c r="J345" s="31" t="s">
        <v>235</v>
      </c>
      <c r="K345" s="26" t="s">
        <v>236</v>
      </c>
      <c r="L345" s="25" t="s">
        <v>232</v>
      </c>
    </row>
    <row r="346" ht="19.5" customHeight="1">
      <c r="A346" s="13" t="s">
        <v>1483</v>
      </c>
      <c r="B346" s="13" t="s">
        <v>923</v>
      </c>
      <c r="C346" s="14" t="str">
        <f>IF(B346&lt;&gt;"",IFERROR(VLOOKUP(B346,'📦 Productos'!A:C,3,FALSE),""),"")</f>
        <v>REVLON ILLUMINANCE PRIMER PROTECT</v>
      </c>
      <c r="D346" s="13" t="s">
        <v>232</v>
      </c>
      <c r="E346" s="13" t="s">
        <v>232</v>
      </c>
      <c r="F346" s="16">
        <v>0.0</v>
      </c>
      <c r="G346" s="17">
        <v>36300.0</v>
      </c>
      <c r="H346" s="18">
        <v>23595.0</v>
      </c>
      <c r="I346" s="20">
        <f t="shared" si="1"/>
        <v>35</v>
      </c>
      <c r="J346" s="22" t="s">
        <v>235</v>
      </c>
      <c r="K346" s="16" t="s">
        <v>236</v>
      </c>
      <c r="L346" s="13" t="s">
        <v>232</v>
      </c>
    </row>
    <row r="347" ht="19.5" customHeight="1">
      <c r="A347" s="25" t="s">
        <v>1484</v>
      </c>
      <c r="B347" s="25" t="s">
        <v>928</v>
      </c>
      <c r="C347" s="14" t="str">
        <f>IF(B347&lt;&gt;"",IFERROR(VLOOKUP(B347,'📦 Productos'!A:C,3,FALSE),""),"")</f>
        <v>REVLON ILLUMINANCE PRIMER PROTECT + MOISTURIZE SPF25</v>
      </c>
      <c r="D347" s="25" t="s">
        <v>929</v>
      </c>
      <c r="E347" s="25" t="s">
        <v>232</v>
      </c>
      <c r="F347" s="26">
        <v>0.0</v>
      </c>
      <c r="G347" s="27">
        <v>36300.0</v>
      </c>
      <c r="H347" s="29">
        <v>23595.0</v>
      </c>
      <c r="I347" s="20">
        <f t="shared" si="1"/>
        <v>35</v>
      </c>
      <c r="J347" s="31" t="s">
        <v>235</v>
      </c>
      <c r="K347" s="26" t="s">
        <v>236</v>
      </c>
      <c r="L347" s="25" t="s">
        <v>232</v>
      </c>
    </row>
    <row r="348" ht="19.5" customHeight="1">
      <c r="A348" s="13" t="s">
        <v>1485</v>
      </c>
      <c r="B348" s="13" t="s">
        <v>934</v>
      </c>
      <c r="C348" s="14" t="str">
        <f>IF(B348&lt;&gt;"",IFERROR(VLOOKUP(B348,'📦 Productos'!A:C,3,FALSE),""),"")</f>
        <v>REVLON ILLUMINANCE PRIMER SMOOTH + HIDRATE</v>
      </c>
      <c r="D348" s="13" t="s">
        <v>935</v>
      </c>
      <c r="E348" s="13" t="s">
        <v>232</v>
      </c>
      <c r="F348" s="16">
        <v>0.0</v>
      </c>
      <c r="G348" s="17">
        <v>36300.0</v>
      </c>
      <c r="H348" s="18">
        <v>23595.0</v>
      </c>
      <c r="I348" s="20">
        <f t="shared" si="1"/>
        <v>35</v>
      </c>
      <c r="J348" s="22" t="s">
        <v>235</v>
      </c>
      <c r="K348" s="16" t="s">
        <v>236</v>
      </c>
      <c r="L348" s="13" t="s">
        <v>232</v>
      </c>
    </row>
    <row r="349" ht="19.5" customHeight="1">
      <c r="A349" s="25" t="s">
        <v>1486</v>
      </c>
      <c r="B349" s="25" t="s">
        <v>941</v>
      </c>
      <c r="C349" s="14" t="str">
        <f>IF(B349&lt;&gt;"",IFERROR(VLOOKUP(B349,'📦 Productos'!A:C,3,FALSE),""),"")</f>
        <v>REVLON ILLUMINANCE SERUM TINT</v>
      </c>
      <c r="D349" s="25" t="s">
        <v>942</v>
      </c>
      <c r="E349" s="25" t="s">
        <v>232</v>
      </c>
      <c r="F349" s="26">
        <v>0.0</v>
      </c>
      <c r="G349" s="27">
        <v>42900.0</v>
      </c>
      <c r="H349" s="29">
        <v>21450.0</v>
      </c>
      <c r="I349" s="20">
        <f t="shared" si="1"/>
        <v>50</v>
      </c>
      <c r="J349" s="31" t="s">
        <v>235</v>
      </c>
      <c r="K349" s="26" t="s">
        <v>236</v>
      </c>
      <c r="L349" s="25" t="s">
        <v>232</v>
      </c>
    </row>
    <row r="350" ht="19.5" customHeight="1">
      <c r="A350" s="13" t="s">
        <v>1487</v>
      </c>
      <c r="B350" s="13" t="s">
        <v>941</v>
      </c>
      <c r="C350" s="14" t="str">
        <f>IF(B350&lt;&gt;"",IFERROR(VLOOKUP(B350,'📦 Productos'!A:C,3,FALSE),""),"")</f>
        <v>REVLON ILLUMINANCE SERUM TINT</v>
      </c>
      <c r="D350" s="13" t="s">
        <v>1488</v>
      </c>
      <c r="E350" s="13" t="s">
        <v>232</v>
      </c>
      <c r="F350" s="16">
        <v>0.0</v>
      </c>
      <c r="G350" s="17">
        <v>42900.0</v>
      </c>
      <c r="H350" s="18">
        <v>21450.0</v>
      </c>
      <c r="I350" s="20">
        <f t="shared" si="1"/>
        <v>50</v>
      </c>
      <c r="J350" s="22" t="s">
        <v>235</v>
      </c>
      <c r="K350" s="16" t="s">
        <v>236</v>
      </c>
      <c r="L350" s="13" t="s">
        <v>232</v>
      </c>
    </row>
    <row r="351" ht="19.5" customHeight="1">
      <c r="A351" s="25" t="s">
        <v>1489</v>
      </c>
      <c r="B351" s="25" t="s">
        <v>941</v>
      </c>
      <c r="C351" s="14" t="str">
        <f>IF(B351&lt;&gt;"",IFERROR(VLOOKUP(B351,'📦 Productos'!A:C,3,FALSE),""),"")</f>
        <v>REVLON ILLUMINANCE SERUM TINT</v>
      </c>
      <c r="D351" s="25" t="s">
        <v>1490</v>
      </c>
      <c r="E351" s="25" t="s">
        <v>232</v>
      </c>
      <c r="F351" s="26">
        <v>0.0</v>
      </c>
      <c r="G351" s="27">
        <v>42900.0</v>
      </c>
      <c r="H351" s="29">
        <v>21450.0</v>
      </c>
      <c r="I351" s="20">
        <f t="shared" si="1"/>
        <v>50</v>
      </c>
      <c r="J351" s="31" t="s">
        <v>235</v>
      </c>
      <c r="K351" s="26" t="s">
        <v>236</v>
      </c>
      <c r="L351" s="25" t="s">
        <v>232</v>
      </c>
    </row>
    <row r="352" ht="19.5" customHeight="1">
      <c r="A352" s="13" t="s">
        <v>1491</v>
      </c>
      <c r="B352" s="13" t="s">
        <v>941</v>
      </c>
      <c r="C352" s="14" t="str">
        <f>IF(B352&lt;&gt;"",IFERROR(VLOOKUP(B352,'📦 Productos'!A:C,3,FALSE),""),"")</f>
        <v>REVLON ILLUMINANCE SERUM TINT</v>
      </c>
      <c r="D352" s="13" t="s">
        <v>1492</v>
      </c>
      <c r="E352" s="13" t="s">
        <v>232</v>
      </c>
      <c r="F352" s="16">
        <v>0.0</v>
      </c>
      <c r="G352" s="17">
        <v>42900.0</v>
      </c>
      <c r="H352" s="18">
        <v>21450.0</v>
      </c>
      <c r="I352" s="20">
        <f t="shared" si="1"/>
        <v>50</v>
      </c>
      <c r="J352" s="22" t="s">
        <v>235</v>
      </c>
      <c r="K352" s="16" t="s">
        <v>236</v>
      </c>
      <c r="L352" s="13" t="s">
        <v>232</v>
      </c>
    </row>
    <row r="353" ht="19.5" customHeight="1">
      <c r="A353" s="25" t="s">
        <v>1493</v>
      </c>
      <c r="B353" s="25" t="s">
        <v>941</v>
      </c>
      <c r="C353" s="14" t="str">
        <f>IF(B353&lt;&gt;"",IFERROR(VLOOKUP(B353,'📦 Productos'!A:C,3,FALSE),""),"")</f>
        <v>REVLON ILLUMINANCE SERUM TINT</v>
      </c>
      <c r="D353" s="25" t="s">
        <v>1494</v>
      </c>
      <c r="E353" s="25" t="s">
        <v>232</v>
      </c>
      <c r="F353" s="26">
        <v>0.0</v>
      </c>
      <c r="G353" s="27">
        <v>42900.0</v>
      </c>
      <c r="H353" s="29">
        <v>21450.0</v>
      </c>
      <c r="I353" s="20">
        <f t="shared" si="1"/>
        <v>50</v>
      </c>
      <c r="J353" s="31" t="s">
        <v>235</v>
      </c>
      <c r="K353" s="26" t="s">
        <v>236</v>
      </c>
      <c r="L353" s="25" t="s">
        <v>232</v>
      </c>
    </row>
    <row r="354" ht="19.5" customHeight="1">
      <c r="A354" s="13" t="s">
        <v>1495</v>
      </c>
      <c r="B354" s="13" t="s">
        <v>947</v>
      </c>
      <c r="C354" s="14" t="str">
        <f>IF(B354&lt;&gt;"",IFERROR(VLOOKUP(B354,'📦 Productos'!A:C,3,FALSE),""),"")</f>
        <v>REVLON KISS BALM</v>
      </c>
      <c r="D354" s="13" t="s">
        <v>948</v>
      </c>
      <c r="E354" s="13" t="s">
        <v>232</v>
      </c>
      <c r="F354" s="16">
        <v>0.0</v>
      </c>
      <c r="G354" s="17">
        <v>18900.0</v>
      </c>
      <c r="H354" s="18">
        <v>12285.0</v>
      </c>
      <c r="I354" s="20">
        <f t="shared" si="1"/>
        <v>35</v>
      </c>
      <c r="J354" s="22" t="s">
        <v>235</v>
      </c>
      <c r="K354" s="16" t="s">
        <v>236</v>
      </c>
      <c r="L354" s="13" t="s">
        <v>232</v>
      </c>
    </row>
    <row r="355" ht="19.5" customHeight="1">
      <c r="A355" s="25" t="s">
        <v>1496</v>
      </c>
      <c r="B355" s="25" t="s">
        <v>947</v>
      </c>
      <c r="C355" s="14" t="str">
        <f>IF(B355&lt;&gt;"",IFERROR(VLOOKUP(B355,'📦 Productos'!A:C,3,FALSE),""),"")</f>
        <v>REVLON KISS BALM</v>
      </c>
      <c r="D355" s="25" t="s">
        <v>1497</v>
      </c>
      <c r="E355" s="25" t="s">
        <v>232</v>
      </c>
      <c r="F355" s="26">
        <v>0.0</v>
      </c>
      <c r="G355" s="27">
        <v>18900.0</v>
      </c>
      <c r="H355" s="29">
        <v>12285.0</v>
      </c>
      <c r="I355" s="20">
        <f t="shared" si="1"/>
        <v>35</v>
      </c>
      <c r="J355" s="31" t="s">
        <v>235</v>
      </c>
      <c r="K355" s="26" t="s">
        <v>236</v>
      </c>
      <c r="L355" s="25" t="s">
        <v>232</v>
      </c>
    </row>
    <row r="356" ht="19.5" customHeight="1">
      <c r="A356" s="13" t="s">
        <v>1498</v>
      </c>
      <c r="B356" s="13" t="s">
        <v>947</v>
      </c>
      <c r="C356" s="14" t="str">
        <f>IF(B356&lt;&gt;"",IFERROR(VLOOKUP(B356,'📦 Productos'!A:C,3,FALSE),""),"")</f>
        <v>REVLON KISS BALM</v>
      </c>
      <c r="D356" s="13" t="s">
        <v>1499</v>
      </c>
      <c r="E356" s="13" t="s">
        <v>232</v>
      </c>
      <c r="F356" s="16">
        <v>0.0</v>
      </c>
      <c r="G356" s="17">
        <v>18900.0</v>
      </c>
      <c r="H356" s="18">
        <v>12285.0</v>
      </c>
      <c r="I356" s="20">
        <f t="shared" si="1"/>
        <v>35</v>
      </c>
      <c r="J356" s="22" t="s">
        <v>235</v>
      </c>
      <c r="K356" s="16" t="s">
        <v>236</v>
      </c>
      <c r="L356" s="13" t="s">
        <v>232</v>
      </c>
    </row>
    <row r="357" ht="19.5" customHeight="1">
      <c r="A357" s="25" t="s">
        <v>1500</v>
      </c>
      <c r="B357" s="25" t="s">
        <v>954</v>
      </c>
      <c r="C357" s="14" t="str">
        <f>IF(B357&lt;&gt;"",IFERROR(VLOOKUP(B357,'📦 Productos'!A:C,3,FALSE),""),"")</f>
        <v>REVLON KISS EXFOLIATING LIP BALM</v>
      </c>
      <c r="D357" s="25" t="s">
        <v>955</v>
      </c>
      <c r="E357" s="25" t="s">
        <v>232</v>
      </c>
      <c r="F357" s="26">
        <v>0.0</v>
      </c>
      <c r="G357" s="27">
        <v>20300.0</v>
      </c>
      <c r="H357" s="29"/>
      <c r="I357" s="20">
        <f t="shared" si="1"/>
        <v>0</v>
      </c>
      <c r="J357" s="31" t="s">
        <v>235</v>
      </c>
      <c r="K357" s="26" t="s">
        <v>236</v>
      </c>
      <c r="L357" s="25" t="s">
        <v>232</v>
      </c>
    </row>
    <row r="358" ht="19.5" customHeight="1">
      <c r="A358" s="13" t="s">
        <v>1501</v>
      </c>
      <c r="B358" s="13" t="s">
        <v>961</v>
      </c>
      <c r="C358" s="14" t="str">
        <f>IF(B358&lt;&gt;"",IFERROR(VLOOKUP(B358,'📦 Productos'!A:C,3,FALSE),""),"")</f>
        <v>REVLON KIT INFALTABLES</v>
      </c>
      <c r="D358" s="13" t="s">
        <v>962</v>
      </c>
      <c r="E358" s="13" t="s">
        <v>232</v>
      </c>
      <c r="F358" s="16">
        <v>0.0</v>
      </c>
      <c r="G358" s="17">
        <v>53500.0</v>
      </c>
      <c r="H358" s="18"/>
      <c r="I358" s="20">
        <f t="shared" si="1"/>
        <v>0</v>
      </c>
      <c r="J358" s="22" t="s">
        <v>235</v>
      </c>
      <c r="K358" s="16" t="s">
        <v>236</v>
      </c>
      <c r="L358" s="13" t="s">
        <v>232</v>
      </c>
    </row>
    <row r="359" ht="19.5" customHeight="1">
      <c r="A359" s="25" t="s">
        <v>1502</v>
      </c>
      <c r="B359" s="25" t="s">
        <v>966</v>
      </c>
      <c r="C359" s="14" t="str">
        <f>IF(B359&lt;&gt;"",IFERROR(VLOOKUP(B359,'📦 Productos'!A:C,3,FALSE),""),"")</f>
        <v>REVLON KIT PERFECT LIPS DELINEADOR BALSAMO GLIMMER</v>
      </c>
      <c r="D359" s="25" t="s">
        <v>967</v>
      </c>
      <c r="E359" s="25" t="s">
        <v>232</v>
      </c>
      <c r="F359" s="26">
        <v>0.0</v>
      </c>
      <c r="G359" s="27">
        <v>32300.0</v>
      </c>
      <c r="H359" s="29"/>
      <c r="I359" s="20">
        <f t="shared" si="1"/>
        <v>0</v>
      </c>
      <c r="J359" s="31" t="s">
        <v>235</v>
      </c>
      <c r="K359" s="26" t="s">
        <v>236</v>
      </c>
      <c r="L359" s="25" t="s">
        <v>232</v>
      </c>
    </row>
    <row r="360" ht="19.5" customHeight="1">
      <c r="A360" s="13" t="s">
        <v>1503</v>
      </c>
      <c r="B360" s="13" t="s">
        <v>972</v>
      </c>
      <c r="C360" s="14" t="str">
        <f>IF(B360&lt;&gt;"",IFERROR(VLOOKUP(B360,'📦 Productos'!A:C,3,FALSE),""),"")</f>
        <v>REVLON KIT READY TO SHINE</v>
      </c>
      <c r="D360" s="13" t="s">
        <v>973</v>
      </c>
      <c r="E360" s="13" t="s">
        <v>232</v>
      </c>
      <c r="F360" s="16">
        <v>0.0</v>
      </c>
      <c r="G360" s="17">
        <v>84500.0</v>
      </c>
      <c r="H360" s="18"/>
      <c r="I360" s="20">
        <f t="shared" si="1"/>
        <v>0</v>
      </c>
      <c r="J360" s="22" t="s">
        <v>235</v>
      </c>
      <c r="K360" s="16" t="s">
        <v>236</v>
      </c>
      <c r="L360" s="13" t="s">
        <v>232</v>
      </c>
    </row>
    <row r="361" ht="19.5" customHeight="1">
      <c r="A361" s="25" t="s">
        <v>1504</v>
      </c>
      <c r="B361" s="25" t="s">
        <v>977</v>
      </c>
      <c r="C361" s="14" t="str">
        <f>IF(B361&lt;&gt;"",IFERROR(VLOOKUP(B361,'📦 Productos'!A:C,3,FALSE),""),"")</f>
        <v>REVLON KIT SEDUCTION DELINEADOR BALSAMO GLIMMER</v>
      </c>
      <c r="D361" s="25" t="s">
        <v>978</v>
      </c>
      <c r="E361" s="25" t="s">
        <v>232</v>
      </c>
      <c r="F361" s="26">
        <v>0.0</v>
      </c>
      <c r="G361" s="27">
        <v>32300.0</v>
      </c>
      <c r="H361" s="29"/>
      <c r="I361" s="20">
        <f t="shared" si="1"/>
        <v>0</v>
      </c>
      <c r="J361" s="31" t="s">
        <v>235</v>
      </c>
      <c r="K361" s="26" t="s">
        <v>236</v>
      </c>
      <c r="L361" s="25" t="s">
        <v>232</v>
      </c>
    </row>
    <row r="362" ht="19.5" customHeight="1">
      <c r="A362" s="13" t="s">
        <v>1505</v>
      </c>
      <c r="B362" s="13" t="s">
        <v>982</v>
      </c>
      <c r="C362" s="14" t="str">
        <f>IF(B362&lt;&gt;"",IFERROR(VLOOKUP(B362,'📦 Productos'!A:C,3,FALSE),""),"")</f>
        <v>REVLON LAB KISS CLOUD</v>
      </c>
      <c r="D362" s="13" t="s">
        <v>232</v>
      </c>
      <c r="E362" s="13" t="s">
        <v>232</v>
      </c>
      <c r="F362" s="16">
        <v>0.0</v>
      </c>
      <c r="G362" s="17">
        <v>9800.0</v>
      </c>
      <c r="H362" s="18">
        <v>4900.0</v>
      </c>
      <c r="I362" s="20">
        <f t="shared" si="1"/>
        <v>50</v>
      </c>
      <c r="J362" s="22" t="s">
        <v>235</v>
      </c>
      <c r="K362" s="16" t="s">
        <v>236</v>
      </c>
      <c r="L362" s="13" t="s">
        <v>232</v>
      </c>
    </row>
    <row r="363" ht="19.5" customHeight="1">
      <c r="A363" s="25" t="s">
        <v>1506</v>
      </c>
      <c r="B363" s="25" t="s">
        <v>987</v>
      </c>
      <c r="C363" s="14" t="str">
        <f>IF(B363&lt;&gt;"",IFERROR(VLOOKUP(B363,'📦 Productos'!A:C,3,FALSE),""),"")</f>
        <v>REVLON COLORSTAY LIMITLESS MATTE LIQUID LIPSTICK</v>
      </c>
      <c r="D363" s="25" t="s">
        <v>988</v>
      </c>
      <c r="E363" s="25" t="s">
        <v>232</v>
      </c>
      <c r="F363" s="26">
        <v>0.0</v>
      </c>
      <c r="G363" s="27">
        <v>30900.0</v>
      </c>
      <c r="H363" s="29">
        <v>20085.0</v>
      </c>
      <c r="I363" s="20">
        <f t="shared" si="1"/>
        <v>35</v>
      </c>
      <c r="J363" s="31" t="s">
        <v>235</v>
      </c>
      <c r="K363" s="26" t="s">
        <v>236</v>
      </c>
      <c r="L363" s="25" t="s">
        <v>232</v>
      </c>
    </row>
    <row r="364" ht="19.5" customHeight="1">
      <c r="A364" s="13" t="s">
        <v>1507</v>
      </c>
      <c r="B364" s="13" t="s">
        <v>987</v>
      </c>
      <c r="C364" s="14" t="str">
        <f>IF(B364&lt;&gt;"",IFERROR(VLOOKUP(B364,'📦 Productos'!A:C,3,FALSE),""),"")</f>
        <v>REVLON COLORSTAY LIMITLESS MATTE LIQUID LIPSTICK</v>
      </c>
      <c r="D364" s="13" t="s">
        <v>1508</v>
      </c>
      <c r="E364" s="13" t="s">
        <v>232</v>
      </c>
      <c r="F364" s="16">
        <v>0.0</v>
      </c>
      <c r="G364" s="17">
        <v>30900.0</v>
      </c>
      <c r="H364" s="18">
        <v>20085.0</v>
      </c>
      <c r="I364" s="20">
        <f t="shared" si="1"/>
        <v>35</v>
      </c>
      <c r="J364" s="22" t="s">
        <v>235</v>
      </c>
      <c r="K364" s="16" t="s">
        <v>236</v>
      </c>
      <c r="L364" s="13" t="s">
        <v>232</v>
      </c>
    </row>
    <row r="365" ht="19.5" customHeight="1">
      <c r="A365" s="25" t="s">
        <v>1509</v>
      </c>
      <c r="B365" s="25" t="s">
        <v>987</v>
      </c>
      <c r="C365" s="14" t="str">
        <f>IF(B365&lt;&gt;"",IFERROR(VLOOKUP(B365,'📦 Productos'!A:C,3,FALSE),""),"")</f>
        <v>REVLON COLORSTAY LIMITLESS MATTE LIQUID LIPSTICK</v>
      </c>
      <c r="D365" s="25" t="s">
        <v>1510</v>
      </c>
      <c r="E365" s="25" t="s">
        <v>232</v>
      </c>
      <c r="F365" s="26">
        <v>0.0</v>
      </c>
      <c r="G365" s="27">
        <v>30900.0</v>
      </c>
      <c r="H365" s="29">
        <v>20085.0</v>
      </c>
      <c r="I365" s="20">
        <f t="shared" si="1"/>
        <v>35</v>
      </c>
      <c r="J365" s="31" t="s">
        <v>235</v>
      </c>
      <c r="K365" s="26" t="s">
        <v>236</v>
      </c>
      <c r="L365" s="25" t="s">
        <v>232</v>
      </c>
    </row>
    <row r="366" ht="19.5" customHeight="1">
      <c r="A366" s="13" t="s">
        <v>1511</v>
      </c>
      <c r="B366" s="13" t="s">
        <v>987</v>
      </c>
      <c r="C366" s="14" t="str">
        <f>IF(B366&lt;&gt;"",IFERROR(VLOOKUP(B366,'📦 Productos'!A:C,3,FALSE),""),"")</f>
        <v>REVLON COLORSTAY LIMITLESS MATTE LIQUID LIPSTICK</v>
      </c>
      <c r="D366" s="13" t="s">
        <v>1512</v>
      </c>
      <c r="E366" s="13" t="s">
        <v>232</v>
      </c>
      <c r="F366" s="16">
        <v>0.0</v>
      </c>
      <c r="G366" s="17">
        <v>30900.0</v>
      </c>
      <c r="H366" s="18">
        <v>20085.0</v>
      </c>
      <c r="I366" s="20">
        <f t="shared" si="1"/>
        <v>35</v>
      </c>
      <c r="J366" s="22" t="s">
        <v>235</v>
      </c>
      <c r="K366" s="16" t="s">
        <v>236</v>
      </c>
      <c r="L366" s="13" t="s">
        <v>232</v>
      </c>
    </row>
    <row r="367" ht="19.5" customHeight="1">
      <c r="A367" s="25" t="s">
        <v>1513</v>
      </c>
      <c r="B367" s="25" t="s">
        <v>987</v>
      </c>
      <c r="C367" s="14" t="str">
        <f>IF(B367&lt;&gt;"",IFERROR(VLOOKUP(B367,'📦 Productos'!A:C,3,FALSE),""),"")</f>
        <v>REVLON COLORSTAY LIMITLESS MATTE LIQUID LIPSTICK</v>
      </c>
      <c r="D367" s="25" t="s">
        <v>1514</v>
      </c>
      <c r="E367" s="25" t="s">
        <v>232</v>
      </c>
      <c r="F367" s="26">
        <v>0.0</v>
      </c>
      <c r="G367" s="27">
        <v>30900.0</v>
      </c>
      <c r="H367" s="29">
        <v>20085.0</v>
      </c>
      <c r="I367" s="20">
        <f t="shared" si="1"/>
        <v>35</v>
      </c>
      <c r="J367" s="31" t="s">
        <v>235</v>
      </c>
      <c r="K367" s="26" t="s">
        <v>236</v>
      </c>
      <c r="L367" s="25" t="s">
        <v>232</v>
      </c>
    </row>
    <row r="368" ht="19.5" customHeight="1">
      <c r="A368" s="13" t="s">
        <v>1515</v>
      </c>
      <c r="B368" s="13" t="s">
        <v>987</v>
      </c>
      <c r="C368" s="14" t="str">
        <f>IF(B368&lt;&gt;"",IFERROR(VLOOKUP(B368,'📦 Productos'!A:C,3,FALSE),""),"")</f>
        <v>REVLON COLORSTAY LIMITLESS MATTE LIQUID LIPSTICK</v>
      </c>
      <c r="D368" s="13" t="s">
        <v>1516</v>
      </c>
      <c r="E368" s="13" t="s">
        <v>232</v>
      </c>
      <c r="F368" s="16">
        <v>0.0</v>
      </c>
      <c r="G368" s="17">
        <v>30900.0</v>
      </c>
      <c r="H368" s="18">
        <v>20085.0</v>
      </c>
      <c r="I368" s="20">
        <f t="shared" si="1"/>
        <v>35</v>
      </c>
      <c r="J368" s="22" t="s">
        <v>235</v>
      </c>
      <c r="K368" s="16" t="s">
        <v>236</v>
      </c>
      <c r="L368" s="13" t="s">
        <v>232</v>
      </c>
    </row>
    <row r="369" ht="19.5" customHeight="1">
      <c r="A369" s="25" t="s">
        <v>1517</v>
      </c>
      <c r="B369" s="25" t="s">
        <v>987</v>
      </c>
      <c r="C369" s="14" t="str">
        <f>IF(B369&lt;&gt;"",IFERROR(VLOOKUP(B369,'📦 Productos'!A:C,3,FALSE),""),"")</f>
        <v>REVLON COLORSTAY LIMITLESS MATTE LIQUID LIPSTICK</v>
      </c>
      <c r="D369" s="25" t="s">
        <v>1518</v>
      </c>
      <c r="E369" s="25" t="s">
        <v>232</v>
      </c>
      <c r="F369" s="26">
        <v>0.0</v>
      </c>
      <c r="G369" s="27">
        <v>30900.0</v>
      </c>
      <c r="H369" s="29">
        <v>20085.0</v>
      </c>
      <c r="I369" s="20">
        <f t="shared" si="1"/>
        <v>35</v>
      </c>
      <c r="J369" s="31" t="s">
        <v>235</v>
      </c>
      <c r="K369" s="26" t="s">
        <v>236</v>
      </c>
      <c r="L369" s="25" t="s">
        <v>232</v>
      </c>
    </row>
    <row r="370" ht="19.5" customHeight="1">
      <c r="A370" s="13" t="s">
        <v>1519</v>
      </c>
      <c r="B370" s="13" t="s">
        <v>987</v>
      </c>
      <c r="C370" s="14" t="str">
        <f>IF(B370&lt;&gt;"",IFERROR(VLOOKUP(B370,'📦 Productos'!A:C,3,FALSE),""),"")</f>
        <v>REVLON COLORSTAY LIMITLESS MATTE LIQUID LIPSTICK</v>
      </c>
      <c r="D370" s="13" t="s">
        <v>1520</v>
      </c>
      <c r="E370" s="13" t="s">
        <v>232</v>
      </c>
      <c r="F370" s="16">
        <v>0.0</v>
      </c>
      <c r="G370" s="17">
        <v>30900.0</v>
      </c>
      <c r="H370" s="18">
        <v>20085.0</v>
      </c>
      <c r="I370" s="20">
        <f t="shared" si="1"/>
        <v>35</v>
      </c>
      <c r="J370" s="22" t="s">
        <v>235</v>
      </c>
      <c r="K370" s="16" t="s">
        <v>236</v>
      </c>
      <c r="L370" s="13" t="s">
        <v>232</v>
      </c>
    </row>
    <row r="371" ht="19.5" customHeight="1">
      <c r="A371" s="25" t="s">
        <v>1521</v>
      </c>
      <c r="B371" s="25" t="s">
        <v>987</v>
      </c>
      <c r="C371" s="14" t="str">
        <f>IF(B371&lt;&gt;"",IFERROR(VLOOKUP(B371,'📦 Productos'!A:C,3,FALSE),""),"")</f>
        <v>REVLON COLORSTAY LIMITLESS MATTE LIQUID LIPSTICK</v>
      </c>
      <c r="D371" s="25" t="s">
        <v>1522</v>
      </c>
      <c r="E371" s="25" t="s">
        <v>232</v>
      </c>
      <c r="F371" s="26">
        <v>0.0</v>
      </c>
      <c r="G371" s="27">
        <v>30900.0</v>
      </c>
      <c r="H371" s="29">
        <v>20085.0</v>
      </c>
      <c r="I371" s="20">
        <f t="shared" si="1"/>
        <v>35</v>
      </c>
      <c r="J371" s="31" t="s">
        <v>235</v>
      </c>
      <c r="K371" s="26" t="s">
        <v>236</v>
      </c>
      <c r="L371" s="25" t="s">
        <v>232</v>
      </c>
    </row>
    <row r="372" ht="19.5" customHeight="1">
      <c r="A372" s="13" t="s">
        <v>1523</v>
      </c>
      <c r="B372" s="13" t="s">
        <v>987</v>
      </c>
      <c r="C372" s="14" t="str">
        <f>IF(B372&lt;&gt;"",IFERROR(VLOOKUP(B372,'📦 Productos'!A:C,3,FALSE),""),"")</f>
        <v>REVLON COLORSTAY LIMITLESS MATTE LIQUID LIPSTICK</v>
      </c>
      <c r="D372" s="13" t="s">
        <v>1524</v>
      </c>
      <c r="E372" s="13" t="s">
        <v>232</v>
      </c>
      <c r="F372" s="16">
        <v>0.0</v>
      </c>
      <c r="G372" s="17">
        <v>30900.0</v>
      </c>
      <c r="H372" s="18">
        <v>20085.0</v>
      </c>
      <c r="I372" s="20">
        <f t="shared" si="1"/>
        <v>35</v>
      </c>
      <c r="J372" s="22" t="s">
        <v>235</v>
      </c>
      <c r="K372" s="16" t="s">
        <v>236</v>
      </c>
      <c r="L372" s="13" t="s">
        <v>232</v>
      </c>
    </row>
    <row r="373" ht="19.5" customHeight="1">
      <c r="A373" s="25" t="s">
        <v>1525</v>
      </c>
      <c r="B373" s="25" t="s">
        <v>993</v>
      </c>
      <c r="C373" s="14" t="str">
        <f>IF(B373&lt;&gt;"",IFERROR(VLOOKUP(B373,'📦 Productos'!A:C,3,FALSE),""),"")</f>
        <v>REVLON SUPER LUSTROUS CREME</v>
      </c>
      <c r="D373" s="25" t="s">
        <v>994</v>
      </c>
      <c r="E373" s="25" t="s">
        <v>232</v>
      </c>
      <c r="F373" s="26">
        <v>0.0</v>
      </c>
      <c r="G373" s="27">
        <v>23900.0</v>
      </c>
      <c r="H373" s="29">
        <v>15535.0</v>
      </c>
      <c r="I373" s="20">
        <f t="shared" si="1"/>
        <v>35</v>
      </c>
      <c r="J373" s="31" t="s">
        <v>235</v>
      </c>
      <c r="K373" s="26" t="s">
        <v>236</v>
      </c>
      <c r="L373" s="25" t="s">
        <v>232</v>
      </c>
    </row>
    <row r="374" ht="19.5" customHeight="1">
      <c r="A374" s="13" t="s">
        <v>1526</v>
      </c>
      <c r="B374" s="13" t="s">
        <v>993</v>
      </c>
      <c r="C374" s="14" t="str">
        <f>IF(B374&lt;&gt;"",IFERROR(VLOOKUP(B374,'📦 Productos'!A:C,3,FALSE),""),"")</f>
        <v>REVLON SUPER LUSTROUS CREME</v>
      </c>
      <c r="D374" s="13" t="s">
        <v>1527</v>
      </c>
      <c r="E374" s="13" t="s">
        <v>232</v>
      </c>
      <c r="F374" s="16">
        <v>0.0</v>
      </c>
      <c r="G374" s="17">
        <v>23900.0</v>
      </c>
      <c r="H374" s="18">
        <v>15535.0</v>
      </c>
      <c r="I374" s="20">
        <f t="shared" si="1"/>
        <v>35</v>
      </c>
      <c r="J374" s="22" t="s">
        <v>235</v>
      </c>
      <c r="K374" s="16" t="s">
        <v>236</v>
      </c>
      <c r="L374" s="13" t="s">
        <v>232</v>
      </c>
    </row>
    <row r="375" ht="19.5" customHeight="1">
      <c r="A375" s="25" t="s">
        <v>1528</v>
      </c>
      <c r="B375" s="25" t="s">
        <v>993</v>
      </c>
      <c r="C375" s="14" t="str">
        <f>IF(B375&lt;&gt;"",IFERROR(VLOOKUP(B375,'📦 Productos'!A:C,3,FALSE),""),"")</f>
        <v>REVLON SUPER LUSTROUS CREME</v>
      </c>
      <c r="D375" s="25" t="s">
        <v>1529</v>
      </c>
      <c r="E375" s="25" t="s">
        <v>232</v>
      </c>
      <c r="F375" s="26">
        <v>0.0</v>
      </c>
      <c r="G375" s="27">
        <v>23900.0</v>
      </c>
      <c r="H375" s="29">
        <v>15535.0</v>
      </c>
      <c r="I375" s="20">
        <f t="shared" si="1"/>
        <v>35</v>
      </c>
      <c r="J375" s="31" t="s">
        <v>235</v>
      </c>
      <c r="K375" s="26" t="s">
        <v>236</v>
      </c>
      <c r="L375" s="25" t="s">
        <v>232</v>
      </c>
    </row>
    <row r="376" ht="19.5" customHeight="1">
      <c r="A376" s="13" t="s">
        <v>1530</v>
      </c>
      <c r="B376" s="13" t="s">
        <v>993</v>
      </c>
      <c r="C376" s="14" t="str">
        <f>IF(B376&lt;&gt;"",IFERROR(VLOOKUP(B376,'📦 Productos'!A:C,3,FALSE),""),"")</f>
        <v>REVLON SUPER LUSTROUS CREME</v>
      </c>
      <c r="D376" s="13" t="s">
        <v>1531</v>
      </c>
      <c r="E376" s="13" t="s">
        <v>232</v>
      </c>
      <c r="F376" s="16">
        <v>0.0</v>
      </c>
      <c r="G376" s="17">
        <v>23900.0</v>
      </c>
      <c r="H376" s="18">
        <v>15535.0</v>
      </c>
      <c r="I376" s="20">
        <f t="shared" si="1"/>
        <v>35</v>
      </c>
      <c r="J376" s="22" t="s">
        <v>235</v>
      </c>
      <c r="K376" s="16" t="s">
        <v>236</v>
      </c>
      <c r="L376" s="13" t="s">
        <v>232</v>
      </c>
    </row>
    <row r="377" ht="19.5" customHeight="1">
      <c r="A377" s="25" t="s">
        <v>1532</v>
      </c>
      <c r="B377" s="25" t="s">
        <v>993</v>
      </c>
      <c r="C377" s="14" t="str">
        <f>IF(B377&lt;&gt;"",IFERROR(VLOOKUP(B377,'📦 Productos'!A:C,3,FALSE),""),"")</f>
        <v>REVLON SUPER LUSTROUS CREME</v>
      </c>
      <c r="D377" s="25" t="s">
        <v>1533</v>
      </c>
      <c r="E377" s="25" t="s">
        <v>232</v>
      </c>
      <c r="F377" s="26">
        <v>0.0</v>
      </c>
      <c r="G377" s="27">
        <v>23900.0</v>
      </c>
      <c r="H377" s="29">
        <v>11950.0</v>
      </c>
      <c r="I377" s="20">
        <f t="shared" si="1"/>
        <v>50</v>
      </c>
      <c r="J377" s="31" t="s">
        <v>235</v>
      </c>
      <c r="K377" s="26" t="s">
        <v>236</v>
      </c>
      <c r="L377" s="25" t="s">
        <v>232</v>
      </c>
    </row>
    <row r="378" ht="19.5" customHeight="1">
      <c r="A378" s="13" t="s">
        <v>1534</v>
      </c>
      <c r="B378" s="13" t="s">
        <v>993</v>
      </c>
      <c r="C378" s="14" t="str">
        <f>IF(B378&lt;&gt;"",IFERROR(VLOOKUP(B378,'📦 Productos'!A:C,3,FALSE),""),"")</f>
        <v>REVLON SUPER LUSTROUS CREME</v>
      </c>
      <c r="D378" s="13" t="s">
        <v>1535</v>
      </c>
      <c r="E378" s="13" t="s">
        <v>232</v>
      </c>
      <c r="F378" s="16">
        <v>0.0</v>
      </c>
      <c r="G378" s="17">
        <v>23900.0</v>
      </c>
      <c r="H378" s="18">
        <v>15535.0</v>
      </c>
      <c r="I378" s="20">
        <f t="shared" si="1"/>
        <v>35</v>
      </c>
      <c r="J378" s="22" t="s">
        <v>235</v>
      </c>
      <c r="K378" s="16" t="s">
        <v>236</v>
      </c>
      <c r="L378" s="13" t="s">
        <v>232</v>
      </c>
    </row>
    <row r="379" ht="19.5" customHeight="1">
      <c r="A379" s="25" t="s">
        <v>1536</v>
      </c>
      <c r="B379" s="25" t="s">
        <v>1000</v>
      </c>
      <c r="C379" s="14" t="str">
        <f>IF(B379&lt;&gt;"",IFERROR(VLOOKUP(B379,'📦 Productos'!A:C,3,FALSE),""),"")</f>
        <v>REVLON SUPER LUSTROUS PEARL</v>
      </c>
      <c r="D379" s="25" t="s">
        <v>1001</v>
      </c>
      <c r="E379" s="25" t="s">
        <v>232</v>
      </c>
      <c r="F379" s="26">
        <v>0.0</v>
      </c>
      <c r="G379" s="27">
        <v>23900.0</v>
      </c>
      <c r="H379" s="29">
        <v>15535.0</v>
      </c>
      <c r="I379" s="20">
        <f t="shared" si="1"/>
        <v>35</v>
      </c>
      <c r="J379" s="31" t="s">
        <v>235</v>
      </c>
      <c r="K379" s="26" t="s">
        <v>236</v>
      </c>
      <c r="L379" s="25" t="s">
        <v>232</v>
      </c>
    </row>
    <row r="380" ht="19.5" customHeight="1">
      <c r="A380" s="13" t="s">
        <v>1537</v>
      </c>
      <c r="B380" s="13" t="s">
        <v>1000</v>
      </c>
      <c r="C380" s="14" t="str">
        <f>IF(B380&lt;&gt;"",IFERROR(VLOOKUP(B380,'📦 Productos'!A:C,3,FALSE),""),"")</f>
        <v>REVLON SUPER LUSTROUS PEARL</v>
      </c>
      <c r="D380" s="13" t="s">
        <v>1538</v>
      </c>
      <c r="E380" s="13" t="s">
        <v>232</v>
      </c>
      <c r="F380" s="16">
        <v>0.0</v>
      </c>
      <c r="G380" s="17">
        <v>23900.0</v>
      </c>
      <c r="H380" s="18">
        <v>15535.0</v>
      </c>
      <c r="I380" s="20">
        <f t="shared" si="1"/>
        <v>35</v>
      </c>
      <c r="J380" s="22" t="s">
        <v>235</v>
      </c>
      <c r="K380" s="16" t="s">
        <v>236</v>
      </c>
      <c r="L380" s="13" t="s">
        <v>232</v>
      </c>
    </row>
    <row r="381" ht="19.5" customHeight="1">
      <c r="A381" s="25" t="s">
        <v>1539</v>
      </c>
      <c r="B381" s="25" t="s">
        <v>1000</v>
      </c>
      <c r="C381" s="14" t="str">
        <f>IF(B381&lt;&gt;"",IFERROR(VLOOKUP(B381,'📦 Productos'!A:C,3,FALSE),""),"")</f>
        <v>REVLON SUPER LUSTROUS PEARL</v>
      </c>
      <c r="D381" s="25" t="s">
        <v>1540</v>
      </c>
      <c r="E381" s="25" t="s">
        <v>232</v>
      </c>
      <c r="F381" s="26">
        <v>0.0</v>
      </c>
      <c r="G381" s="27">
        <v>23900.0</v>
      </c>
      <c r="H381" s="29">
        <v>11950.0</v>
      </c>
      <c r="I381" s="20">
        <f t="shared" si="1"/>
        <v>50</v>
      </c>
      <c r="J381" s="31" t="s">
        <v>235</v>
      </c>
      <c r="K381" s="26" t="s">
        <v>236</v>
      </c>
      <c r="L381" s="25" t="s">
        <v>232</v>
      </c>
    </row>
    <row r="382" ht="19.5" customHeight="1">
      <c r="A382" s="13" t="s">
        <v>1541</v>
      </c>
      <c r="B382" s="13" t="s">
        <v>1005</v>
      </c>
      <c r="C382" s="14" t="str">
        <f>IF(B382&lt;&gt;"",IFERROR(VLOOKUP(B382,'📦 Productos'!A:C,3,FALSE),""),"")</f>
        <v>REVLON SUPER LUSTROUS</v>
      </c>
      <c r="D382" s="13" t="s">
        <v>1006</v>
      </c>
      <c r="E382" s="13" t="s">
        <v>232</v>
      </c>
      <c r="F382" s="16">
        <v>0.0</v>
      </c>
      <c r="G382" s="17">
        <v>23900.0</v>
      </c>
      <c r="H382" s="18">
        <v>11950.0</v>
      </c>
      <c r="I382" s="20">
        <f t="shared" si="1"/>
        <v>50</v>
      </c>
      <c r="J382" s="22" t="s">
        <v>235</v>
      </c>
      <c r="K382" s="16" t="s">
        <v>236</v>
      </c>
      <c r="L382" s="13" t="s">
        <v>232</v>
      </c>
    </row>
    <row r="383" ht="19.5" customHeight="1">
      <c r="A383" s="25" t="s">
        <v>1542</v>
      </c>
      <c r="B383" s="25" t="s">
        <v>1005</v>
      </c>
      <c r="C383" s="14" t="str">
        <f>IF(B383&lt;&gt;"",IFERROR(VLOOKUP(B383,'📦 Productos'!A:C,3,FALSE),""),"")</f>
        <v>REVLON SUPER LUSTROUS</v>
      </c>
      <c r="D383" s="25" t="s">
        <v>1543</v>
      </c>
      <c r="E383" s="25" t="s">
        <v>232</v>
      </c>
      <c r="F383" s="26">
        <v>0.0</v>
      </c>
      <c r="G383" s="27">
        <v>23900.0</v>
      </c>
      <c r="H383" s="29">
        <v>15535.0</v>
      </c>
      <c r="I383" s="20">
        <f t="shared" si="1"/>
        <v>35</v>
      </c>
      <c r="J383" s="31" t="s">
        <v>235</v>
      </c>
      <c r="K383" s="26" t="s">
        <v>236</v>
      </c>
      <c r="L383" s="25" t="s">
        <v>232</v>
      </c>
    </row>
    <row r="384" ht="19.5" customHeight="1">
      <c r="A384" s="13" t="s">
        <v>1544</v>
      </c>
      <c r="B384" s="13" t="s">
        <v>1005</v>
      </c>
      <c r="C384" s="14" t="str">
        <f>IF(B384&lt;&gt;"",IFERROR(VLOOKUP(B384,'📦 Productos'!A:C,3,FALSE),""),"")</f>
        <v>REVLON SUPER LUSTROUS</v>
      </c>
      <c r="D384" s="13" t="s">
        <v>1545</v>
      </c>
      <c r="E384" s="13" t="s">
        <v>232</v>
      </c>
      <c r="F384" s="16">
        <v>0.0</v>
      </c>
      <c r="G384" s="17">
        <v>23900.0</v>
      </c>
      <c r="H384" s="18">
        <v>15535.0</v>
      </c>
      <c r="I384" s="20">
        <f t="shared" si="1"/>
        <v>35</v>
      </c>
      <c r="J384" s="22" t="s">
        <v>235</v>
      </c>
      <c r="K384" s="16" t="s">
        <v>236</v>
      </c>
      <c r="L384" s="13" t="s">
        <v>232</v>
      </c>
    </row>
    <row r="385" ht="19.5" customHeight="1">
      <c r="A385" s="25" t="s">
        <v>1546</v>
      </c>
      <c r="B385" s="25" t="s">
        <v>1005</v>
      </c>
      <c r="C385" s="14" t="str">
        <f>IF(B385&lt;&gt;"",IFERROR(VLOOKUP(B385,'📦 Productos'!A:C,3,FALSE),""),"")</f>
        <v>REVLON SUPER LUSTROUS</v>
      </c>
      <c r="D385" s="25" t="s">
        <v>1547</v>
      </c>
      <c r="E385" s="25" t="s">
        <v>232</v>
      </c>
      <c r="F385" s="26">
        <v>0.0</v>
      </c>
      <c r="G385" s="27">
        <v>23900.0</v>
      </c>
      <c r="H385" s="29">
        <v>11950.0</v>
      </c>
      <c r="I385" s="20">
        <f t="shared" si="1"/>
        <v>50</v>
      </c>
      <c r="J385" s="31" t="s">
        <v>235</v>
      </c>
      <c r="K385" s="26" t="s">
        <v>236</v>
      </c>
      <c r="L385" s="25" t="s">
        <v>232</v>
      </c>
    </row>
    <row r="386" ht="19.5" customHeight="1">
      <c r="A386" s="13" t="s">
        <v>1548</v>
      </c>
      <c r="B386" s="13" t="s">
        <v>1005</v>
      </c>
      <c r="C386" s="14" t="str">
        <f>IF(B386&lt;&gt;"",IFERROR(VLOOKUP(B386,'📦 Productos'!A:C,3,FALSE),""),"")</f>
        <v>REVLON SUPER LUSTROUS</v>
      </c>
      <c r="D386" s="13" t="s">
        <v>1549</v>
      </c>
      <c r="E386" s="13" t="s">
        <v>232</v>
      </c>
      <c r="F386" s="16">
        <v>0.0</v>
      </c>
      <c r="G386" s="17">
        <v>23900.0</v>
      </c>
      <c r="H386" s="18">
        <v>11950.0</v>
      </c>
      <c r="I386" s="20">
        <f t="shared" si="1"/>
        <v>50</v>
      </c>
      <c r="J386" s="22" t="s">
        <v>235</v>
      </c>
      <c r="K386" s="16" t="s">
        <v>236</v>
      </c>
      <c r="L386" s="13" t="s">
        <v>232</v>
      </c>
    </row>
    <row r="387" ht="19.5" customHeight="1">
      <c r="A387" s="25" t="s">
        <v>1550</v>
      </c>
      <c r="B387" s="25" t="s">
        <v>1005</v>
      </c>
      <c r="C387" s="14" t="str">
        <f>IF(B387&lt;&gt;"",IFERROR(VLOOKUP(B387,'📦 Productos'!A:C,3,FALSE),""),"")</f>
        <v>REVLON SUPER LUSTROUS</v>
      </c>
      <c r="D387" s="25" t="s">
        <v>1551</v>
      </c>
      <c r="E387" s="25" t="s">
        <v>232</v>
      </c>
      <c r="F387" s="26">
        <v>0.0</v>
      </c>
      <c r="G387" s="27">
        <v>23900.0</v>
      </c>
      <c r="H387" s="29">
        <v>11950.0</v>
      </c>
      <c r="I387" s="20">
        <f t="shared" si="1"/>
        <v>50</v>
      </c>
      <c r="J387" s="31" t="s">
        <v>235</v>
      </c>
      <c r="K387" s="26" t="s">
        <v>236</v>
      </c>
      <c r="L387" s="25" t="s">
        <v>232</v>
      </c>
    </row>
    <row r="388" ht="19.5" customHeight="1">
      <c r="A388" s="13" t="s">
        <v>1552</v>
      </c>
      <c r="B388" s="13" t="s">
        <v>1005</v>
      </c>
      <c r="C388" s="14" t="str">
        <f>IF(B388&lt;&gt;"",IFERROR(VLOOKUP(B388,'📦 Productos'!A:C,3,FALSE),""),"")</f>
        <v>REVLON SUPER LUSTROUS</v>
      </c>
      <c r="D388" s="13" t="s">
        <v>1553</v>
      </c>
      <c r="E388" s="13" t="s">
        <v>232</v>
      </c>
      <c r="F388" s="16">
        <v>0.0</v>
      </c>
      <c r="G388" s="17">
        <v>23900.0</v>
      </c>
      <c r="H388" s="18">
        <v>11950.0</v>
      </c>
      <c r="I388" s="20">
        <f t="shared" si="1"/>
        <v>50</v>
      </c>
      <c r="J388" s="22" t="s">
        <v>235</v>
      </c>
      <c r="K388" s="16" t="s">
        <v>236</v>
      </c>
      <c r="L388" s="13" t="s">
        <v>232</v>
      </c>
    </row>
    <row r="389" ht="19.5" customHeight="1">
      <c r="A389" s="25" t="s">
        <v>1554</v>
      </c>
      <c r="B389" s="25" t="s">
        <v>1005</v>
      </c>
      <c r="C389" s="14" t="str">
        <f>IF(B389&lt;&gt;"",IFERROR(VLOOKUP(B389,'📦 Productos'!A:C,3,FALSE),""),"")</f>
        <v>REVLON SUPER LUSTROUS</v>
      </c>
      <c r="D389" s="25" t="s">
        <v>1555</v>
      </c>
      <c r="E389" s="25" t="s">
        <v>232</v>
      </c>
      <c r="F389" s="26">
        <v>0.0</v>
      </c>
      <c r="G389" s="27">
        <v>23900.0</v>
      </c>
      <c r="H389" s="29">
        <v>11950.0</v>
      </c>
      <c r="I389" s="20">
        <f t="shared" si="1"/>
        <v>50</v>
      </c>
      <c r="J389" s="31" t="s">
        <v>235</v>
      </c>
      <c r="K389" s="26" t="s">
        <v>236</v>
      </c>
      <c r="L389" s="25" t="s">
        <v>232</v>
      </c>
    </row>
    <row r="390" ht="19.5" customHeight="1">
      <c r="A390" s="13" t="s">
        <v>1556</v>
      </c>
      <c r="B390" s="13" t="s">
        <v>1005</v>
      </c>
      <c r="C390" s="14" t="str">
        <f>IF(B390&lt;&gt;"",IFERROR(VLOOKUP(B390,'📦 Productos'!A:C,3,FALSE),""),"")</f>
        <v>REVLON SUPER LUSTROUS</v>
      </c>
      <c r="D390" s="13" t="s">
        <v>1557</v>
      </c>
      <c r="E390" s="13" t="s">
        <v>232</v>
      </c>
      <c r="F390" s="16">
        <v>0.0</v>
      </c>
      <c r="G390" s="17">
        <v>23900.0</v>
      </c>
      <c r="H390" s="18">
        <v>15535.0</v>
      </c>
      <c r="I390" s="20">
        <f t="shared" si="1"/>
        <v>35</v>
      </c>
      <c r="J390" s="22" t="s">
        <v>235</v>
      </c>
      <c r="K390" s="16" t="s">
        <v>236</v>
      </c>
      <c r="L390" s="13" t="s">
        <v>232</v>
      </c>
    </row>
    <row r="391" ht="19.5" customHeight="1">
      <c r="A391" s="25" t="s">
        <v>1558</v>
      </c>
      <c r="B391" s="25" t="s">
        <v>1005</v>
      </c>
      <c r="C391" s="14" t="str">
        <f>IF(B391&lt;&gt;"",IFERROR(VLOOKUP(B391,'📦 Productos'!A:C,3,FALSE),""),"")</f>
        <v>REVLON SUPER LUSTROUS</v>
      </c>
      <c r="D391" s="25" t="s">
        <v>1559</v>
      </c>
      <c r="E391" s="25" t="s">
        <v>232</v>
      </c>
      <c r="F391" s="26">
        <v>0.0</v>
      </c>
      <c r="G391" s="27">
        <v>23900.0</v>
      </c>
      <c r="H391" s="29">
        <v>15535.0</v>
      </c>
      <c r="I391" s="20">
        <f t="shared" si="1"/>
        <v>35</v>
      </c>
      <c r="J391" s="31" t="s">
        <v>235</v>
      </c>
      <c r="K391" s="26" t="s">
        <v>236</v>
      </c>
      <c r="L391" s="25" t="s">
        <v>232</v>
      </c>
    </row>
    <row r="392" ht="19.5" customHeight="1">
      <c r="A392" s="13" t="s">
        <v>1560</v>
      </c>
      <c r="B392" s="13" t="s">
        <v>1005</v>
      </c>
      <c r="C392" s="14" t="str">
        <f>IF(B392&lt;&gt;"",IFERROR(VLOOKUP(B392,'📦 Productos'!A:C,3,FALSE),""),"")</f>
        <v>REVLON SUPER LUSTROUS</v>
      </c>
      <c r="D392" s="13" t="s">
        <v>1561</v>
      </c>
      <c r="E392" s="13" t="s">
        <v>232</v>
      </c>
      <c r="F392" s="16">
        <v>0.0</v>
      </c>
      <c r="G392" s="17">
        <v>23900.0</v>
      </c>
      <c r="H392" s="18">
        <v>15535.0</v>
      </c>
      <c r="I392" s="20">
        <f t="shared" si="1"/>
        <v>35</v>
      </c>
      <c r="J392" s="22" t="s">
        <v>235</v>
      </c>
      <c r="K392" s="16" t="s">
        <v>236</v>
      </c>
      <c r="L392" s="13" t="s">
        <v>232</v>
      </c>
    </row>
    <row r="393" ht="19.5" customHeight="1">
      <c r="A393" s="25" t="s">
        <v>1562</v>
      </c>
      <c r="B393" s="25" t="s">
        <v>1011</v>
      </c>
      <c r="C393" s="14" t="str">
        <f>IF(B393&lt;&gt;"",IFERROR(VLOOKUP(B393,'📦 Productos'!A:C,3,FALSE),""),"")</f>
        <v>REVLON LABIAL 029 CHA</v>
      </c>
      <c r="D393" s="25" t="s">
        <v>232</v>
      </c>
      <c r="E393" s="25" t="s">
        <v>232</v>
      </c>
      <c r="F393" s="26">
        <v>0.0</v>
      </c>
      <c r="G393" s="27">
        <v>23900.0</v>
      </c>
      <c r="H393" s="29">
        <v>11950.0</v>
      </c>
      <c r="I393" s="20">
        <f t="shared" si="1"/>
        <v>50</v>
      </c>
      <c r="J393" s="31" t="s">
        <v>235</v>
      </c>
      <c r="K393" s="26" t="s">
        <v>236</v>
      </c>
      <c r="L393" s="25" t="s">
        <v>232</v>
      </c>
    </row>
    <row r="394" ht="19.5" customHeight="1">
      <c r="A394" s="13" t="s">
        <v>1563</v>
      </c>
      <c r="B394" s="13" t="s">
        <v>1015</v>
      </c>
      <c r="C394" s="14" t="str">
        <f>IF(B394&lt;&gt;"",IFERROR(VLOOKUP(B394,'📦 Productos'!A:C,3,FALSE),""),"")</f>
        <v>REVLON LABIAL 730 N</v>
      </c>
      <c r="D394" s="13" t="s">
        <v>232</v>
      </c>
      <c r="E394" s="13" t="s">
        <v>232</v>
      </c>
      <c r="F394" s="16">
        <v>0.0</v>
      </c>
      <c r="G394" s="17">
        <v>23900.0</v>
      </c>
      <c r="H394" s="18">
        <v>15535.0</v>
      </c>
      <c r="I394" s="20">
        <f t="shared" si="1"/>
        <v>35</v>
      </c>
      <c r="J394" s="22" t="s">
        <v>235</v>
      </c>
      <c r="K394" s="16" t="s">
        <v>236</v>
      </c>
      <c r="L394" s="13" t="s">
        <v>232</v>
      </c>
    </row>
    <row r="395" ht="19.5" customHeight="1">
      <c r="A395" s="25" t="s">
        <v>1564</v>
      </c>
      <c r="B395" s="25" t="s">
        <v>1020</v>
      </c>
      <c r="C395" s="14" t="str">
        <f>IF(B395&lt;&gt;"",IFERROR(VLOOKUP(B395,'📦 Productos'!A:C,3,FALSE),""),"")</f>
        <v>REVLON LABIAL COL</v>
      </c>
      <c r="D395" s="25" t="s">
        <v>232</v>
      </c>
      <c r="E395" s="25" t="s">
        <v>232</v>
      </c>
      <c r="F395" s="26">
        <v>0.0</v>
      </c>
      <c r="G395" s="27">
        <v>23900.0</v>
      </c>
      <c r="H395" s="29">
        <v>11950.0</v>
      </c>
      <c r="I395" s="20">
        <f t="shared" si="1"/>
        <v>50</v>
      </c>
      <c r="J395" s="31" t="s">
        <v>235</v>
      </c>
      <c r="K395" s="26" t="s">
        <v>236</v>
      </c>
      <c r="L395" s="25" t="s">
        <v>232</v>
      </c>
    </row>
    <row r="396" ht="19.5" customHeight="1">
      <c r="A396" s="13" t="s">
        <v>1565</v>
      </c>
      <c r="B396" s="13" t="s">
        <v>1025</v>
      </c>
      <c r="C396" s="14" t="str">
        <f>IF(B396&lt;&gt;"",IFERROR(VLOOKUP(B396,'📦 Productos'!A:C,3,FALSE),""),"")</f>
        <v>REVLON LABIAL LIQ MAT</v>
      </c>
      <c r="D396" s="13" t="s">
        <v>232</v>
      </c>
      <c r="E396" s="13" t="s">
        <v>232</v>
      </c>
      <c r="F396" s="16">
        <v>0.0</v>
      </c>
      <c r="G396" s="17">
        <v>21900.0</v>
      </c>
      <c r="H396" s="18">
        <v>10950.0</v>
      </c>
      <c r="I396" s="20">
        <f t="shared" si="1"/>
        <v>50</v>
      </c>
      <c r="J396" s="22" t="s">
        <v>235</v>
      </c>
      <c r="K396" s="16" t="s">
        <v>236</v>
      </c>
      <c r="L396" s="13" t="s">
        <v>232</v>
      </c>
    </row>
    <row r="397" ht="19.5" customHeight="1">
      <c r="A397" s="25" t="s">
        <v>1566</v>
      </c>
      <c r="B397" s="25" t="s">
        <v>1025</v>
      </c>
      <c r="C397" s="14" t="str">
        <f>IF(B397&lt;&gt;"",IFERROR(VLOOKUP(B397,'📦 Productos'!A:C,3,FALSE),""),"")</f>
        <v>REVLON LABIAL LIQ MAT</v>
      </c>
      <c r="D397" s="25" t="s">
        <v>232</v>
      </c>
      <c r="E397" s="25" t="s">
        <v>232</v>
      </c>
      <c r="F397" s="26">
        <v>0.0</v>
      </c>
      <c r="G397" s="27">
        <v>21900.0</v>
      </c>
      <c r="H397" s="29">
        <v>10950.0</v>
      </c>
      <c r="I397" s="20">
        <f t="shared" si="1"/>
        <v>50</v>
      </c>
      <c r="J397" s="31" t="s">
        <v>235</v>
      </c>
      <c r="K397" s="26" t="s">
        <v>236</v>
      </c>
      <c r="L397" s="25" t="s">
        <v>232</v>
      </c>
    </row>
    <row r="398" ht="19.5" customHeight="1">
      <c r="A398" s="13" t="s">
        <v>1567</v>
      </c>
      <c r="B398" s="13" t="s">
        <v>1025</v>
      </c>
      <c r="C398" s="14" t="str">
        <f>IF(B398&lt;&gt;"",IFERROR(VLOOKUP(B398,'📦 Productos'!A:C,3,FALSE),""),"")</f>
        <v>REVLON LABIAL LIQ MAT</v>
      </c>
      <c r="D398" s="13" t="s">
        <v>232</v>
      </c>
      <c r="E398" s="13" t="s">
        <v>232</v>
      </c>
      <c r="F398" s="16">
        <v>0.0</v>
      </c>
      <c r="G398" s="17">
        <v>21900.0</v>
      </c>
      <c r="H398" s="18">
        <v>10950.0</v>
      </c>
      <c r="I398" s="20">
        <f t="shared" si="1"/>
        <v>50</v>
      </c>
      <c r="J398" s="22" t="s">
        <v>235</v>
      </c>
      <c r="K398" s="16" t="s">
        <v>236</v>
      </c>
      <c r="L398" s="13" t="s">
        <v>232</v>
      </c>
    </row>
    <row r="399" ht="19.5" customHeight="1">
      <c r="A399" s="25" t="s">
        <v>1568</v>
      </c>
      <c r="B399" s="25" t="s">
        <v>1029</v>
      </c>
      <c r="C399" s="14" t="str">
        <f>IF(B399&lt;&gt;"",IFERROR(VLOOKUP(B399,'📦 Productos'!A:C,3,FALSE),""),"")</f>
        <v>REVLON SUPER LUSTROUS MATTE</v>
      </c>
      <c r="D399" s="25" t="s">
        <v>1030</v>
      </c>
      <c r="E399" s="25" t="s">
        <v>232</v>
      </c>
      <c r="F399" s="26">
        <v>0.0</v>
      </c>
      <c r="G399" s="27">
        <v>23900.0</v>
      </c>
      <c r="H399" s="29">
        <v>15535.0</v>
      </c>
      <c r="I399" s="20">
        <f t="shared" si="1"/>
        <v>35</v>
      </c>
      <c r="J399" s="31" t="s">
        <v>235</v>
      </c>
      <c r="K399" s="26" t="s">
        <v>236</v>
      </c>
      <c r="L399" s="25" t="s">
        <v>232</v>
      </c>
    </row>
    <row r="400" ht="19.5" customHeight="1">
      <c r="A400" s="13" t="s">
        <v>1569</v>
      </c>
      <c r="B400" s="13" t="s">
        <v>1029</v>
      </c>
      <c r="C400" s="14" t="str">
        <f>IF(B400&lt;&gt;"",IFERROR(VLOOKUP(B400,'📦 Productos'!A:C,3,FALSE),""),"")</f>
        <v>REVLON SUPER LUSTROUS MATTE</v>
      </c>
      <c r="D400" s="13" t="s">
        <v>1570</v>
      </c>
      <c r="E400" s="13" t="s">
        <v>232</v>
      </c>
      <c r="F400" s="16">
        <v>0.0</v>
      </c>
      <c r="G400" s="17">
        <v>23900.0</v>
      </c>
      <c r="H400" s="18">
        <v>15535.0</v>
      </c>
      <c r="I400" s="20">
        <f t="shared" si="1"/>
        <v>35</v>
      </c>
      <c r="J400" s="22" t="s">
        <v>235</v>
      </c>
      <c r="K400" s="16" t="s">
        <v>236</v>
      </c>
      <c r="L400" s="13" t="s">
        <v>232</v>
      </c>
    </row>
    <row r="401" ht="19.5" customHeight="1">
      <c r="A401" s="25" t="s">
        <v>1571</v>
      </c>
      <c r="B401" s="25" t="s">
        <v>1029</v>
      </c>
      <c r="C401" s="14" t="str">
        <f>IF(B401&lt;&gt;"",IFERROR(VLOOKUP(B401,'📦 Productos'!A:C,3,FALSE),""),"")</f>
        <v>REVLON SUPER LUSTROUS MATTE</v>
      </c>
      <c r="D401" s="25" t="s">
        <v>1572</v>
      </c>
      <c r="E401" s="25" t="s">
        <v>232</v>
      </c>
      <c r="F401" s="26">
        <v>0.0</v>
      </c>
      <c r="G401" s="27">
        <v>23900.0</v>
      </c>
      <c r="H401" s="29">
        <v>15535.0</v>
      </c>
      <c r="I401" s="20">
        <f t="shared" si="1"/>
        <v>35</v>
      </c>
      <c r="J401" s="31" t="s">
        <v>235</v>
      </c>
      <c r="K401" s="26" t="s">
        <v>236</v>
      </c>
      <c r="L401" s="25" t="s">
        <v>232</v>
      </c>
    </row>
    <row r="402" ht="19.5" customHeight="1">
      <c r="A402" s="13" t="s">
        <v>1573</v>
      </c>
      <c r="B402" s="13" t="s">
        <v>1034</v>
      </c>
      <c r="C402" s="14" t="str">
        <f>IF(B402&lt;&gt;"",IFERROR(VLOOKUP(B402,'📦 Productos'!A:C,3,FALSE),""),"")</f>
        <v>REVLON COLORSTAY SATIN INK</v>
      </c>
      <c r="D402" s="13" t="s">
        <v>1035</v>
      </c>
      <c r="E402" s="13" t="s">
        <v>232</v>
      </c>
      <c r="F402" s="16">
        <v>0.0</v>
      </c>
      <c r="G402" s="17">
        <v>27300.0</v>
      </c>
      <c r="H402" s="18">
        <v>13650.0</v>
      </c>
      <c r="I402" s="20">
        <f t="shared" si="1"/>
        <v>50</v>
      </c>
      <c r="J402" s="22" t="s">
        <v>235</v>
      </c>
      <c r="K402" s="16" t="s">
        <v>236</v>
      </c>
      <c r="L402" s="13" t="s">
        <v>232</v>
      </c>
    </row>
    <row r="403" ht="19.5" customHeight="1">
      <c r="A403" s="25" t="s">
        <v>1574</v>
      </c>
      <c r="B403" s="25" t="s">
        <v>1034</v>
      </c>
      <c r="C403" s="14" t="str">
        <f>IF(B403&lt;&gt;"",IFERROR(VLOOKUP(B403,'📦 Productos'!A:C,3,FALSE),""),"")</f>
        <v>REVLON COLORSTAY SATIN INK</v>
      </c>
      <c r="D403" s="25" t="s">
        <v>1575</v>
      </c>
      <c r="E403" s="25" t="s">
        <v>232</v>
      </c>
      <c r="F403" s="26">
        <v>0.0</v>
      </c>
      <c r="G403" s="27">
        <v>27300.0</v>
      </c>
      <c r="H403" s="29">
        <v>13650.0</v>
      </c>
      <c r="I403" s="20">
        <f t="shared" si="1"/>
        <v>50</v>
      </c>
      <c r="J403" s="31" t="s">
        <v>235</v>
      </c>
      <c r="K403" s="26" t="s">
        <v>236</v>
      </c>
      <c r="L403" s="25" t="s">
        <v>232</v>
      </c>
    </row>
    <row r="404" ht="19.5" customHeight="1">
      <c r="A404" s="13" t="s">
        <v>1576</v>
      </c>
      <c r="B404" s="13" t="s">
        <v>1034</v>
      </c>
      <c r="C404" s="14" t="str">
        <f>IF(B404&lt;&gt;"",IFERROR(VLOOKUP(B404,'📦 Productos'!A:C,3,FALSE),""),"")</f>
        <v>REVLON COLORSTAY SATIN INK</v>
      </c>
      <c r="D404" s="13" t="s">
        <v>1577</v>
      </c>
      <c r="E404" s="13" t="s">
        <v>232</v>
      </c>
      <c r="F404" s="16">
        <v>0.0</v>
      </c>
      <c r="G404" s="17">
        <v>27300.0</v>
      </c>
      <c r="H404" s="18">
        <v>13650.0</v>
      </c>
      <c r="I404" s="20">
        <f t="shared" si="1"/>
        <v>50</v>
      </c>
      <c r="J404" s="22" t="s">
        <v>235</v>
      </c>
      <c r="K404" s="16" t="s">
        <v>236</v>
      </c>
      <c r="L404" s="13" t="s">
        <v>232</v>
      </c>
    </row>
    <row r="405" ht="19.5" customHeight="1">
      <c r="A405" s="25" t="s">
        <v>1578</v>
      </c>
      <c r="B405" s="25" t="s">
        <v>1034</v>
      </c>
      <c r="C405" s="14" t="str">
        <f>IF(B405&lt;&gt;"",IFERROR(VLOOKUP(B405,'📦 Productos'!A:C,3,FALSE),""),"")</f>
        <v>REVLON COLORSTAY SATIN INK</v>
      </c>
      <c r="D405" s="25" t="s">
        <v>1579</v>
      </c>
      <c r="E405" s="25" t="s">
        <v>232</v>
      </c>
      <c r="F405" s="26">
        <v>0.0</v>
      </c>
      <c r="G405" s="27">
        <v>27300.0</v>
      </c>
      <c r="H405" s="29">
        <v>13650.0</v>
      </c>
      <c r="I405" s="20">
        <f t="shared" si="1"/>
        <v>50</v>
      </c>
      <c r="J405" s="31" t="s">
        <v>235</v>
      </c>
      <c r="K405" s="26" t="s">
        <v>236</v>
      </c>
      <c r="L405" s="25" t="s">
        <v>232</v>
      </c>
    </row>
    <row r="406" ht="19.5" customHeight="1">
      <c r="A406" s="13" t="s">
        <v>1580</v>
      </c>
      <c r="B406" s="13" t="s">
        <v>1034</v>
      </c>
      <c r="C406" s="14" t="str">
        <f>IF(B406&lt;&gt;"",IFERROR(VLOOKUP(B406,'📦 Productos'!A:C,3,FALSE),""),"")</f>
        <v>REVLON COLORSTAY SATIN INK</v>
      </c>
      <c r="D406" s="13" t="s">
        <v>1581</v>
      </c>
      <c r="E406" s="13" t="s">
        <v>232</v>
      </c>
      <c r="F406" s="16">
        <v>0.0</v>
      </c>
      <c r="G406" s="17">
        <v>27300.0</v>
      </c>
      <c r="H406" s="18">
        <v>13650.0</v>
      </c>
      <c r="I406" s="20">
        <f t="shared" si="1"/>
        <v>50</v>
      </c>
      <c r="J406" s="22" t="s">
        <v>235</v>
      </c>
      <c r="K406" s="16" t="s">
        <v>236</v>
      </c>
      <c r="L406" s="13" t="s">
        <v>232</v>
      </c>
    </row>
    <row r="407" ht="19.5" customHeight="1">
      <c r="A407" s="25" t="s">
        <v>1582</v>
      </c>
      <c r="B407" s="25" t="s">
        <v>1034</v>
      </c>
      <c r="C407" s="14" t="str">
        <f>IF(B407&lt;&gt;"",IFERROR(VLOOKUP(B407,'📦 Productos'!A:C,3,FALSE),""),"")</f>
        <v>REVLON COLORSTAY SATIN INK</v>
      </c>
      <c r="D407" s="25" t="s">
        <v>1583</v>
      </c>
      <c r="E407" s="25" t="s">
        <v>232</v>
      </c>
      <c r="F407" s="26">
        <v>0.0</v>
      </c>
      <c r="G407" s="27">
        <v>27300.0</v>
      </c>
      <c r="H407" s="29">
        <v>13650.0</v>
      </c>
      <c r="I407" s="20">
        <f t="shared" si="1"/>
        <v>50</v>
      </c>
      <c r="J407" s="31" t="s">
        <v>235</v>
      </c>
      <c r="K407" s="26" t="s">
        <v>236</v>
      </c>
      <c r="L407" s="25" t="s">
        <v>232</v>
      </c>
    </row>
    <row r="408" ht="19.5" customHeight="1">
      <c r="A408" s="13" t="s">
        <v>1584</v>
      </c>
      <c r="B408" s="13" t="s">
        <v>1034</v>
      </c>
      <c r="C408" s="14" t="str">
        <f>IF(B408&lt;&gt;"",IFERROR(VLOOKUP(B408,'📦 Productos'!A:C,3,FALSE),""),"")</f>
        <v>REVLON COLORSTAY SATIN INK</v>
      </c>
      <c r="D408" s="13" t="s">
        <v>1585</v>
      </c>
      <c r="E408" s="13" t="s">
        <v>232</v>
      </c>
      <c r="F408" s="16">
        <v>0.0</v>
      </c>
      <c r="G408" s="17">
        <v>27300.0</v>
      </c>
      <c r="H408" s="18">
        <v>13650.0</v>
      </c>
      <c r="I408" s="20">
        <f t="shared" si="1"/>
        <v>50</v>
      </c>
      <c r="J408" s="22" t="s">
        <v>235</v>
      </c>
      <c r="K408" s="16" t="s">
        <v>236</v>
      </c>
      <c r="L408" s="13" t="s">
        <v>232</v>
      </c>
    </row>
    <row r="409" ht="19.5" customHeight="1">
      <c r="A409" s="25" t="s">
        <v>1586</v>
      </c>
      <c r="B409" s="25" t="s">
        <v>1034</v>
      </c>
      <c r="C409" s="14" t="str">
        <f>IF(B409&lt;&gt;"",IFERROR(VLOOKUP(B409,'📦 Productos'!A:C,3,FALSE),""),"")</f>
        <v>REVLON COLORSTAY SATIN INK</v>
      </c>
      <c r="D409" s="25" t="s">
        <v>1587</v>
      </c>
      <c r="E409" s="25" t="s">
        <v>232</v>
      </c>
      <c r="F409" s="26">
        <v>0.0</v>
      </c>
      <c r="G409" s="27">
        <v>27300.0</v>
      </c>
      <c r="H409" s="29">
        <v>13650.0</v>
      </c>
      <c r="I409" s="20">
        <f t="shared" si="1"/>
        <v>50</v>
      </c>
      <c r="J409" s="31" t="s">
        <v>235</v>
      </c>
      <c r="K409" s="26" t="s">
        <v>236</v>
      </c>
      <c r="L409" s="25" t="s">
        <v>232</v>
      </c>
    </row>
    <row r="410" ht="19.5" customHeight="1">
      <c r="A410" s="13" t="s">
        <v>1588</v>
      </c>
      <c r="B410" s="13" t="s">
        <v>1034</v>
      </c>
      <c r="C410" s="14" t="str">
        <f>IF(B410&lt;&gt;"",IFERROR(VLOOKUP(B410,'📦 Productos'!A:C,3,FALSE),""),"")</f>
        <v>REVLON COLORSTAY SATIN INK</v>
      </c>
      <c r="D410" s="13" t="s">
        <v>1589</v>
      </c>
      <c r="E410" s="13" t="s">
        <v>232</v>
      </c>
      <c r="F410" s="16">
        <v>0.0</v>
      </c>
      <c r="G410" s="17">
        <v>27300.0</v>
      </c>
      <c r="H410" s="18">
        <v>13650.0</v>
      </c>
      <c r="I410" s="20">
        <f t="shared" si="1"/>
        <v>50</v>
      </c>
      <c r="J410" s="22" t="s">
        <v>235</v>
      </c>
      <c r="K410" s="16" t="s">
        <v>236</v>
      </c>
      <c r="L410" s="13" t="s">
        <v>232</v>
      </c>
    </row>
    <row r="411" ht="19.5" customHeight="1">
      <c r="A411" s="25" t="s">
        <v>1590</v>
      </c>
      <c r="B411" s="25" t="s">
        <v>1034</v>
      </c>
      <c r="C411" s="14" t="str">
        <f>IF(B411&lt;&gt;"",IFERROR(VLOOKUP(B411,'📦 Productos'!A:C,3,FALSE),""),"")</f>
        <v>REVLON COLORSTAY SATIN INK</v>
      </c>
      <c r="D411" s="25" t="s">
        <v>1591</v>
      </c>
      <c r="E411" s="25" t="s">
        <v>232</v>
      </c>
      <c r="F411" s="26">
        <v>0.0</v>
      </c>
      <c r="G411" s="27">
        <v>27300.0</v>
      </c>
      <c r="H411" s="29">
        <v>13650.0</v>
      </c>
      <c r="I411" s="20">
        <f t="shared" si="1"/>
        <v>50</v>
      </c>
      <c r="J411" s="31" t="s">
        <v>235</v>
      </c>
      <c r="K411" s="26" t="s">
        <v>236</v>
      </c>
      <c r="L411" s="25" t="s">
        <v>232</v>
      </c>
    </row>
    <row r="412" ht="19.5" customHeight="1">
      <c r="A412" s="13" t="s">
        <v>1592</v>
      </c>
      <c r="B412" s="13" t="s">
        <v>1034</v>
      </c>
      <c r="C412" s="14" t="str">
        <f>IF(B412&lt;&gt;"",IFERROR(VLOOKUP(B412,'📦 Productos'!A:C,3,FALSE),""),"")</f>
        <v>REVLON COLORSTAY SATIN INK</v>
      </c>
      <c r="D412" s="13" t="s">
        <v>1593</v>
      </c>
      <c r="E412" s="13" t="s">
        <v>232</v>
      </c>
      <c r="F412" s="16">
        <v>0.0</v>
      </c>
      <c r="G412" s="17">
        <v>27300.0</v>
      </c>
      <c r="H412" s="18">
        <v>17745.0</v>
      </c>
      <c r="I412" s="20">
        <f t="shared" si="1"/>
        <v>35</v>
      </c>
      <c r="J412" s="22" t="s">
        <v>235</v>
      </c>
      <c r="K412" s="16" t="s">
        <v>236</v>
      </c>
      <c r="L412" s="13" t="s">
        <v>232</v>
      </c>
    </row>
    <row r="413" ht="19.5" customHeight="1">
      <c r="A413" s="25" t="s">
        <v>1594</v>
      </c>
      <c r="B413" s="25" t="s">
        <v>1034</v>
      </c>
      <c r="C413" s="14" t="str">
        <f>IF(B413&lt;&gt;"",IFERROR(VLOOKUP(B413,'📦 Productos'!A:C,3,FALSE),""),"")</f>
        <v>REVLON COLORSTAY SATIN INK</v>
      </c>
      <c r="D413" s="25" t="s">
        <v>1595</v>
      </c>
      <c r="E413" s="25" t="s">
        <v>232</v>
      </c>
      <c r="F413" s="26">
        <v>0.0</v>
      </c>
      <c r="G413" s="27">
        <v>27300.0</v>
      </c>
      <c r="H413" s="29">
        <v>17745.0</v>
      </c>
      <c r="I413" s="20">
        <f t="shared" si="1"/>
        <v>35</v>
      </c>
      <c r="J413" s="31" t="s">
        <v>235</v>
      </c>
      <c r="K413" s="26" t="s">
        <v>236</v>
      </c>
      <c r="L413" s="25" t="s">
        <v>232</v>
      </c>
    </row>
    <row r="414" ht="19.5" customHeight="1">
      <c r="A414" s="13" t="s">
        <v>1596</v>
      </c>
      <c r="B414" s="13" t="s">
        <v>1034</v>
      </c>
      <c r="C414" s="14" t="str">
        <f>IF(B414&lt;&gt;"",IFERROR(VLOOKUP(B414,'📦 Productos'!A:C,3,FALSE),""),"")</f>
        <v>REVLON COLORSTAY SATIN INK</v>
      </c>
      <c r="D414" s="13" t="s">
        <v>1597</v>
      </c>
      <c r="E414" s="13" t="s">
        <v>232</v>
      </c>
      <c r="F414" s="16">
        <v>0.0</v>
      </c>
      <c r="G414" s="17">
        <v>27300.0</v>
      </c>
      <c r="H414" s="18">
        <v>13650.0</v>
      </c>
      <c r="I414" s="20">
        <f t="shared" si="1"/>
        <v>50</v>
      </c>
      <c r="J414" s="22" t="s">
        <v>235</v>
      </c>
      <c r="K414" s="16" t="s">
        <v>236</v>
      </c>
      <c r="L414" s="13" t="s">
        <v>232</v>
      </c>
    </row>
    <row r="415" ht="19.5" customHeight="1">
      <c r="A415" s="25" t="s">
        <v>1598</v>
      </c>
      <c r="B415" s="25" t="s">
        <v>1042</v>
      </c>
      <c r="C415" s="14" t="str">
        <f>IF(B415&lt;&gt;"",IFERROR(VLOOKUP(B415,'📦 Productos'!A:C,3,FALSE),""),"")</f>
        <v>REVLON LABIAL ULT HD</v>
      </c>
      <c r="D415" s="25" t="s">
        <v>232</v>
      </c>
      <c r="E415" s="25" t="s">
        <v>232</v>
      </c>
      <c r="F415" s="26">
        <v>0.0</v>
      </c>
      <c r="G415" s="27">
        <v>21900.0</v>
      </c>
      <c r="H415" s="29">
        <v>10950.0</v>
      </c>
      <c r="I415" s="20">
        <f t="shared" si="1"/>
        <v>50</v>
      </c>
      <c r="J415" s="31" t="s">
        <v>235</v>
      </c>
      <c r="K415" s="26" t="s">
        <v>236</v>
      </c>
      <c r="L415" s="25" t="s">
        <v>232</v>
      </c>
    </row>
    <row r="416" ht="19.5" customHeight="1">
      <c r="A416" s="13" t="s">
        <v>1599</v>
      </c>
      <c r="B416" s="13" t="s">
        <v>1046</v>
      </c>
      <c r="C416" s="14" t="str">
        <f>IF(B416&lt;&gt;"",IFERROR(VLOOKUP(B416,'📦 Productos'!A:C,3,FALSE),""),"")</f>
        <v>REVLON LASH SERUM   LINER LIQUID BLACK</v>
      </c>
      <c r="D416" s="13" t="s">
        <v>232</v>
      </c>
      <c r="E416" s="13" t="s">
        <v>232</v>
      </c>
      <c r="F416" s="16">
        <v>0.0</v>
      </c>
      <c r="G416" s="17">
        <v>30900.0</v>
      </c>
      <c r="H416" s="18"/>
      <c r="I416" s="20">
        <f t="shared" si="1"/>
        <v>0</v>
      </c>
      <c r="J416" s="22" t="s">
        <v>235</v>
      </c>
      <c r="K416" s="16" t="s">
        <v>236</v>
      </c>
      <c r="L416" s="13" t="s">
        <v>232</v>
      </c>
    </row>
    <row r="417" ht="19.5" customHeight="1">
      <c r="A417" s="25" t="s">
        <v>1600</v>
      </c>
      <c r="B417" s="25" t="s">
        <v>1051</v>
      </c>
      <c r="C417" s="14" t="str">
        <f>IF(B417&lt;&gt;"",IFERROR(VLOOKUP(B417,'📦 Productos'!A:C,3,FALSE),""),"")</f>
        <v>REVLON LIGHT COVER FOUNDATION</v>
      </c>
      <c r="D417" s="25" t="s">
        <v>232</v>
      </c>
      <c r="E417" s="25" t="s">
        <v>232</v>
      </c>
      <c r="F417" s="26">
        <v>0.0</v>
      </c>
      <c r="G417" s="27">
        <v>24300.0</v>
      </c>
      <c r="H417" s="29">
        <v>12150.0</v>
      </c>
      <c r="I417" s="20">
        <f t="shared" si="1"/>
        <v>50</v>
      </c>
      <c r="J417" s="31" t="s">
        <v>235</v>
      </c>
      <c r="K417" s="26" t="s">
        <v>236</v>
      </c>
      <c r="L417" s="25" t="s">
        <v>232</v>
      </c>
    </row>
    <row r="418" ht="19.5" customHeight="1">
      <c r="A418" s="13" t="s">
        <v>1601</v>
      </c>
      <c r="B418" s="13" t="s">
        <v>1054</v>
      </c>
      <c r="C418" s="14" t="str">
        <f>IF(B418&lt;&gt;"",IFERROR(VLOOKUP(B418,'📦 Productos'!A:C,3,FALSE),""),"")</f>
        <v>REVLON LIQ QUICK DRY</v>
      </c>
      <c r="D418" s="13" t="s">
        <v>1055</v>
      </c>
      <c r="E418" s="13" t="s">
        <v>232</v>
      </c>
      <c r="F418" s="16">
        <v>0.0</v>
      </c>
      <c r="G418" s="17">
        <v>11100.0</v>
      </c>
      <c r="H418" s="18">
        <v>5550.0</v>
      </c>
      <c r="I418" s="20">
        <f t="shared" si="1"/>
        <v>50</v>
      </c>
      <c r="J418" s="22" t="s">
        <v>235</v>
      </c>
      <c r="K418" s="16" t="s">
        <v>236</v>
      </c>
      <c r="L418" s="13" t="s">
        <v>232</v>
      </c>
    </row>
    <row r="419" ht="19.5" customHeight="1">
      <c r="A419" s="25" t="s">
        <v>1602</v>
      </c>
      <c r="B419" s="25" t="s">
        <v>1059</v>
      </c>
      <c r="C419" s="14" t="str">
        <f>IF(B419&lt;&gt;"",IFERROR(VLOOKUP(B419,'📦 Productos'!A:C,3,FALSE),""),"")</f>
        <v>REVLON GLIMMER LIQUID SHADOW</v>
      </c>
      <c r="D419" s="25" t="s">
        <v>1060</v>
      </c>
      <c r="E419" s="25" t="s">
        <v>232</v>
      </c>
      <c r="F419" s="26">
        <v>0.0</v>
      </c>
      <c r="G419" s="27">
        <v>26300.0</v>
      </c>
      <c r="H419" s="29"/>
      <c r="I419" s="20">
        <f t="shared" si="1"/>
        <v>0</v>
      </c>
      <c r="J419" s="31" t="s">
        <v>235</v>
      </c>
      <c r="K419" s="26" t="s">
        <v>236</v>
      </c>
      <c r="L419" s="25" t="s">
        <v>232</v>
      </c>
    </row>
    <row r="420" ht="19.5" customHeight="1">
      <c r="A420" s="13" t="s">
        <v>1603</v>
      </c>
      <c r="B420" s="13" t="s">
        <v>1059</v>
      </c>
      <c r="C420" s="14" t="str">
        <f>IF(B420&lt;&gt;"",IFERROR(VLOOKUP(B420,'📦 Productos'!A:C,3,FALSE),""),"")</f>
        <v>REVLON GLIMMER LIQUID SHADOW</v>
      </c>
      <c r="D420" s="13" t="s">
        <v>1604</v>
      </c>
      <c r="E420" s="13" t="s">
        <v>232</v>
      </c>
      <c r="F420" s="16">
        <v>0.0</v>
      </c>
      <c r="G420" s="17">
        <v>26300.0</v>
      </c>
      <c r="H420" s="18"/>
      <c r="I420" s="20">
        <f t="shared" si="1"/>
        <v>0</v>
      </c>
      <c r="J420" s="22" t="s">
        <v>235</v>
      </c>
      <c r="K420" s="16" t="s">
        <v>236</v>
      </c>
      <c r="L420" s="13" t="s">
        <v>232</v>
      </c>
    </row>
    <row r="421" ht="19.5" customHeight="1">
      <c r="A421" s="25" t="s">
        <v>1605</v>
      </c>
      <c r="B421" s="25" t="s">
        <v>1059</v>
      </c>
      <c r="C421" s="14" t="str">
        <f>IF(B421&lt;&gt;"",IFERROR(VLOOKUP(B421,'📦 Productos'!A:C,3,FALSE),""),"")</f>
        <v>REVLON GLIMMER LIQUID SHADOW</v>
      </c>
      <c r="D421" s="25" t="s">
        <v>1606</v>
      </c>
      <c r="E421" s="25" t="s">
        <v>232</v>
      </c>
      <c r="F421" s="26">
        <v>0.0</v>
      </c>
      <c r="G421" s="27">
        <v>26300.0</v>
      </c>
      <c r="H421" s="29"/>
      <c r="I421" s="20">
        <f t="shared" si="1"/>
        <v>0</v>
      </c>
      <c r="J421" s="31" t="s">
        <v>235</v>
      </c>
      <c r="K421" s="26" t="s">
        <v>236</v>
      </c>
      <c r="L421" s="25" t="s">
        <v>232</v>
      </c>
    </row>
    <row r="422" ht="19.5" customHeight="1">
      <c r="A422" s="13" t="s">
        <v>1607</v>
      </c>
      <c r="B422" s="13" t="s">
        <v>1059</v>
      </c>
      <c r="C422" s="14" t="str">
        <f>IF(B422&lt;&gt;"",IFERROR(VLOOKUP(B422,'📦 Productos'!A:C,3,FALSE),""),"")</f>
        <v>REVLON GLIMMER LIQUID SHADOW</v>
      </c>
      <c r="D422" s="13" t="s">
        <v>1608</v>
      </c>
      <c r="E422" s="13" t="s">
        <v>232</v>
      </c>
      <c r="F422" s="16">
        <v>0.0</v>
      </c>
      <c r="G422" s="17">
        <v>26300.0</v>
      </c>
      <c r="H422" s="18"/>
      <c r="I422" s="20">
        <f t="shared" si="1"/>
        <v>0</v>
      </c>
      <c r="J422" s="22" t="s">
        <v>235</v>
      </c>
      <c r="K422" s="16" t="s">
        <v>236</v>
      </c>
      <c r="L422" s="13" t="s">
        <v>232</v>
      </c>
    </row>
    <row r="423" ht="19.5" customHeight="1">
      <c r="A423" s="25" t="s">
        <v>1609</v>
      </c>
      <c r="B423" s="25" t="s">
        <v>1059</v>
      </c>
      <c r="C423" s="14" t="str">
        <f>IF(B423&lt;&gt;"",IFERROR(VLOOKUP(B423,'📦 Productos'!A:C,3,FALSE),""),"")</f>
        <v>REVLON GLIMMER LIQUID SHADOW</v>
      </c>
      <c r="D423" s="25" t="s">
        <v>1610</v>
      </c>
      <c r="E423" s="25" t="s">
        <v>232</v>
      </c>
      <c r="F423" s="26">
        <v>0.0</v>
      </c>
      <c r="G423" s="27">
        <v>26300.0</v>
      </c>
      <c r="H423" s="29"/>
      <c r="I423" s="20">
        <f t="shared" si="1"/>
        <v>0</v>
      </c>
      <c r="J423" s="31" t="s">
        <v>235</v>
      </c>
      <c r="K423" s="26" t="s">
        <v>236</v>
      </c>
      <c r="L423" s="25" t="s">
        <v>232</v>
      </c>
    </row>
    <row r="424" ht="19.5" customHeight="1">
      <c r="A424" s="13" t="s">
        <v>1611</v>
      </c>
      <c r="B424" s="13" t="s">
        <v>1065</v>
      </c>
      <c r="C424" s="14" t="str">
        <f>IF(B424&lt;&gt;"",IFERROR(VLOOKUP(B424,'📦 Productos'!A:C,3,FALSE),""),"")</f>
        <v>REVLON SO FIERCE BIG BAD LASH MASCARA</v>
      </c>
      <c r="D424" s="13" t="s">
        <v>1066</v>
      </c>
      <c r="E424" s="13" t="s">
        <v>232</v>
      </c>
      <c r="F424" s="16">
        <v>0.0</v>
      </c>
      <c r="G424" s="17">
        <v>33900.0</v>
      </c>
      <c r="H424" s="18">
        <v>22035.0</v>
      </c>
      <c r="I424" s="20">
        <f t="shared" si="1"/>
        <v>35</v>
      </c>
      <c r="J424" s="22" t="s">
        <v>235</v>
      </c>
      <c r="K424" s="16" t="s">
        <v>236</v>
      </c>
      <c r="L424" s="13" t="s">
        <v>232</v>
      </c>
    </row>
    <row r="425" ht="19.5" customHeight="1">
      <c r="A425" s="25" t="s">
        <v>1612</v>
      </c>
      <c r="B425" s="25" t="s">
        <v>1073</v>
      </c>
      <c r="C425" s="14" t="str">
        <f>IF(B425&lt;&gt;"",IFERROR(VLOOKUP(B425,'📦 Productos'!A:C,3,FALSE),""),"")</f>
        <v>REVLON SO FIERCE BIG BAD LASH WATHER PROOF</v>
      </c>
      <c r="D425" s="25" t="s">
        <v>1074</v>
      </c>
      <c r="E425" s="25" t="s">
        <v>232</v>
      </c>
      <c r="F425" s="26">
        <v>0.0</v>
      </c>
      <c r="G425" s="27">
        <v>33900.0</v>
      </c>
      <c r="H425" s="29">
        <v>22035.0</v>
      </c>
      <c r="I425" s="20">
        <f t="shared" si="1"/>
        <v>35</v>
      </c>
      <c r="J425" s="31" t="s">
        <v>235</v>
      </c>
      <c r="K425" s="26" t="s">
        <v>236</v>
      </c>
      <c r="L425" s="25" t="s">
        <v>232</v>
      </c>
    </row>
    <row r="426" ht="19.5" customHeight="1">
      <c r="A426" s="13" t="s">
        <v>1613</v>
      </c>
      <c r="B426" s="13" t="s">
        <v>1077</v>
      </c>
      <c r="C426" s="14" t="str">
        <f>IF(B426&lt;&gt;"",IFERROR(VLOOKUP(B426,'📦 Productos'!A:C,3,FALSE),""),"")</f>
        <v>REVLON COLORSTAY FULL TIME MASCARA MARRON</v>
      </c>
      <c r="D426" s="13" t="s">
        <v>1078</v>
      </c>
      <c r="E426" s="13" t="s">
        <v>232</v>
      </c>
      <c r="F426" s="16">
        <v>0.0</v>
      </c>
      <c r="G426" s="17">
        <v>35900.0</v>
      </c>
      <c r="H426" s="18">
        <v>23335.0</v>
      </c>
      <c r="I426" s="20">
        <f t="shared" si="1"/>
        <v>35</v>
      </c>
      <c r="J426" s="22" t="s">
        <v>235</v>
      </c>
      <c r="K426" s="16" t="s">
        <v>236</v>
      </c>
      <c r="L426" s="13" t="s">
        <v>232</v>
      </c>
    </row>
    <row r="427" ht="19.5" customHeight="1">
      <c r="A427" s="25" t="s">
        <v>1614</v>
      </c>
      <c r="B427" s="25" t="s">
        <v>1084</v>
      </c>
      <c r="C427" s="14" t="str">
        <f>IF(B427&lt;&gt;"",IFERROR(VLOOKUP(B427,'📦 Productos'!A:C,3,FALSE),""),"")</f>
        <v>REVLON COLORSTAY FULL TIME MASCARA NEGRO INTENSO</v>
      </c>
      <c r="D427" s="25" t="s">
        <v>1085</v>
      </c>
      <c r="E427" s="25" t="s">
        <v>232</v>
      </c>
      <c r="F427" s="26">
        <v>0.0</v>
      </c>
      <c r="G427" s="27">
        <v>35900.0</v>
      </c>
      <c r="H427" s="29">
        <v>23335.0</v>
      </c>
      <c r="I427" s="20">
        <f t="shared" si="1"/>
        <v>35</v>
      </c>
      <c r="J427" s="31" t="s">
        <v>235</v>
      </c>
      <c r="K427" s="26" t="s">
        <v>236</v>
      </c>
      <c r="L427" s="25" t="s">
        <v>232</v>
      </c>
    </row>
    <row r="428" ht="19.5" customHeight="1">
      <c r="A428" s="13" t="s">
        <v>1615</v>
      </c>
      <c r="B428" s="13" t="s">
        <v>1090</v>
      </c>
      <c r="C428" s="14" t="str">
        <f>IF(B428&lt;&gt;"",IFERROR(VLOOKUP(B428,'📦 Productos'!A:C,3,FALSE),""),"")</f>
        <v>REVLON COLORSTAY FULL TIME MASCARA NEGRO INTENSO WATHER PROOF</v>
      </c>
      <c r="D428" s="13" t="s">
        <v>1091</v>
      </c>
      <c r="E428" s="13" t="s">
        <v>232</v>
      </c>
      <c r="F428" s="16">
        <v>0.0</v>
      </c>
      <c r="G428" s="17">
        <v>35900.0</v>
      </c>
      <c r="H428" s="18">
        <v>23335.0</v>
      </c>
      <c r="I428" s="20">
        <f t="shared" si="1"/>
        <v>35</v>
      </c>
      <c r="J428" s="22" t="s">
        <v>235</v>
      </c>
      <c r="K428" s="16" t="s">
        <v>236</v>
      </c>
      <c r="L428" s="13" t="s">
        <v>232</v>
      </c>
    </row>
    <row r="429" ht="19.5" customHeight="1">
      <c r="A429" s="25" t="s">
        <v>1616</v>
      </c>
      <c r="B429" s="25" t="s">
        <v>1095</v>
      </c>
      <c r="C429" s="14" t="str">
        <f>IF(B429&lt;&gt;"",IFERROR(VLOOKUP(B429,'📦 Productos'!A:C,3,FALSE),""),"")</f>
        <v>REVLON SO FIERCE MASCARA BLACK</v>
      </c>
      <c r="D429" s="25" t="s">
        <v>1096</v>
      </c>
      <c r="E429" s="25" t="s">
        <v>232</v>
      </c>
      <c r="F429" s="26">
        <v>0.0</v>
      </c>
      <c r="G429" s="27">
        <v>33900.0</v>
      </c>
      <c r="H429" s="29">
        <v>22035.0</v>
      </c>
      <c r="I429" s="20">
        <f t="shared" si="1"/>
        <v>35</v>
      </c>
      <c r="J429" s="31" t="s">
        <v>235</v>
      </c>
      <c r="K429" s="26" t="s">
        <v>236</v>
      </c>
      <c r="L429" s="25" t="s">
        <v>232</v>
      </c>
    </row>
    <row r="430" ht="19.5" customHeight="1">
      <c r="A430" s="13" t="s">
        <v>1617</v>
      </c>
      <c r="B430" s="13" t="s">
        <v>1101</v>
      </c>
      <c r="C430" s="14" t="str">
        <f>IF(B430&lt;&gt;"",IFERROR(VLOOKUP(B430,'📦 Productos'!A:C,3,FALSE),""),"")</f>
        <v>REVLON SO FIERCE MASCARA BROWN</v>
      </c>
      <c r="D430" s="13" t="s">
        <v>1102</v>
      </c>
      <c r="E430" s="13" t="s">
        <v>232</v>
      </c>
      <c r="F430" s="16">
        <v>0.0</v>
      </c>
      <c r="G430" s="17">
        <v>33900.0</v>
      </c>
      <c r="H430" s="18">
        <v>22035.0</v>
      </c>
      <c r="I430" s="20">
        <f t="shared" si="1"/>
        <v>35</v>
      </c>
      <c r="J430" s="22" t="s">
        <v>235</v>
      </c>
      <c r="K430" s="16" t="s">
        <v>236</v>
      </c>
      <c r="L430" s="13" t="s">
        <v>232</v>
      </c>
    </row>
    <row r="431" ht="19.5" customHeight="1">
      <c r="A431" s="25" t="s">
        <v>1618</v>
      </c>
      <c r="B431" s="25" t="s">
        <v>1106</v>
      </c>
      <c r="C431" s="14" t="str">
        <f>IF(B431&lt;&gt;"",IFERROR(VLOOKUP(B431,'📦 Productos'!A:C,3,FALSE),""),"")</f>
        <v>REVLON MASC VOL LEN BLACK</v>
      </c>
      <c r="D431" s="25" t="s">
        <v>232</v>
      </c>
      <c r="E431" s="25" t="s">
        <v>232</v>
      </c>
      <c r="F431" s="26">
        <v>0.0</v>
      </c>
      <c r="G431" s="27">
        <v>22600.0</v>
      </c>
      <c r="H431" s="29">
        <v>14690.0</v>
      </c>
      <c r="I431" s="20">
        <f t="shared" si="1"/>
        <v>35</v>
      </c>
      <c r="J431" s="31" t="s">
        <v>235</v>
      </c>
      <c r="K431" s="26" t="s">
        <v>236</v>
      </c>
      <c r="L431" s="25" t="s">
        <v>232</v>
      </c>
    </row>
    <row r="432" ht="19.5" customHeight="1">
      <c r="A432" s="13" t="s">
        <v>1619</v>
      </c>
      <c r="B432" s="13" t="s">
        <v>1110</v>
      </c>
      <c r="C432" s="14" t="str">
        <f>IF(B432&lt;&gt;"",IFERROR(VLOOKUP(B432,'📦 Productos'!A:C,3,FALSE),""),"")</f>
        <v>REVLON MASC VOLUMAZING</v>
      </c>
      <c r="D432" s="13" t="s">
        <v>232</v>
      </c>
      <c r="E432" s="13" t="s">
        <v>232</v>
      </c>
      <c r="F432" s="16">
        <v>0.0</v>
      </c>
      <c r="G432" s="17">
        <v>22600.0</v>
      </c>
      <c r="H432" s="18">
        <v>11300.0</v>
      </c>
      <c r="I432" s="20">
        <f t="shared" si="1"/>
        <v>50</v>
      </c>
      <c r="J432" s="22" t="s">
        <v>235</v>
      </c>
      <c r="K432" s="16" t="s">
        <v>236</v>
      </c>
      <c r="L432" s="13" t="s">
        <v>232</v>
      </c>
    </row>
    <row r="433" ht="19.5" customHeight="1">
      <c r="A433" s="25" t="s">
        <v>1620</v>
      </c>
      <c r="B433" s="25" t="s">
        <v>1114</v>
      </c>
      <c r="C433" s="14" t="str">
        <f>IF(B433&lt;&gt;"",IFERROR(VLOOKUP(B433,'📦 Productos'!A:C,3,FALSE),""),"")</f>
        <v>REVLON COLORSTAY XTENSIONNAIRE MASCARA BLACK</v>
      </c>
      <c r="D433" s="25" t="s">
        <v>1115</v>
      </c>
      <c r="E433" s="25" t="s">
        <v>232</v>
      </c>
      <c r="F433" s="26">
        <v>0.0</v>
      </c>
      <c r="G433" s="27">
        <v>37900.0</v>
      </c>
      <c r="H433" s="29">
        <v>24635.0</v>
      </c>
      <c r="I433" s="20">
        <f t="shared" si="1"/>
        <v>35</v>
      </c>
      <c r="J433" s="31" t="s">
        <v>235</v>
      </c>
      <c r="K433" s="26" t="s">
        <v>236</v>
      </c>
      <c r="L433" s="25" t="s">
        <v>232</v>
      </c>
    </row>
    <row r="434" ht="19.5" customHeight="1">
      <c r="A434" s="13" t="s">
        <v>1621</v>
      </c>
      <c r="B434" s="13" t="s">
        <v>1121</v>
      </c>
      <c r="C434" s="14" t="str">
        <f>IF(B434&lt;&gt;"",IFERROR(VLOOKUP(B434,'📦 Productos'!A:C,3,FALSE),""),"")</f>
        <v>REVLON COLORSTAY XTENSIONNAIRE MASCARA BLACK WATHER PROOF</v>
      </c>
      <c r="D434" s="13" t="s">
        <v>1122</v>
      </c>
      <c r="E434" s="13" t="s">
        <v>232</v>
      </c>
      <c r="F434" s="16">
        <v>0.0</v>
      </c>
      <c r="G434" s="17">
        <v>37900.0</v>
      </c>
      <c r="H434" s="18">
        <v>24635.0</v>
      </c>
      <c r="I434" s="20">
        <f t="shared" si="1"/>
        <v>35</v>
      </c>
      <c r="J434" s="22" t="s">
        <v>235</v>
      </c>
      <c r="K434" s="16" t="s">
        <v>236</v>
      </c>
      <c r="L434" s="13" t="s">
        <v>232</v>
      </c>
    </row>
    <row r="435" ht="19.5" customHeight="1">
      <c r="A435" s="25" t="s">
        <v>1622</v>
      </c>
      <c r="B435" s="25" t="s">
        <v>1125</v>
      </c>
      <c r="C435" s="14" t="str">
        <f>IF(B435&lt;&gt;"",IFERROR(VLOOKUP(B435,'📦 Productos'!A:C,3,FALSE),""),"")</f>
        <v>REVLON COLORSTAY XTENSIONNAIRE MASCARA BROWN</v>
      </c>
      <c r="D435" s="25" t="s">
        <v>1126</v>
      </c>
      <c r="E435" s="25" t="s">
        <v>232</v>
      </c>
      <c r="F435" s="26">
        <v>0.0</v>
      </c>
      <c r="G435" s="27">
        <v>37900.0</v>
      </c>
      <c r="H435" s="29">
        <v>24635.0</v>
      </c>
      <c r="I435" s="20">
        <f t="shared" si="1"/>
        <v>35</v>
      </c>
      <c r="J435" s="31" t="s">
        <v>235</v>
      </c>
      <c r="K435" s="26" t="s">
        <v>236</v>
      </c>
      <c r="L435" s="25" t="s">
        <v>232</v>
      </c>
    </row>
    <row r="436" ht="19.5" customHeight="1">
      <c r="A436" s="13" t="s">
        <v>1623</v>
      </c>
      <c r="B436" s="13" t="s">
        <v>1129</v>
      </c>
      <c r="C436" s="14" t="str">
        <f>IF(B436&lt;&gt;"",IFERROR(VLOOKUP(B436,'📦 Productos'!A:C,3,FALSE),""),"")</f>
        <v>REVLON MATTE LITE CRAYON 011 LIFTED</v>
      </c>
      <c r="D436" s="13" t="s">
        <v>232</v>
      </c>
      <c r="E436" s="13" t="s">
        <v>232</v>
      </c>
      <c r="F436" s="16">
        <v>0.0</v>
      </c>
      <c r="G436" s="17">
        <v>26900.0</v>
      </c>
      <c r="H436" s="18">
        <v>13450.0</v>
      </c>
      <c r="I436" s="20">
        <f t="shared" si="1"/>
        <v>50</v>
      </c>
      <c r="J436" s="22" t="s">
        <v>235</v>
      </c>
      <c r="K436" s="16" t="s">
        <v>236</v>
      </c>
      <c r="L436" s="13" t="s">
        <v>232</v>
      </c>
    </row>
    <row r="437" ht="19.5" customHeight="1">
      <c r="A437" s="25" t="s">
        <v>1624</v>
      </c>
      <c r="B437" s="25" t="s">
        <v>1132</v>
      </c>
      <c r="C437" s="14" t="str">
        <f>IF(B437&lt;&gt;"",IFERROR(VLOOKUP(B437,'📦 Productos'!A:C,3,FALSE),""),"")</f>
        <v>REVLON MULTI PLAYER  DELINEADOR OJOS</v>
      </c>
      <c r="D437" s="25" t="s">
        <v>232</v>
      </c>
      <c r="E437" s="25" t="s">
        <v>232</v>
      </c>
      <c r="F437" s="26">
        <v>0.0</v>
      </c>
      <c r="G437" s="27">
        <v>30700.0</v>
      </c>
      <c r="H437" s="29">
        <v>15350.0</v>
      </c>
      <c r="I437" s="20">
        <f t="shared" si="1"/>
        <v>50</v>
      </c>
      <c r="J437" s="31" t="s">
        <v>235</v>
      </c>
      <c r="K437" s="26" t="s">
        <v>236</v>
      </c>
      <c r="L437" s="25" t="s">
        <v>232</v>
      </c>
    </row>
    <row r="438" ht="19.5" customHeight="1">
      <c r="A438" s="13" t="s">
        <v>1625</v>
      </c>
      <c r="B438" s="13" t="s">
        <v>1135</v>
      </c>
      <c r="C438" s="14" t="str">
        <f>IF(B438&lt;&gt;"",IFERROR(VLOOKUP(B438,'📦 Productos'!A:C,3,FALSE),""),"")</f>
        <v>REVLON MULTI PLAYER 406 DELINEADOR OJOS</v>
      </c>
      <c r="D438" s="13" t="s">
        <v>232</v>
      </c>
      <c r="E438" s="13" t="s">
        <v>232</v>
      </c>
      <c r="F438" s="16">
        <v>0.0</v>
      </c>
      <c r="G438" s="17">
        <v>30700.0</v>
      </c>
      <c r="H438" s="18"/>
      <c r="I438" s="20">
        <f t="shared" si="1"/>
        <v>0</v>
      </c>
      <c r="J438" s="22" t="s">
        <v>235</v>
      </c>
      <c r="K438" s="16" t="s">
        <v>236</v>
      </c>
      <c r="L438" s="13" t="s">
        <v>232</v>
      </c>
    </row>
    <row r="439" ht="19.5" customHeight="1">
      <c r="A439" s="25" t="s">
        <v>1626</v>
      </c>
      <c r="B439" s="25" t="s">
        <v>1139</v>
      </c>
      <c r="C439" s="14" t="str">
        <f>IF(B439&lt;&gt;"",IFERROR(VLOOKUP(B439,'📦 Productos'!A:C,3,FALSE),""),"")</f>
        <v>REVLON SUPER LUSTROUS NAIL ENAMEL 570 VIXEN</v>
      </c>
      <c r="D439" s="25" t="s">
        <v>1140</v>
      </c>
      <c r="E439" s="25" t="s">
        <v>232</v>
      </c>
      <c r="F439" s="26">
        <v>0.0</v>
      </c>
      <c r="G439" s="27">
        <v>12400.0</v>
      </c>
      <c r="H439" s="29"/>
      <c r="I439" s="20">
        <f t="shared" si="1"/>
        <v>0</v>
      </c>
      <c r="J439" s="31" t="s">
        <v>235</v>
      </c>
      <c r="K439" s="26" t="s">
        <v>236</v>
      </c>
      <c r="L439" s="25" t="s">
        <v>232</v>
      </c>
    </row>
    <row r="440" ht="19.5" customHeight="1">
      <c r="A440" s="13" t="s">
        <v>1627</v>
      </c>
      <c r="B440" s="13" t="s">
        <v>1143</v>
      </c>
      <c r="C440" s="14" t="str">
        <f>IF(B440&lt;&gt;"",IFERROR(VLOOKUP(B440,'📦 Productos'!A:C,3,FALSE),""),"")</f>
        <v>REVLON SUPER LUSTROUS NAIL ENAMEL</v>
      </c>
      <c r="D440" s="13" t="s">
        <v>1144</v>
      </c>
      <c r="E440" s="13" t="s">
        <v>232</v>
      </c>
      <c r="F440" s="16">
        <v>0.0</v>
      </c>
      <c r="G440" s="17">
        <v>12400.0</v>
      </c>
      <c r="H440" s="18">
        <v>6200.0</v>
      </c>
      <c r="I440" s="20">
        <f t="shared" si="1"/>
        <v>50</v>
      </c>
      <c r="J440" s="22" t="s">
        <v>235</v>
      </c>
      <c r="K440" s="16" t="s">
        <v>236</v>
      </c>
      <c r="L440" s="13" t="s">
        <v>232</v>
      </c>
    </row>
    <row r="441" ht="19.5" customHeight="1">
      <c r="A441" s="25" t="s">
        <v>1628</v>
      </c>
      <c r="B441" s="25" t="s">
        <v>1147</v>
      </c>
      <c r="C441" s="14" t="str">
        <f>IF(B441&lt;&gt;"",IFERROR(VLOOKUP(B441,'📦 Productos'!A:C,3,FALSE),""),"")</f>
        <v>REVLON COLORSTAY EYESHADOW PALETTE X 8 ENIGMA</v>
      </c>
      <c r="D441" s="25" t="s">
        <v>1148</v>
      </c>
      <c r="E441" s="25" t="s">
        <v>232</v>
      </c>
      <c r="F441" s="26">
        <v>0.0</v>
      </c>
      <c r="G441" s="27">
        <v>34700.0</v>
      </c>
      <c r="H441" s="29"/>
      <c r="I441" s="20">
        <f t="shared" si="1"/>
        <v>0</v>
      </c>
      <c r="J441" s="31" t="s">
        <v>235</v>
      </c>
      <c r="K441" s="26" t="s">
        <v>236</v>
      </c>
      <c r="L441" s="25" t="s">
        <v>232</v>
      </c>
    </row>
    <row r="442" ht="19.5" customHeight="1">
      <c r="A442" s="13" t="s">
        <v>1629</v>
      </c>
      <c r="B442" s="13" t="s">
        <v>1153</v>
      </c>
      <c r="C442" s="14" t="str">
        <f>IF(B442&lt;&gt;"",IFERROR(VLOOKUP(B442,'📦 Productos'!A:C,3,FALSE),""),"")</f>
        <v>REVLON COLORSTAY EYESHADOW PALETTE X 8 ORIGINAL</v>
      </c>
      <c r="D442" s="13" t="s">
        <v>1154</v>
      </c>
      <c r="E442" s="13" t="s">
        <v>232</v>
      </c>
      <c r="F442" s="16">
        <v>0.0</v>
      </c>
      <c r="G442" s="17">
        <v>34700.0</v>
      </c>
      <c r="H442" s="18"/>
      <c r="I442" s="20">
        <f t="shared" si="1"/>
        <v>0</v>
      </c>
      <c r="J442" s="22" t="s">
        <v>235</v>
      </c>
      <c r="K442" s="16" t="s">
        <v>236</v>
      </c>
      <c r="L442" s="13" t="s">
        <v>232</v>
      </c>
    </row>
    <row r="443" ht="19.5" customHeight="1">
      <c r="A443" s="25" t="s">
        <v>1630</v>
      </c>
      <c r="B443" s="25" t="s">
        <v>1160</v>
      </c>
      <c r="C443" s="14" t="str">
        <f>IF(B443&lt;&gt;"",IFERROR(VLOOKUP(B443,'📦 Productos'!A:C,3,FALSE),""),"")</f>
        <v>REVLON COLORSTAY EYESHADOW PALETTE X 8 MAVERICK</v>
      </c>
      <c r="D443" s="25" t="s">
        <v>1161</v>
      </c>
      <c r="E443" s="25" t="s">
        <v>232</v>
      </c>
      <c r="F443" s="26">
        <v>0.0</v>
      </c>
      <c r="G443" s="27">
        <v>34700.0</v>
      </c>
      <c r="H443" s="29"/>
      <c r="I443" s="20">
        <f t="shared" si="1"/>
        <v>0</v>
      </c>
      <c r="J443" s="31" t="s">
        <v>235</v>
      </c>
      <c r="K443" s="26" t="s">
        <v>236</v>
      </c>
      <c r="L443" s="25" t="s">
        <v>232</v>
      </c>
    </row>
    <row r="444" ht="19.5" customHeight="1">
      <c r="A444" s="13" t="s">
        <v>1631</v>
      </c>
      <c r="B444" s="13" t="s">
        <v>1165</v>
      </c>
      <c r="C444" s="14" t="str">
        <f>IF(B444&lt;&gt;"",IFERROR(VLOOKUP(B444,'📦 Productos'!A:C,3,FALSE),""),"")</f>
        <v>REVLON COLORSTAY EYESHADOW PALETTE X 8 INSIDER</v>
      </c>
      <c r="D444" s="13" t="s">
        <v>1166</v>
      </c>
      <c r="E444" s="13" t="s">
        <v>232</v>
      </c>
      <c r="F444" s="16">
        <v>0.0</v>
      </c>
      <c r="G444" s="17">
        <v>34700.0</v>
      </c>
      <c r="H444" s="18"/>
      <c r="I444" s="20">
        <f t="shared" si="1"/>
        <v>0</v>
      </c>
      <c r="J444" s="22" t="s">
        <v>235</v>
      </c>
      <c r="K444" s="16" t="s">
        <v>236</v>
      </c>
      <c r="L444" s="13" t="s">
        <v>232</v>
      </c>
    </row>
    <row r="445" ht="19.5" customHeight="1">
      <c r="A445" s="25" t="s">
        <v>1632</v>
      </c>
      <c r="B445" s="25" t="s">
        <v>1170</v>
      </c>
      <c r="C445" s="14" t="str">
        <f>IF(B445&lt;&gt;"",IFERROR(VLOOKUP(B445,'📦 Productos'!A:C,3,FALSE),""),"")</f>
        <v>REVLON COLORSTAY EYESHADOW PALETTE X 8 DRAMER</v>
      </c>
      <c r="D445" s="25" t="s">
        <v>1171</v>
      </c>
      <c r="E445" s="25" t="s">
        <v>232</v>
      </c>
      <c r="F445" s="26">
        <v>0.0</v>
      </c>
      <c r="G445" s="27">
        <v>34700.0</v>
      </c>
      <c r="H445" s="29"/>
      <c r="I445" s="20">
        <f t="shared" si="1"/>
        <v>0</v>
      </c>
      <c r="J445" s="31" t="s">
        <v>235</v>
      </c>
      <c r="K445" s="26" t="s">
        <v>236</v>
      </c>
      <c r="L445" s="25" t="s">
        <v>232</v>
      </c>
    </row>
    <row r="446" ht="19.5" customHeight="1">
      <c r="A446" s="13" t="s">
        <v>1633</v>
      </c>
      <c r="B446" s="13" t="s">
        <v>1174</v>
      </c>
      <c r="C446" s="14" t="str">
        <f>IF(B446&lt;&gt;"",IFERROR(VLOOKUP(B446,'📦 Productos'!A:C,3,FALSE),""),"")</f>
        <v>REVLON COLORSTAY EYESHADOW PALETTE X 8 ROCKER</v>
      </c>
      <c r="D446" s="13" t="s">
        <v>1175</v>
      </c>
      <c r="E446" s="13" t="s">
        <v>232</v>
      </c>
      <c r="F446" s="16">
        <v>0.0</v>
      </c>
      <c r="G446" s="17">
        <v>34700.0</v>
      </c>
      <c r="H446" s="18"/>
      <c r="I446" s="20">
        <f t="shared" si="1"/>
        <v>0</v>
      </c>
      <c r="J446" s="22" t="s">
        <v>235</v>
      </c>
      <c r="K446" s="16" t="s">
        <v>236</v>
      </c>
      <c r="L446" s="13" t="s">
        <v>232</v>
      </c>
    </row>
    <row r="447" ht="19.5" customHeight="1">
      <c r="A447" s="25" t="s">
        <v>1634</v>
      </c>
      <c r="B447" s="25" t="s">
        <v>1178</v>
      </c>
      <c r="C447" s="14" t="str">
        <f>IF(B447&lt;&gt;"",IFERROR(VLOOKUP(B447,'📦 Productos'!A:C,3,FALSE),""),"")</f>
        <v>REVLON PHOTOREADY CONCEALER BARRA 02N</v>
      </c>
      <c r="D447" s="25" t="s">
        <v>1180</v>
      </c>
      <c r="E447" s="25" t="s">
        <v>232</v>
      </c>
      <c r="F447" s="26">
        <v>0.0</v>
      </c>
      <c r="G447" s="27">
        <v>31600.0</v>
      </c>
      <c r="H447" s="29">
        <v>20540.0</v>
      </c>
      <c r="I447" s="20">
        <f t="shared" si="1"/>
        <v>35</v>
      </c>
      <c r="J447" s="31" t="s">
        <v>235</v>
      </c>
      <c r="K447" s="26" t="s">
        <v>236</v>
      </c>
      <c r="L447" s="25" t="s">
        <v>232</v>
      </c>
    </row>
    <row r="448" ht="19.5" customHeight="1">
      <c r="A448" s="13" t="s">
        <v>1635</v>
      </c>
      <c r="B448" s="13" t="s">
        <v>1184</v>
      </c>
      <c r="C448" s="14" t="str">
        <f>IF(B448&lt;&gt;"",IFERROR(VLOOKUP(B448,'📦 Productos'!A:C,3,FALSE),""),"")</f>
        <v>REVLON PLUMPING LIP</v>
      </c>
      <c r="D448" s="13" t="s">
        <v>232</v>
      </c>
      <c r="E448" s="13" t="s">
        <v>232</v>
      </c>
      <c r="F448" s="16">
        <v>0.0</v>
      </c>
      <c r="G448" s="17">
        <v>14000.0</v>
      </c>
      <c r="H448" s="18">
        <v>7000.0</v>
      </c>
      <c r="I448" s="20">
        <f t="shared" si="1"/>
        <v>50</v>
      </c>
      <c r="J448" s="22" t="s">
        <v>235</v>
      </c>
      <c r="K448" s="16" t="s">
        <v>236</v>
      </c>
      <c r="L448" s="13" t="s">
        <v>232</v>
      </c>
    </row>
    <row r="449" ht="19.5" customHeight="1">
      <c r="A449" s="25" t="s">
        <v>1636</v>
      </c>
      <c r="B449" s="25" t="s">
        <v>1189</v>
      </c>
      <c r="C449" s="14" t="str">
        <f>IF(B449&lt;&gt;"",IFERROR(VLOOKUP(B449,'📦 Productos'!A:C,3,FALSE),""),"")</f>
        <v>REVLON POLV BRON SKIN LIGHTS</v>
      </c>
      <c r="D449" s="25" t="s">
        <v>232</v>
      </c>
      <c r="E449" s="25" t="s">
        <v>232</v>
      </c>
      <c r="F449" s="26">
        <v>0.0</v>
      </c>
      <c r="G449" s="27">
        <v>28600.0</v>
      </c>
      <c r="H449" s="29">
        <v>18590.0</v>
      </c>
      <c r="I449" s="20">
        <f t="shared" si="1"/>
        <v>35</v>
      </c>
      <c r="J449" s="31" t="s">
        <v>235</v>
      </c>
      <c r="K449" s="26" t="s">
        <v>236</v>
      </c>
      <c r="L449" s="25" t="s">
        <v>232</v>
      </c>
    </row>
    <row r="450" ht="19.5" customHeight="1">
      <c r="A450" s="13" t="s">
        <v>1637</v>
      </c>
      <c r="B450" s="13" t="s">
        <v>1193</v>
      </c>
      <c r="C450" s="14" t="str">
        <f>IF(B450&lt;&gt;"",IFERROR(VLOOKUP(B450,'📦 Productos'!A:C,3,FALSE),""),"")</f>
        <v>REVLON POWDER BLUSH</v>
      </c>
      <c r="D450" s="13" t="s">
        <v>1194</v>
      </c>
      <c r="E450" s="13" t="s">
        <v>232</v>
      </c>
      <c r="F450" s="16">
        <v>0.0</v>
      </c>
      <c r="G450" s="17">
        <v>27200.0</v>
      </c>
      <c r="H450" s="18">
        <v>17680.0</v>
      </c>
      <c r="I450" s="20">
        <f t="shared" si="1"/>
        <v>35</v>
      </c>
      <c r="J450" s="22" t="s">
        <v>235</v>
      </c>
      <c r="K450" s="16" t="s">
        <v>236</v>
      </c>
      <c r="L450" s="13" t="s">
        <v>232</v>
      </c>
    </row>
    <row r="451" ht="19.5" customHeight="1">
      <c r="A451" s="25" t="s">
        <v>1638</v>
      </c>
      <c r="B451" s="25" t="s">
        <v>1193</v>
      </c>
      <c r="C451" s="14" t="str">
        <f>IF(B451&lt;&gt;"",IFERROR(VLOOKUP(B451,'📦 Productos'!A:C,3,FALSE),""),"")</f>
        <v>REVLON POWDER BLUSH</v>
      </c>
      <c r="D451" s="25" t="s">
        <v>1639</v>
      </c>
      <c r="E451" s="25" t="s">
        <v>232</v>
      </c>
      <c r="F451" s="26">
        <v>0.0</v>
      </c>
      <c r="G451" s="27">
        <v>27200.0</v>
      </c>
      <c r="H451" s="29">
        <v>17680.0</v>
      </c>
      <c r="I451" s="20">
        <f t="shared" si="1"/>
        <v>35</v>
      </c>
      <c r="J451" s="31" t="s">
        <v>235</v>
      </c>
      <c r="K451" s="26" t="s">
        <v>236</v>
      </c>
      <c r="L451" s="25" t="s">
        <v>232</v>
      </c>
    </row>
    <row r="452" ht="19.5" customHeight="1">
      <c r="A452" s="13" t="s">
        <v>1640</v>
      </c>
      <c r="B452" s="13" t="s">
        <v>1193</v>
      </c>
      <c r="C452" s="14" t="str">
        <f>IF(B452&lt;&gt;"",IFERROR(VLOOKUP(B452,'📦 Productos'!A:C,3,FALSE),""),"")</f>
        <v>REVLON POWDER BLUSH</v>
      </c>
      <c r="D452" s="13" t="s">
        <v>1641</v>
      </c>
      <c r="E452" s="13" t="s">
        <v>232</v>
      </c>
      <c r="F452" s="16">
        <v>0.0</v>
      </c>
      <c r="G452" s="17">
        <v>27200.0</v>
      </c>
      <c r="H452" s="18">
        <v>17680.0</v>
      </c>
      <c r="I452" s="20">
        <f t="shared" si="1"/>
        <v>35</v>
      </c>
      <c r="J452" s="22" t="s">
        <v>235</v>
      </c>
      <c r="K452" s="16" t="s">
        <v>236</v>
      </c>
      <c r="L452" s="13" t="s">
        <v>232</v>
      </c>
    </row>
    <row r="453" ht="19.5" customHeight="1">
      <c r="A453" s="25" t="s">
        <v>1642</v>
      </c>
      <c r="B453" s="25" t="s">
        <v>1193</v>
      </c>
      <c r="C453" s="14" t="str">
        <f>IF(B453&lt;&gt;"",IFERROR(VLOOKUP(B453,'📦 Productos'!A:C,3,FALSE),""),"")</f>
        <v>REVLON POWDER BLUSH</v>
      </c>
      <c r="D453" s="25" t="s">
        <v>1643</v>
      </c>
      <c r="E453" s="25" t="s">
        <v>232</v>
      </c>
      <c r="F453" s="26">
        <v>0.0</v>
      </c>
      <c r="G453" s="27">
        <v>27200.0</v>
      </c>
      <c r="H453" s="29">
        <v>13600.0</v>
      </c>
      <c r="I453" s="20">
        <f t="shared" si="1"/>
        <v>50</v>
      </c>
      <c r="J453" s="31" t="s">
        <v>235</v>
      </c>
      <c r="K453" s="26" t="s">
        <v>236</v>
      </c>
      <c r="L453" s="25" t="s">
        <v>232</v>
      </c>
    </row>
    <row r="454" ht="19.5" customHeight="1">
      <c r="A454" s="13" t="s">
        <v>1644</v>
      </c>
      <c r="B454" s="13" t="s">
        <v>1193</v>
      </c>
      <c r="C454" s="14" t="str">
        <f>IF(B454&lt;&gt;"",IFERROR(VLOOKUP(B454,'📦 Productos'!A:C,3,FALSE),""),"")</f>
        <v>REVLON POWDER BLUSH</v>
      </c>
      <c r="D454" s="13" t="s">
        <v>1645</v>
      </c>
      <c r="E454" s="13" t="s">
        <v>232</v>
      </c>
      <c r="F454" s="16">
        <v>0.0</v>
      </c>
      <c r="G454" s="17">
        <v>27200.0</v>
      </c>
      <c r="H454" s="18">
        <v>17680.0</v>
      </c>
      <c r="I454" s="20">
        <f t="shared" si="1"/>
        <v>35</v>
      </c>
      <c r="J454" s="22" t="s">
        <v>235</v>
      </c>
      <c r="K454" s="16" t="s">
        <v>236</v>
      </c>
      <c r="L454" s="13" t="s">
        <v>232</v>
      </c>
    </row>
    <row r="455" ht="19.5" customHeight="1">
      <c r="A455" s="25" t="s">
        <v>1646</v>
      </c>
      <c r="B455" s="25" t="s">
        <v>1198</v>
      </c>
      <c r="C455" s="14" t="str">
        <f>IF(B455&lt;&gt;"",IFERROR(VLOOKUP(B455,'📦 Productos'!A:C,3,FALSE),""),"")</f>
        <v>REVLON POWDER BLUSH 02 N</v>
      </c>
      <c r="D455" s="25" t="s">
        <v>1199</v>
      </c>
      <c r="E455" s="25" t="s">
        <v>232</v>
      </c>
      <c r="F455" s="26">
        <v>0.0</v>
      </c>
      <c r="G455" s="27">
        <v>27200.0</v>
      </c>
      <c r="H455" s="29">
        <v>13600.0</v>
      </c>
      <c r="I455" s="20">
        <f t="shared" si="1"/>
        <v>50</v>
      </c>
      <c r="J455" s="31" t="s">
        <v>235</v>
      </c>
      <c r="K455" s="26" t="s">
        <v>236</v>
      </c>
      <c r="L455" s="25" t="s">
        <v>232</v>
      </c>
    </row>
    <row r="456" ht="19.5" customHeight="1">
      <c r="A456" s="13" t="s">
        <v>1647</v>
      </c>
      <c r="B456" s="13" t="s">
        <v>1204</v>
      </c>
      <c r="C456" s="14" t="str">
        <f>IF(B456&lt;&gt;"",IFERROR(VLOOKUP(B456,'📦 Productos'!A:C,3,FALSE),""),"")</f>
        <v>REVLON PRIME PLUS BRIGTENING</v>
      </c>
      <c r="D456" s="13" t="s">
        <v>232</v>
      </c>
      <c r="E456" s="13" t="s">
        <v>232</v>
      </c>
      <c r="F456" s="16">
        <v>0.0</v>
      </c>
      <c r="G456" s="17">
        <v>32600.0</v>
      </c>
      <c r="H456" s="18">
        <v>16300.0</v>
      </c>
      <c r="I456" s="20">
        <f t="shared" si="1"/>
        <v>50</v>
      </c>
      <c r="J456" s="22" t="s">
        <v>235</v>
      </c>
      <c r="K456" s="16" t="s">
        <v>236</v>
      </c>
      <c r="L456" s="13" t="s">
        <v>232</v>
      </c>
    </row>
    <row r="457" ht="19.5" customHeight="1">
      <c r="A457" s="25" t="s">
        <v>1648</v>
      </c>
      <c r="B457" s="25" t="s">
        <v>1208</v>
      </c>
      <c r="C457" s="14" t="str">
        <f>IF(B457&lt;&gt;"",IFERROR(VLOOKUP(B457,'📦 Productos'!A:C,3,FALSE),""),"")</f>
        <v>REVLON PRIME PLUS BRIGTENING NUEVO</v>
      </c>
      <c r="D457" s="25" t="s">
        <v>232</v>
      </c>
      <c r="E457" s="25" t="s">
        <v>232</v>
      </c>
      <c r="F457" s="26">
        <v>0.0</v>
      </c>
      <c r="G457" s="27">
        <v>32600.0</v>
      </c>
      <c r="H457" s="29">
        <v>16300.0</v>
      </c>
      <c r="I457" s="20">
        <f t="shared" si="1"/>
        <v>50</v>
      </c>
      <c r="J457" s="31" t="s">
        <v>235</v>
      </c>
      <c r="K457" s="26" t="s">
        <v>236</v>
      </c>
      <c r="L457" s="25" t="s">
        <v>232</v>
      </c>
    </row>
    <row r="458" ht="19.5" customHeight="1">
      <c r="A458" s="13" t="s">
        <v>1649</v>
      </c>
      <c r="B458" s="13" t="s">
        <v>1213</v>
      </c>
      <c r="C458" s="14" t="str">
        <f>IF(B458&lt;&gt;"",IFERROR(VLOOKUP(B458,'📦 Productos'!A:C,3,FALSE),""),"")</f>
        <v>REVLON PRIME PLUS PERFECTING</v>
      </c>
      <c r="D458" s="13" t="s">
        <v>232</v>
      </c>
      <c r="E458" s="13" t="s">
        <v>232</v>
      </c>
      <c r="F458" s="16">
        <v>0.0</v>
      </c>
      <c r="G458" s="17">
        <v>32600.0</v>
      </c>
      <c r="H458" s="18">
        <v>16300.0</v>
      </c>
      <c r="I458" s="20">
        <f t="shared" si="1"/>
        <v>50</v>
      </c>
      <c r="J458" s="22" t="s">
        <v>235</v>
      </c>
      <c r="K458" s="16" t="s">
        <v>236</v>
      </c>
      <c r="L458" s="13" t="s">
        <v>232</v>
      </c>
    </row>
    <row r="459" ht="19.5" customHeight="1">
      <c r="A459" s="25" t="s">
        <v>1650</v>
      </c>
      <c r="B459" s="25" t="s">
        <v>1217</v>
      </c>
      <c r="C459" s="14" t="str">
        <f>IF(B459&lt;&gt;"",IFERROR(VLOOKUP(B459,'📦 Productos'!A:C,3,FALSE),""),"")</f>
        <v>REVLON PRIMER ROSE GLOW</v>
      </c>
      <c r="D459" s="25" t="s">
        <v>232</v>
      </c>
      <c r="E459" s="25" t="s">
        <v>232</v>
      </c>
      <c r="F459" s="26">
        <v>0.0</v>
      </c>
      <c r="G459" s="27">
        <v>36300.0</v>
      </c>
      <c r="H459" s="29">
        <v>18150.0</v>
      </c>
      <c r="I459" s="20">
        <f t="shared" si="1"/>
        <v>50</v>
      </c>
      <c r="J459" s="31" t="s">
        <v>235</v>
      </c>
      <c r="K459" s="26" t="s">
        <v>236</v>
      </c>
      <c r="L459" s="25" t="s">
        <v>232</v>
      </c>
    </row>
    <row r="460" ht="19.5" customHeight="1">
      <c r="A460" s="13" t="s">
        <v>1651</v>
      </c>
      <c r="B460" s="13" t="s">
        <v>1222</v>
      </c>
      <c r="C460" s="14" t="str">
        <f>IF(B460&lt;&gt;"",IFERROR(VLOOKUP(B460,'📦 Productos'!A:C,3,FALSE),""),"")</f>
        <v>REVLON ROLLER VOLCANIC OIL ABSORBING</v>
      </c>
      <c r="D460" s="13" t="s">
        <v>1223</v>
      </c>
      <c r="E460" s="13" t="s">
        <v>232</v>
      </c>
      <c r="F460" s="16">
        <v>0.0</v>
      </c>
      <c r="G460" s="17">
        <v>24900.0</v>
      </c>
      <c r="H460" s="18">
        <v>16185.0</v>
      </c>
      <c r="I460" s="20">
        <f t="shared" si="1"/>
        <v>35</v>
      </c>
      <c r="J460" s="22" t="s">
        <v>235</v>
      </c>
      <c r="K460" s="16" t="s">
        <v>236</v>
      </c>
      <c r="L460" s="13" t="s">
        <v>232</v>
      </c>
    </row>
    <row r="461" ht="19.5" customHeight="1">
      <c r="A461" s="25" t="s">
        <v>1652</v>
      </c>
      <c r="B461" s="25" t="s">
        <v>1228</v>
      </c>
      <c r="C461" s="14" t="str">
        <f>IF(B461&lt;&gt;"",IFERROR(VLOOKUP(B461,'📦 Productos'!A:C,3,FALSE),""),"")</f>
        <v>REVLON ROLLER CUARZO ROSA REVIVING</v>
      </c>
      <c r="D461" s="25" t="s">
        <v>1229</v>
      </c>
      <c r="E461" s="25" t="s">
        <v>232</v>
      </c>
      <c r="F461" s="26">
        <v>0.0</v>
      </c>
      <c r="G461" s="27">
        <v>24900.0</v>
      </c>
      <c r="H461" s="29">
        <v>16185.0</v>
      </c>
      <c r="I461" s="20">
        <f t="shared" si="1"/>
        <v>35</v>
      </c>
      <c r="J461" s="31" t="s">
        <v>235</v>
      </c>
      <c r="K461" s="26" t="s">
        <v>236</v>
      </c>
      <c r="L461" s="25" t="s">
        <v>232</v>
      </c>
    </row>
    <row r="462" ht="19.5" customHeight="1">
      <c r="A462" s="13" t="s">
        <v>1653</v>
      </c>
      <c r="B462" s="13" t="s">
        <v>1235</v>
      </c>
      <c r="C462" s="14" t="str">
        <f>IF(B462&lt;&gt;"",IFERROR(VLOOKUP(B462,'📦 Productos'!A:C,3,FALSE),""),"")</f>
        <v>REVLON SACAPUNTAS DOBLE</v>
      </c>
      <c r="D462" s="13" t="s">
        <v>1236</v>
      </c>
      <c r="E462" s="13" t="s">
        <v>232</v>
      </c>
      <c r="F462" s="16">
        <v>0.0</v>
      </c>
      <c r="G462" s="17">
        <v>9900.0</v>
      </c>
      <c r="H462" s="18"/>
      <c r="I462" s="20">
        <f t="shared" si="1"/>
        <v>0</v>
      </c>
      <c r="J462" s="22" t="s">
        <v>235</v>
      </c>
      <c r="K462" s="16" t="s">
        <v>236</v>
      </c>
      <c r="L462" s="13" t="s">
        <v>232</v>
      </c>
    </row>
    <row r="463" ht="19.5" customHeight="1">
      <c r="A463" s="25" t="s">
        <v>1654</v>
      </c>
      <c r="B463" s="25" t="s">
        <v>1242</v>
      </c>
      <c r="C463" s="14" t="str">
        <f>IF(B463&lt;&gt;"",IFERROR(VLOOKUP(B463,'📦 Productos'!A:C,3,FALSE),""),"")</f>
        <v>REVLON SET DIA DE LA MADRE</v>
      </c>
      <c r="D463" s="25" t="s">
        <v>232</v>
      </c>
      <c r="E463" s="25" t="s">
        <v>232</v>
      </c>
      <c r="F463" s="26">
        <v>0.0</v>
      </c>
      <c r="G463" s="27">
        <v>84500.0</v>
      </c>
      <c r="H463" s="29"/>
      <c r="I463" s="20">
        <f t="shared" si="1"/>
        <v>0</v>
      </c>
      <c r="J463" s="31" t="s">
        <v>235</v>
      </c>
      <c r="K463" s="26" t="s">
        <v>236</v>
      </c>
      <c r="L463" s="25" t="s">
        <v>232</v>
      </c>
    </row>
    <row r="464" ht="19.5" customHeight="1">
      <c r="A464" s="13" t="s">
        <v>1655</v>
      </c>
      <c r="B464" s="13" t="s">
        <v>1246</v>
      </c>
      <c r="C464" s="14" t="str">
        <f>IF(B464&lt;&gt;"",IFERROR(VLOOKUP(B464,'📦 Productos'!A:C,3,FALSE),""),"")</f>
        <v>REVLON SET LIP COMBO</v>
      </c>
      <c r="D464" s="13" t="s">
        <v>232</v>
      </c>
      <c r="E464" s="13" t="s">
        <v>232</v>
      </c>
      <c r="F464" s="16">
        <v>0.0</v>
      </c>
      <c r="G464" s="17">
        <v>29000.0</v>
      </c>
      <c r="H464" s="18"/>
      <c r="I464" s="20">
        <f t="shared" si="1"/>
        <v>0</v>
      </c>
      <c r="J464" s="22" t="s">
        <v>235</v>
      </c>
      <c r="K464" s="16" t="s">
        <v>236</v>
      </c>
      <c r="L464" s="13" t="s">
        <v>232</v>
      </c>
    </row>
    <row r="465" ht="19.5" customHeight="1">
      <c r="A465" s="25" t="s">
        <v>1656</v>
      </c>
      <c r="B465" s="25" t="s">
        <v>1251</v>
      </c>
      <c r="C465" s="14" t="str">
        <f>IF(B465&lt;&gt;"",IFERROR(VLOOKUP(B465,'📦 Productos'!A:C,3,FALSE),""),"")</f>
        <v>REVLON SET MIRADA PERFECTA</v>
      </c>
      <c r="D465" s="25" t="s">
        <v>232</v>
      </c>
      <c r="E465" s="25" t="s">
        <v>232</v>
      </c>
      <c r="F465" s="26">
        <v>0.0</v>
      </c>
      <c r="G465" s="27">
        <v>38600.0</v>
      </c>
      <c r="H465" s="29"/>
      <c r="I465" s="20">
        <f t="shared" si="1"/>
        <v>0</v>
      </c>
      <c r="J465" s="31" t="s">
        <v>235</v>
      </c>
      <c r="K465" s="26" t="s">
        <v>236</v>
      </c>
      <c r="L465" s="25" t="s">
        <v>232</v>
      </c>
    </row>
    <row r="466" ht="19.5" customHeight="1">
      <c r="A466" s="13" t="s">
        <v>1657</v>
      </c>
      <c r="B466" s="13" t="s">
        <v>1256</v>
      </c>
      <c r="C466" s="14" t="str">
        <f>IF(B466&lt;&gt;"",IFERROR(VLOOKUP(B466,'📦 Productos'!A:C,3,FALSE),""),"")</f>
        <v>REVLON SET READY TO SHINE</v>
      </c>
      <c r="D466" s="13" t="s">
        <v>232</v>
      </c>
      <c r="E466" s="13" t="s">
        <v>232</v>
      </c>
      <c r="F466" s="16">
        <v>0.0</v>
      </c>
      <c r="G466" s="17">
        <v>84500.0</v>
      </c>
      <c r="H466" s="18"/>
      <c r="I466" s="20">
        <f t="shared" si="1"/>
        <v>0</v>
      </c>
      <c r="J466" s="22" t="s">
        <v>235</v>
      </c>
      <c r="K466" s="16" t="s">
        <v>236</v>
      </c>
      <c r="L466" s="13" t="s">
        <v>232</v>
      </c>
    </row>
    <row r="467" ht="19.5" customHeight="1">
      <c r="A467" s="25" t="s">
        <v>1658</v>
      </c>
      <c r="B467" s="25" t="s">
        <v>1260</v>
      </c>
      <c r="C467" s="14" t="str">
        <f>IF(B467&lt;&gt;"",IFERROR(VLOOKUP(B467,'📦 Productos'!A:C,3,FALSE),""),"")</f>
        <v>REVLON SET TUS INFALTABLES</v>
      </c>
      <c r="D467" s="25" t="s">
        <v>232</v>
      </c>
      <c r="E467" s="25" t="s">
        <v>232</v>
      </c>
      <c r="F467" s="26">
        <v>0.0</v>
      </c>
      <c r="G467" s="27">
        <v>59700.0</v>
      </c>
      <c r="H467" s="29"/>
      <c r="I467" s="20">
        <f t="shared" si="1"/>
        <v>0</v>
      </c>
      <c r="J467" s="31" t="s">
        <v>235</v>
      </c>
      <c r="K467" s="26" t="s">
        <v>236</v>
      </c>
      <c r="L467" s="25" t="s">
        <v>232</v>
      </c>
    </row>
    <row r="468" ht="19.5" customHeight="1">
      <c r="A468" s="13" t="s">
        <v>1659</v>
      </c>
      <c r="B468" s="13" t="s">
        <v>1263</v>
      </c>
      <c r="C468" s="14" t="str">
        <f>IF(B468&lt;&gt;"",IFERROR(VLOOKUP(B468,'📦 Productos'!A:C,3,FALSE),""),"")</f>
        <v>REVLON SIKIN AWAKEN 5 IN 1</v>
      </c>
      <c r="D468" s="13" t="s">
        <v>232</v>
      </c>
      <c r="E468" s="13" t="s">
        <v>232</v>
      </c>
      <c r="F468" s="16">
        <v>0.0</v>
      </c>
      <c r="G468" s="17">
        <v>31600.0</v>
      </c>
      <c r="H468" s="18">
        <v>15800.0</v>
      </c>
      <c r="I468" s="20">
        <f t="shared" si="1"/>
        <v>50</v>
      </c>
      <c r="J468" s="22" t="s">
        <v>235</v>
      </c>
      <c r="K468" s="16" t="s">
        <v>236</v>
      </c>
      <c r="L468" s="13" t="s">
        <v>232</v>
      </c>
    </row>
    <row r="469" ht="19.5" customHeight="1">
      <c r="A469" s="25" t="s">
        <v>1660</v>
      </c>
      <c r="B469" s="25" t="s">
        <v>1268</v>
      </c>
      <c r="C469" s="14" t="str">
        <f>IF(B469&lt;&gt;"",IFERROR(VLOOKUP(B469,'📦 Productos'!A:C,3,FALSE),""),"")</f>
        <v>REVLON SKIN LIGH ILUM NACAR</v>
      </c>
      <c r="D469" s="25" t="s">
        <v>232</v>
      </c>
      <c r="E469" s="25" t="s">
        <v>232</v>
      </c>
      <c r="F469" s="26">
        <v>0.0</v>
      </c>
      <c r="G469" s="27">
        <v>26400.0</v>
      </c>
      <c r="H469" s="29">
        <v>13200.0</v>
      </c>
      <c r="I469" s="20">
        <f t="shared" si="1"/>
        <v>50</v>
      </c>
      <c r="J469" s="31" t="s">
        <v>235</v>
      </c>
      <c r="K469" s="26" t="s">
        <v>236</v>
      </c>
      <c r="L469" s="25" t="s">
        <v>232</v>
      </c>
    </row>
    <row r="470" ht="19.5" customHeight="1">
      <c r="A470" s="13" t="s">
        <v>1661</v>
      </c>
      <c r="B470" s="13" t="s">
        <v>1268</v>
      </c>
      <c r="C470" s="14" t="str">
        <f>IF(B470&lt;&gt;"",IFERROR(VLOOKUP(B470,'📦 Productos'!A:C,3,FALSE),""),"")</f>
        <v>REVLON SKIN LIGH ILUM NACAR</v>
      </c>
      <c r="D470" s="13" t="s">
        <v>232</v>
      </c>
      <c r="E470" s="13" t="s">
        <v>232</v>
      </c>
      <c r="F470" s="16">
        <v>0.0</v>
      </c>
      <c r="G470" s="17">
        <v>26400.0</v>
      </c>
      <c r="H470" s="18">
        <v>17160.0</v>
      </c>
      <c r="I470" s="20">
        <f t="shared" si="1"/>
        <v>35</v>
      </c>
      <c r="J470" s="22" t="s">
        <v>235</v>
      </c>
      <c r="K470" s="16" t="s">
        <v>236</v>
      </c>
      <c r="L470" s="13" t="s">
        <v>232</v>
      </c>
    </row>
    <row r="471" ht="19.5" customHeight="1">
      <c r="A471" s="25" t="s">
        <v>1662</v>
      </c>
      <c r="B471" s="25" t="s">
        <v>1268</v>
      </c>
      <c r="C471" s="14" t="str">
        <f>IF(B471&lt;&gt;"",IFERROR(VLOOKUP(B471,'📦 Productos'!A:C,3,FALSE),""),"")</f>
        <v>REVLON SKIN LIGH ILUM NACAR</v>
      </c>
      <c r="D471" s="25" t="s">
        <v>232</v>
      </c>
      <c r="E471" s="25" t="s">
        <v>232</v>
      </c>
      <c r="F471" s="26">
        <v>0.0</v>
      </c>
      <c r="G471" s="27">
        <v>26400.0</v>
      </c>
      <c r="H471" s="29">
        <v>13200.0</v>
      </c>
      <c r="I471" s="20">
        <f t="shared" si="1"/>
        <v>50</v>
      </c>
      <c r="J471" s="31" t="s">
        <v>235</v>
      </c>
      <c r="K471" s="26" t="s">
        <v>236</v>
      </c>
      <c r="L471" s="25" t="s">
        <v>232</v>
      </c>
    </row>
    <row r="472" ht="19.5" customHeight="1">
      <c r="A472" s="13" t="s">
        <v>1663</v>
      </c>
      <c r="B472" s="13" t="s">
        <v>1272</v>
      </c>
      <c r="C472" s="14" t="str">
        <f>IF(B472&lt;&gt;"",IFERROR(VLOOKUP(B472,'📦 Productos'!A:C,3,FALSE),""),"")</f>
        <v>REVLON SO FIERCE BIG BAD MASCARA PESTANAS</v>
      </c>
      <c r="D472" s="13" t="s">
        <v>232</v>
      </c>
      <c r="E472" s="13" t="s">
        <v>232</v>
      </c>
      <c r="F472" s="16">
        <v>0.0</v>
      </c>
      <c r="G472" s="17">
        <v>33900.0</v>
      </c>
      <c r="H472" s="18">
        <v>16950.0</v>
      </c>
      <c r="I472" s="20">
        <f t="shared" si="1"/>
        <v>50</v>
      </c>
      <c r="J472" s="22" t="s">
        <v>235</v>
      </c>
      <c r="K472" s="16" t="s">
        <v>236</v>
      </c>
      <c r="L472" s="13" t="s">
        <v>232</v>
      </c>
    </row>
    <row r="473" ht="19.5" customHeight="1">
      <c r="A473" s="25" t="s">
        <v>1664</v>
      </c>
      <c r="B473" s="25" t="s">
        <v>1276</v>
      </c>
      <c r="C473" s="14" t="str">
        <f>IF(B473&lt;&gt;"",IFERROR(VLOOKUP(B473,'📦 Productos'!A:C,3,FALSE),""),"")</f>
        <v>REVLON SO FIERCE MASCARA PESTANAS</v>
      </c>
      <c r="D473" s="25" t="s">
        <v>232</v>
      </c>
      <c r="E473" s="25" t="s">
        <v>232</v>
      </c>
      <c r="F473" s="26">
        <v>0.0</v>
      </c>
      <c r="G473" s="27">
        <v>33900.0</v>
      </c>
      <c r="H473" s="29">
        <v>16950.0</v>
      </c>
      <c r="I473" s="20">
        <f t="shared" si="1"/>
        <v>50</v>
      </c>
      <c r="J473" s="31" t="s">
        <v>235</v>
      </c>
      <c r="K473" s="26" t="s">
        <v>236</v>
      </c>
      <c r="L473" s="25" t="s">
        <v>232</v>
      </c>
    </row>
    <row r="474" ht="19.5" customHeight="1">
      <c r="A474" s="13" t="s">
        <v>1665</v>
      </c>
      <c r="B474" s="13" t="s">
        <v>1280</v>
      </c>
      <c r="C474" s="14" t="str">
        <f>IF(B474&lt;&gt;"",IFERROR(VLOOKUP(B474,'📦 Productos'!A:C,3,FALSE),""),"")</f>
        <v>REVLON SO FIERCE PRISMATIC EYESHADOW PALETTE</v>
      </c>
      <c r="D474" s="13" t="s">
        <v>1281</v>
      </c>
      <c r="E474" s="13" t="s">
        <v>232</v>
      </c>
      <c r="F474" s="16">
        <v>0.0</v>
      </c>
      <c r="G474" s="17">
        <v>34700.0</v>
      </c>
      <c r="H474" s="18">
        <v>17350.0</v>
      </c>
      <c r="I474" s="20">
        <f t="shared" si="1"/>
        <v>50</v>
      </c>
      <c r="J474" s="22" t="s">
        <v>235</v>
      </c>
      <c r="K474" s="16" t="s">
        <v>236</v>
      </c>
      <c r="L474" s="13" t="s">
        <v>232</v>
      </c>
    </row>
    <row r="475" ht="19.5" customHeight="1">
      <c r="A475" s="25" t="s">
        <v>1666</v>
      </c>
      <c r="B475" s="25" t="s">
        <v>1280</v>
      </c>
      <c r="C475" s="14" t="str">
        <f>IF(B475&lt;&gt;"",IFERROR(VLOOKUP(B475,'📦 Productos'!A:C,3,FALSE),""),"")</f>
        <v>REVLON SO FIERCE PRISMATIC EYESHADOW PALETTE</v>
      </c>
      <c r="D475" s="25" t="s">
        <v>232</v>
      </c>
      <c r="E475" s="25" t="s">
        <v>232</v>
      </c>
      <c r="F475" s="26">
        <v>0.0</v>
      </c>
      <c r="G475" s="27">
        <v>34700.0</v>
      </c>
      <c r="H475" s="29"/>
      <c r="I475" s="20">
        <f t="shared" si="1"/>
        <v>0</v>
      </c>
      <c r="J475" s="31" t="s">
        <v>235</v>
      </c>
      <c r="K475" s="26" t="s">
        <v>236</v>
      </c>
      <c r="L475" s="25" t="s">
        <v>232</v>
      </c>
    </row>
    <row r="476" ht="19.5" customHeight="1">
      <c r="A476" s="13" t="s">
        <v>1667</v>
      </c>
      <c r="B476" s="13" t="s">
        <v>1286</v>
      </c>
      <c r="C476" s="14" t="str">
        <f>IF(B476&lt;&gt;"",IFERROR(VLOOKUP(B476,'📦 Productos'!A:C,3,FALSE),""),"")</f>
        <v>REVLON SO FIERCE PRISMATIC EYESHADOW PALETTE BIG BANG</v>
      </c>
      <c r="D476" s="13" t="s">
        <v>1288</v>
      </c>
      <c r="E476" s="13" t="s">
        <v>232</v>
      </c>
      <c r="F476" s="16">
        <v>0.0</v>
      </c>
      <c r="G476" s="17">
        <v>34700.0</v>
      </c>
      <c r="H476" s="18">
        <v>17350.0</v>
      </c>
      <c r="I476" s="20">
        <f t="shared" si="1"/>
        <v>50</v>
      </c>
      <c r="J476" s="22" t="s">
        <v>235</v>
      </c>
      <c r="K476" s="16" t="s">
        <v>236</v>
      </c>
      <c r="L476" s="13" t="s">
        <v>232</v>
      </c>
    </row>
    <row r="477" ht="19.5" customHeight="1">
      <c r="A477" s="25" t="s">
        <v>1668</v>
      </c>
      <c r="B477" s="25" t="s">
        <v>1292</v>
      </c>
      <c r="C477" s="14" t="str">
        <f>IF(B477&lt;&gt;"",IFERROR(VLOOKUP(B477,'📦 Productos'!A:C,3,FALSE),""),"")</f>
        <v>REVLON SO FIERCE PRISMATIC EYESHADOW PALETTE DUB</v>
      </c>
      <c r="D477" s="25" t="s">
        <v>1293</v>
      </c>
      <c r="E477" s="25" t="s">
        <v>232</v>
      </c>
      <c r="F477" s="26">
        <v>0.0</v>
      </c>
      <c r="G477" s="27">
        <v>34700.0</v>
      </c>
      <c r="H477" s="29">
        <v>17350.0</v>
      </c>
      <c r="I477" s="20">
        <f t="shared" si="1"/>
        <v>50</v>
      </c>
      <c r="J477" s="31" t="s">
        <v>235</v>
      </c>
      <c r="K477" s="26" t="s">
        <v>236</v>
      </c>
      <c r="L477" s="25" t="s">
        <v>232</v>
      </c>
    </row>
    <row r="478" ht="19.5" customHeight="1">
      <c r="A478" s="13" t="s">
        <v>1669</v>
      </c>
      <c r="B478" s="13" t="s">
        <v>1297</v>
      </c>
      <c r="C478" s="14" t="str">
        <f>IF(B478&lt;&gt;"",IFERROR(VLOOKUP(B478,'📦 Productos'!A:C,3,FALSE),""),"")</f>
        <v>REVLON SO FIERCE PRISMATIC EYESHADOW PALETTE FULLY</v>
      </c>
      <c r="D478" s="13" t="s">
        <v>1298</v>
      </c>
      <c r="E478" s="13" t="s">
        <v>232</v>
      </c>
      <c r="F478" s="16">
        <v>0.0</v>
      </c>
      <c r="G478" s="17">
        <v>34700.0</v>
      </c>
      <c r="H478" s="18">
        <v>17350.0</v>
      </c>
      <c r="I478" s="20">
        <f t="shared" si="1"/>
        <v>50</v>
      </c>
      <c r="J478" s="22" t="s">
        <v>235</v>
      </c>
      <c r="K478" s="16" t="s">
        <v>236</v>
      </c>
      <c r="L478" s="13" t="s">
        <v>232</v>
      </c>
    </row>
    <row r="479" ht="19.5" customHeight="1">
      <c r="A479" s="25" t="s">
        <v>1670</v>
      </c>
      <c r="B479" s="25" t="s">
        <v>1302</v>
      </c>
      <c r="C479" s="14" t="str">
        <f>IF(B479&lt;&gt;"",IFERROR(VLOOKUP(B479,'📦 Productos'!A:C,3,FALSE),""),"")</f>
        <v>REVLON SO FIERCE PRISMATIC EYESHADOW PALETTE TANTRUM</v>
      </c>
      <c r="D479" s="25" t="s">
        <v>1303</v>
      </c>
      <c r="E479" s="25" t="s">
        <v>232</v>
      </c>
      <c r="F479" s="26">
        <v>0.0</v>
      </c>
      <c r="G479" s="27">
        <v>34700.0</v>
      </c>
      <c r="H479" s="29"/>
      <c r="I479" s="20">
        <f t="shared" si="1"/>
        <v>0</v>
      </c>
      <c r="J479" s="31" t="s">
        <v>235</v>
      </c>
      <c r="K479" s="26" t="s">
        <v>236</v>
      </c>
      <c r="L479" s="25" t="s">
        <v>232</v>
      </c>
    </row>
    <row r="480" ht="19.5" customHeight="1">
      <c r="A480" s="13" t="s">
        <v>1671</v>
      </c>
      <c r="B480" s="13" t="s">
        <v>1306</v>
      </c>
      <c r="C480" s="14" t="str">
        <f>IF(B480&lt;&gt;"",IFERROR(VLOOKUP(B480,'📦 Productos'!A:C,3,FALSE),""),"")</f>
        <v>REVLON COLORSTAY DAY TO NIGHT EYESHADOW QUAD 500 ADDICTIVE</v>
      </c>
      <c r="D480" s="13" t="s">
        <v>1307</v>
      </c>
      <c r="E480" s="13" t="s">
        <v>232</v>
      </c>
      <c r="F480" s="16">
        <v>0.0</v>
      </c>
      <c r="G480" s="17">
        <v>28400.0</v>
      </c>
      <c r="H480" s="18"/>
      <c r="I480" s="20">
        <f t="shared" si="1"/>
        <v>0</v>
      </c>
      <c r="J480" s="22" t="s">
        <v>235</v>
      </c>
      <c r="K480" s="16" t="s">
        <v>236</v>
      </c>
      <c r="L480" s="13" t="s">
        <v>232</v>
      </c>
    </row>
    <row r="481" ht="19.5" customHeight="1">
      <c r="A481" s="25" t="s">
        <v>1672</v>
      </c>
      <c r="B481" s="25" t="s">
        <v>1313</v>
      </c>
      <c r="C481" s="14" t="str">
        <f>IF(B481&lt;&gt;"",IFERROR(VLOOKUP(B481,'📦 Productos'!A:C,3,FALSE),""),"")</f>
        <v>REVLON COLORSTAY DAY TO NIGHT EYESHADOW QUAD 505 DECADENT</v>
      </c>
      <c r="D481" s="25" t="s">
        <v>1314</v>
      </c>
      <c r="E481" s="25" t="s">
        <v>232</v>
      </c>
      <c r="F481" s="26">
        <v>0.0</v>
      </c>
      <c r="G481" s="27">
        <v>28400.0</v>
      </c>
      <c r="H481" s="29"/>
      <c r="I481" s="20">
        <f t="shared" si="1"/>
        <v>0</v>
      </c>
      <c r="J481" s="31" t="s">
        <v>235</v>
      </c>
      <c r="K481" s="26" t="s">
        <v>236</v>
      </c>
      <c r="L481" s="25" t="s">
        <v>232</v>
      </c>
    </row>
    <row r="482" ht="19.5" customHeight="1">
      <c r="A482" s="13" t="s">
        <v>1673</v>
      </c>
      <c r="B482" s="13" t="s">
        <v>1318</v>
      </c>
      <c r="C482" s="14" t="str">
        <f>IF(B482&lt;&gt;"",IFERROR(VLOOKUP(B482,'📦 Productos'!A:C,3,FALSE),""),"")</f>
        <v>REVLON COLORSTAY DAY TO NIGHT EYESHADOW QUAD 530 SEDUCTIVE</v>
      </c>
      <c r="D482" s="13" t="s">
        <v>1319</v>
      </c>
      <c r="E482" s="13" t="s">
        <v>232</v>
      </c>
      <c r="F482" s="16">
        <v>0.0</v>
      </c>
      <c r="G482" s="17">
        <v>28400.0</v>
      </c>
      <c r="H482" s="18"/>
      <c r="I482" s="20">
        <f t="shared" si="1"/>
        <v>0</v>
      </c>
      <c r="J482" s="22" t="s">
        <v>235</v>
      </c>
      <c r="K482" s="16" t="s">
        <v>236</v>
      </c>
      <c r="L482" s="13" t="s">
        <v>232</v>
      </c>
    </row>
    <row r="483" ht="19.5" customHeight="1">
      <c r="A483" s="25" t="s">
        <v>1674</v>
      </c>
      <c r="B483" s="25" t="s">
        <v>1323</v>
      </c>
      <c r="C483" s="14" t="str">
        <f>IF(B483&lt;&gt;"",IFERROR(VLOOKUP(B483,'📦 Productos'!A:C,3,FALSE),""),"")</f>
        <v>REVLON COLORSTAY DAY TO NIGHT EYESHADOW QUAD 560 STYLISH</v>
      </c>
      <c r="D483" s="25" t="s">
        <v>1324</v>
      </c>
      <c r="E483" s="25" t="s">
        <v>232</v>
      </c>
      <c r="F483" s="26">
        <v>0.0</v>
      </c>
      <c r="G483" s="27">
        <v>28400.0</v>
      </c>
      <c r="H483" s="29">
        <v>14200.0</v>
      </c>
      <c r="I483" s="20">
        <f t="shared" si="1"/>
        <v>50</v>
      </c>
      <c r="J483" s="31" t="s">
        <v>235</v>
      </c>
      <c r="K483" s="26" t="s">
        <v>236</v>
      </c>
      <c r="L483" s="25" t="s">
        <v>232</v>
      </c>
    </row>
    <row r="484" ht="19.5" customHeight="1">
      <c r="A484" s="13" t="s">
        <v>1675</v>
      </c>
      <c r="B484" s="13" t="s">
        <v>1328</v>
      </c>
      <c r="C484" s="14" t="str">
        <f>IF(B484&lt;&gt;"",IFERROR(VLOOKUP(B484,'📦 Productos'!A:C,3,FALSE),""),"")</f>
        <v>REVLON COLORSTAY DAY TO NIGHT EYESHADOW QUAD 565 PRETTY</v>
      </c>
      <c r="D484" s="13" t="s">
        <v>1329</v>
      </c>
      <c r="E484" s="13" t="s">
        <v>232</v>
      </c>
      <c r="F484" s="16">
        <v>0.0</v>
      </c>
      <c r="G484" s="17">
        <v>28400.0</v>
      </c>
      <c r="H484" s="18">
        <v>14200.0</v>
      </c>
      <c r="I484" s="20">
        <f t="shared" si="1"/>
        <v>50</v>
      </c>
      <c r="J484" s="22" t="s">
        <v>235</v>
      </c>
      <c r="K484" s="16" t="s">
        <v>236</v>
      </c>
      <c r="L484" s="13" t="s">
        <v>232</v>
      </c>
    </row>
    <row r="485" ht="19.5" customHeight="1">
      <c r="A485" s="25" t="s">
        <v>1676</v>
      </c>
      <c r="B485" s="25" t="s">
        <v>1333</v>
      </c>
      <c r="C485" s="14" t="str">
        <f>IF(B485&lt;&gt;"",IFERROR(VLOOKUP(B485,'📦 Productos'!A:C,3,FALSE),""),"")</f>
        <v>REVLON COLORSTAY DAY TO NIGHT EYESHADOW QUAD 570 STUNNING</v>
      </c>
      <c r="D485" s="25" t="s">
        <v>1334</v>
      </c>
      <c r="E485" s="25" t="s">
        <v>232</v>
      </c>
      <c r="F485" s="26">
        <v>0.0</v>
      </c>
      <c r="G485" s="27">
        <v>28400.0</v>
      </c>
      <c r="H485" s="29"/>
      <c r="I485" s="20">
        <f t="shared" si="1"/>
        <v>0</v>
      </c>
      <c r="J485" s="31" t="s">
        <v>235</v>
      </c>
      <c r="K485" s="26" t="s">
        <v>236</v>
      </c>
      <c r="L485" s="25" t="s">
        <v>232</v>
      </c>
    </row>
    <row r="486" ht="19.5" customHeight="1">
      <c r="A486" s="13" t="s">
        <v>1677</v>
      </c>
      <c r="B486" s="13" t="s">
        <v>1337</v>
      </c>
      <c r="C486" s="14" t="str">
        <f>IF(B486&lt;&gt;"",IFERROR(VLOOKUP(B486,'📦 Productos'!A:C,3,FALSE),""),"")</f>
        <v>REVLON SUPERLUSTROUS 006 REALLY RED</v>
      </c>
      <c r="D486" s="13" t="s">
        <v>1338</v>
      </c>
      <c r="E486" s="13" t="s">
        <v>232</v>
      </c>
      <c r="F486" s="16">
        <v>0.0</v>
      </c>
      <c r="G486" s="17">
        <v>23900.0</v>
      </c>
      <c r="H486" s="18">
        <v>15535.0</v>
      </c>
      <c r="I486" s="20">
        <f t="shared" si="1"/>
        <v>35</v>
      </c>
      <c r="J486" s="22" t="s">
        <v>235</v>
      </c>
      <c r="K486" s="16" t="s">
        <v>236</v>
      </c>
      <c r="L486" s="13" t="s">
        <v>232</v>
      </c>
    </row>
    <row r="487" ht="19.5" customHeight="1">
      <c r="A487" s="25" t="s">
        <v>1678</v>
      </c>
      <c r="B487" s="25" t="s">
        <v>1341</v>
      </c>
      <c r="C487" s="14" t="str">
        <f>IF(B487&lt;&gt;"",IFERROR(VLOOKUP(B487,'📦 Productos'!A:C,3,FALSE),""),"")</f>
        <v>REVLON ULTRA HD SNAP 002 MAKIN THE MOST</v>
      </c>
      <c r="D487" s="25" t="s">
        <v>1343</v>
      </c>
      <c r="E487" s="25" t="s">
        <v>232</v>
      </c>
      <c r="F487" s="26">
        <v>0.0</v>
      </c>
      <c r="G487" s="27">
        <v>15500.0</v>
      </c>
      <c r="H487" s="29">
        <v>7750.0</v>
      </c>
      <c r="I487" s="20">
        <f t="shared" si="1"/>
        <v>50</v>
      </c>
      <c r="J487" s="31" t="s">
        <v>235</v>
      </c>
      <c r="K487" s="26" t="s">
        <v>236</v>
      </c>
      <c r="L487" s="25" t="s">
        <v>232</v>
      </c>
    </row>
    <row r="488" ht="19.5" customHeight="1">
      <c r="A488" s="13" t="s">
        <v>1679</v>
      </c>
      <c r="B488" s="13" t="s">
        <v>1346</v>
      </c>
      <c r="C488" s="14" t="str">
        <f>IF(B488&lt;&gt;"",IFERROR(VLOOKUP(B488,'📦 Productos'!A:C,3,FALSE),""),"")</f>
        <v>REVLON ULTRA HD SNAP 013 BASIC</v>
      </c>
      <c r="D488" s="13" t="s">
        <v>1347</v>
      </c>
      <c r="E488" s="13" t="s">
        <v>232</v>
      </c>
      <c r="F488" s="16">
        <v>0.0</v>
      </c>
      <c r="G488" s="17">
        <v>15500.0</v>
      </c>
      <c r="H488" s="18"/>
      <c r="I488" s="20">
        <f t="shared" si="1"/>
        <v>0</v>
      </c>
      <c r="J488" s="22" t="s">
        <v>235</v>
      </c>
      <c r="K488" s="16" t="s">
        <v>236</v>
      </c>
      <c r="L488" s="13" t="s">
        <v>232</v>
      </c>
    </row>
    <row r="489" ht="19.5" customHeight="1">
      <c r="A489" s="25" t="s">
        <v>1680</v>
      </c>
      <c r="B489" s="25" t="s">
        <v>1350</v>
      </c>
      <c r="C489" s="14" t="str">
        <f>IF(B489&lt;&gt;"",IFERROR(VLOOKUP(B489,'📦 Productos'!A:C,3,FALSE),""),"")</f>
        <v>REVLON ULTRA HD SNAP 014 RED AND REAL</v>
      </c>
      <c r="D489" s="25" t="s">
        <v>1351</v>
      </c>
      <c r="E489" s="25" t="s">
        <v>232</v>
      </c>
      <c r="F489" s="26">
        <v>0.0</v>
      </c>
      <c r="G489" s="27">
        <v>15500.0</v>
      </c>
      <c r="H489" s="29"/>
      <c r="I489" s="20">
        <f t="shared" si="1"/>
        <v>0</v>
      </c>
      <c r="J489" s="31" t="s">
        <v>235</v>
      </c>
      <c r="K489" s="26" t="s">
        <v>236</v>
      </c>
      <c r="L489" s="25" t="s">
        <v>232</v>
      </c>
    </row>
    <row r="490" ht="19.5" customHeight="1">
      <c r="A490" s="13" t="s">
        <v>1681</v>
      </c>
      <c r="B490" s="13" t="s">
        <v>1354</v>
      </c>
      <c r="C490" s="14" t="str">
        <f>IF(B490&lt;&gt;"",IFERROR(VLOOKUP(B490,'📦 Productos'!A:C,3,FALSE),""),"")</f>
        <v>REVLON ULTRA HD SNAP 016 GET REAL</v>
      </c>
      <c r="D490" s="13" t="s">
        <v>1355</v>
      </c>
      <c r="E490" s="13" t="s">
        <v>232</v>
      </c>
      <c r="F490" s="16">
        <v>0.0</v>
      </c>
      <c r="G490" s="17">
        <v>15500.0</v>
      </c>
      <c r="H490" s="18"/>
      <c r="I490" s="20">
        <f t="shared" si="1"/>
        <v>0</v>
      </c>
      <c r="J490" s="22" t="s">
        <v>235</v>
      </c>
      <c r="K490" s="16" t="s">
        <v>236</v>
      </c>
      <c r="L490" s="13" t="s">
        <v>232</v>
      </c>
    </row>
    <row r="491" ht="19.5" customHeight="1">
      <c r="A491" s="25" t="s">
        <v>1682</v>
      </c>
      <c r="B491" s="25" t="s">
        <v>1358</v>
      </c>
      <c r="C491" s="14" t="str">
        <f>IF(B491&lt;&gt;"",IFERROR(VLOOKUP(B491,'📦 Productos'!A:C,3,FALSE),""),"")</f>
        <v>RVLON ILUMINANCE GEL SERUM BLUSH POMO 110</v>
      </c>
      <c r="D491" s="25" t="s">
        <v>1359</v>
      </c>
      <c r="E491" s="25" t="s">
        <v>232</v>
      </c>
      <c r="F491" s="26">
        <v>0.0</v>
      </c>
      <c r="G491" s="27">
        <v>31500.0</v>
      </c>
      <c r="H491" s="29">
        <v>15750.0</v>
      </c>
      <c r="I491" s="20">
        <f t="shared" si="1"/>
        <v>50</v>
      </c>
      <c r="J491" s="31" t="s">
        <v>235</v>
      </c>
      <c r="K491" s="26" t="s">
        <v>236</v>
      </c>
      <c r="L491" s="25" t="s">
        <v>1683</v>
      </c>
    </row>
    <row r="492" ht="19.5" customHeight="1">
      <c r="A492" s="13" t="s">
        <v>1684</v>
      </c>
      <c r="B492" s="13" t="s">
        <v>1362</v>
      </c>
      <c r="C492" s="14" t="str">
        <f>IF(B492&lt;&gt;"",IFERROR(VLOOKUP(B492,'📦 Productos'!A:C,3,FALSE),""),"")</f>
        <v>REVLON COLORSTAY EYE LINER BROWN</v>
      </c>
      <c r="D492" s="13" t="s">
        <v>1363</v>
      </c>
      <c r="E492" s="13" t="s">
        <v>232</v>
      </c>
      <c r="F492" s="16">
        <v>0.0</v>
      </c>
      <c r="G492" s="17">
        <v>26500.0</v>
      </c>
      <c r="H492" s="18"/>
      <c r="I492" s="20">
        <f t="shared" si="1"/>
        <v>0</v>
      </c>
      <c r="J492" s="22" t="s">
        <v>235</v>
      </c>
      <c r="K492" s="16" t="s">
        <v>236</v>
      </c>
      <c r="L492" s="13" t="s">
        <v>232</v>
      </c>
    </row>
    <row r="493" ht="19.5" customHeight="1">
      <c r="A493" s="25" t="s">
        <v>1685</v>
      </c>
      <c r="B493" s="25" t="s">
        <v>1367</v>
      </c>
      <c r="C493" s="14" t="str">
        <f>IF(B493&lt;&gt;"",IFERROR(VLOOKUP(B493,'📦 Productos'!A:C,3,FALSE),""),"")</f>
        <v>REVLON COLORSTAY EYE LINER CHARCOAL</v>
      </c>
      <c r="D493" s="25" t="s">
        <v>1368</v>
      </c>
      <c r="E493" s="25" t="s">
        <v>1686</v>
      </c>
      <c r="F493" s="26">
        <v>6.0</v>
      </c>
      <c r="G493" s="27">
        <v>26500.0</v>
      </c>
      <c r="H493" s="29">
        <v>21200.0</v>
      </c>
      <c r="I493" s="20">
        <f t="shared" si="1"/>
        <v>20</v>
      </c>
      <c r="J493" s="31" t="s">
        <v>235</v>
      </c>
      <c r="K493" s="26" t="s">
        <v>1687</v>
      </c>
      <c r="L493" s="25" t="s">
        <v>1688</v>
      </c>
    </row>
    <row r="494" ht="19.5" customHeight="1">
      <c r="A494" s="13" t="s">
        <v>1689</v>
      </c>
      <c r="B494" s="13" t="s">
        <v>1371</v>
      </c>
      <c r="C494" s="14" t="str">
        <f>IF(B494&lt;&gt;"",IFERROR(VLOOKUP(B494,'📦 Productos'!A:C,3,FALSE),""),"")</f>
        <v>KENZO AMOUR EDP</v>
      </c>
      <c r="D494" s="13" t="s">
        <v>1372</v>
      </c>
      <c r="E494" s="13" t="s">
        <v>253</v>
      </c>
      <c r="F494" s="16">
        <v>3.0</v>
      </c>
      <c r="G494" s="17">
        <v>298000.0</v>
      </c>
      <c r="H494" s="18">
        <v>184760.0</v>
      </c>
      <c r="I494" s="20">
        <f t="shared" si="1"/>
        <v>38</v>
      </c>
      <c r="J494" s="22" t="s">
        <v>235</v>
      </c>
      <c r="K494" s="16" t="s">
        <v>236</v>
      </c>
      <c r="L494" s="13" t="s">
        <v>232</v>
      </c>
    </row>
    <row r="495" ht="19.5" customHeight="1">
      <c r="A495" s="25" t="s">
        <v>1690</v>
      </c>
      <c r="B495" s="25" t="s">
        <v>1371</v>
      </c>
      <c r="C495" s="14" t="str">
        <f>IF(B495&lt;&gt;"",IFERROR(VLOOKUP(B495,'📦 Productos'!A:C,3,FALSE),""),"")</f>
        <v>KENZO AMOUR EDP</v>
      </c>
      <c r="D495" s="25" t="s">
        <v>1691</v>
      </c>
      <c r="E495" s="25" t="s">
        <v>246</v>
      </c>
      <c r="F495" s="26">
        <v>0.0</v>
      </c>
      <c r="G495" s="27">
        <v>160000.0</v>
      </c>
      <c r="H495" s="29"/>
      <c r="I495" s="20">
        <f t="shared" si="1"/>
        <v>0</v>
      </c>
      <c r="J495" s="31" t="s">
        <v>235</v>
      </c>
      <c r="K495" s="26" t="s">
        <v>236</v>
      </c>
      <c r="L495" s="25" t="s">
        <v>232</v>
      </c>
    </row>
    <row r="496" ht="19.5" customHeight="1">
      <c r="A496" s="13" t="s">
        <v>1692</v>
      </c>
      <c r="B496" s="13" t="s">
        <v>1371</v>
      </c>
      <c r="C496" s="14" t="str">
        <f>IF(B496&lt;&gt;"",IFERROR(VLOOKUP(B496,'📦 Productos'!A:C,3,FALSE),""),"")</f>
        <v>KENZO AMOUR EDP</v>
      </c>
      <c r="D496" s="13" t="s">
        <v>1693</v>
      </c>
      <c r="E496" s="13" t="s">
        <v>260</v>
      </c>
      <c r="F496" s="16">
        <v>0.0</v>
      </c>
      <c r="G496" s="17">
        <v>228000.0</v>
      </c>
      <c r="H496" s="18"/>
      <c r="I496" s="20">
        <f t="shared" si="1"/>
        <v>0</v>
      </c>
      <c r="J496" s="22" t="s">
        <v>235</v>
      </c>
      <c r="K496" s="16" t="s">
        <v>236</v>
      </c>
      <c r="L496" s="13" t="s">
        <v>232</v>
      </c>
    </row>
    <row r="497" ht="19.5" customHeight="1">
      <c r="A497" s="25" t="s">
        <v>1694</v>
      </c>
      <c r="B497" s="25" t="s">
        <v>1377</v>
      </c>
      <c r="C497" s="14" t="str">
        <f>IF(B497&lt;&gt;"",IFERROR(VLOOKUP(B497,'📦 Productos'!A:C,3,FALSE),""),"")</f>
        <v>CUTEX BASE ENDURECEDORA DE UÑAS</v>
      </c>
      <c r="D497" s="25" t="s">
        <v>1378</v>
      </c>
      <c r="E497" s="25" t="s">
        <v>232</v>
      </c>
      <c r="F497" s="26">
        <v>4.0</v>
      </c>
      <c r="G497" s="27">
        <v>7000.0</v>
      </c>
      <c r="H497" s="29">
        <v>3850.0</v>
      </c>
      <c r="I497" s="20">
        <f t="shared" si="1"/>
        <v>45</v>
      </c>
      <c r="J497" s="31" t="s">
        <v>235</v>
      </c>
      <c r="K497" s="26" t="s">
        <v>236</v>
      </c>
      <c r="L497" s="25" t="s">
        <v>232</v>
      </c>
    </row>
    <row r="498" ht="15.75" customHeight="1">
      <c r="J498" s="1"/>
      <c r="L498" s="1"/>
    </row>
    <row r="499" ht="15.75" customHeight="1">
      <c r="J499" s="1"/>
      <c r="L499" s="1"/>
    </row>
    <row r="500" ht="15.75" customHeight="1">
      <c r="J500" s="1"/>
      <c r="L500" s="1"/>
    </row>
    <row r="501" ht="15.75" customHeight="1">
      <c r="J501" s="1"/>
      <c r="L501" s="1"/>
    </row>
    <row r="502" ht="15.75" customHeight="1">
      <c r="J502" s="1"/>
      <c r="L502" s="1"/>
    </row>
    <row r="503" ht="15.75" customHeight="1">
      <c r="J503" s="1"/>
      <c r="L503" s="1"/>
    </row>
    <row r="504" ht="15.75" customHeight="1">
      <c r="J504" s="1"/>
      <c r="L504" s="1"/>
    </row>
    <row r="505" ht="15.75" customHeight="1">
      <c r="J505" s="1"/>
      <c r="L505" s="1"/>
    </row>
    <row r="506" ht="15.75" customHeight="1">
      <c r="J506" s="1"/>
      <c r="L506" s="1"/>
    </row>
    <row r="507" ht="15.75" customHeight="1">
      <c r="J507" s="1"/>
      <c r="L507" s="1"/>
    </row>
    <row r="508" ht="15.75" customHeight="1">
      <c r="J508" s="1"/>
      <c r="L508" s="1"/>
    </row>
    <row r="509" ht="15.75" customHeight="1">
      <c r="J509" s="1"/>
      <c r="L509" s="1"/>
    </row>
    <row r="510" ht="15.75" customHeight="1">
      <c r="J510" s="1"/>
      <c r="L510" s="1"/>
    </row>
    <row r="511" ht="15.75" customHeight="1">
      <c r="J511" s="1"/>
      <c r="L511" s="1"/>
    </row>
    <row r="512" ht="15.75" customHeight="1">
      <c r="J512" s="1"/>
      <c r="L512" s="1"/>
    </row>
    <row r="513" ht="15.75" customHeight="1">
      <c r="J513" s="1"/>
      <c r="L513" s="1"/>
    </row>
    <row r="514" ht="15.75" customHeight="1">
      <c r="J514" s="1"/>
      <c r="L514" s="1"/>
    </row>
    <row r="515" ht="15.75" customHeight="1">
      <c r="J515" s="1"/>
      <c r="L515" s="1"/>
    </row>
    <row r="516" ht="15.75" customHeight="1">
      <c r="J516" s="1"/>
      <c r="L516" s="1"/>
    </row>
    <row r="517" ht="15.75" customHeight="1">
      <c r="J517" s="1"/>
      <c r="L517" s="1"/>
    </row>
    <row r="518" ht="15.75" customHeight="1">
      <c r="J518" s="1"/>
      <c r="L518" s="1"/>
    </row>
    <row r="519" ht="15.75" customHeight="1">
      <c r="J519" s="1"/>
      <c r="L519" s="1"/>
    </row>
    <row r="520" ht="15.75" customHeight="1">
      <c r="J520" s="1"/>
      <c r="L520" s="1"/>
    </row>
    <row r="521" ht="15.75" customHeight="1">
      <c r="J521" s="1"/>
      <c r="L521" s="1"/>
    </row>
    <row r="522" ht="15.75" customHeight="1">
      <c r="J522" s="1"/>
      <c r="L522" s="1"/>
    </row>
    <row r="523" ht="15.75" customHeight="1">
      <c r="J523" s="1"/>
      <c r="L523" s="1"/>
    </row>
    <row r="524" ht="15.75" customHeight="1">
      <c r="J524" s="1"/>
      <c r="L524" s="1"/>
    </row>
    <row r="525" ht="15.75" customHeight="1">
      <c r="J525" s="1"/>
      <c r="L525" s="1"/>
    </row>
    <row r="526" ht="15.75" customHeight="1">
      <c r="J526" s="1"/>
      <c r="L526" s="1"/>
    </row>
    <row r="527" ht="15.75" customHeight="1">
      <c r="J527" s="1"/>
      <c r="L527" s="1"/>
    </row>
    <row r="528" ht="15.75" customHeight="1">
      <c r="J528" s="1"/>
      <c r="L528" s="1"/>
    </row>
    <row r="529" ht="15.75" customHeight="1">
      <c r="J529" s="1"/>
      <c r="L529" s="1"/>
    </row>
    <row r="530" ht="15.75" customHeight="1">
      <c r="J530" s="1"/>
      <c r="L530" s="1"/>
    </row>
    <row r="531" ht="15.75" customHeight="1">
      <c r="J531" s="1"/>
      <c r="L531" s="1"/>
    </row>
    <row r="532" ht="15.75" customHeight="1">
      <c r="J532" s="1"/>
      <c r="L532" s="1"/>
    </row>
    <row r="533" ht="15.75" customHeight="1">
      <c r="J533" s="1"/>
      <c r="L533" s="1"/>
    </row>
    <row r="534" ht="15.75" customHeight="1">
      <c r="J534" s="1"/>
      <c r="L534" s="1"/>
    </row>
    <row r="535" ht="15.75" customHeight="1">
      <c r="J535" s="1"/>
      <c r="L535" s="1"/>
    </row>
    <row r="536" ht="15.75" customHeight="1">
      <c r="J536" s="1"/>
      <c r="L536" s="1"/>
    </row>
    <row r="537" ht="15.75" customHeight="1">
      <c r="J537" s="1"/>
      <c r="L537" s="1"/>
    </row>
    <row r="538" ht="15.75" customHeight="1">
      <c r="J538" s="1"/>
      <c r="L538" s="1"/>
    </row>
    <row r="539" ht="15.75" customHeight="1">
      <c r="J539" s="1"/>
      <c r="L539" s="1"/>
    </row>
    <row r="540" ht="15.75" customHeight="1">
      <c r="J540" s="1"/>
      <c r="L540" s="1"/>
    </row>
    <row r="541" ht="15.75" customHeight="1">
      <c r="J541" s="1"/>
      <c r="L541" s="1"/>
    </row>
    <row r="542" ht="15.75" customHeight="1">
      <c r="J542" s="1"/>
      <c r="L542" s="1"/>
    </row>
    <row r="543" ht="15.75" customHeight="1">
      <c r="J543" s="1"/>
      <c r="L543" s="1"/>
    </row>
    <row r="544" ht="15.75" customHeight="1">
      <c r="J544" s="1"/>
      <c r="L544" s="1"/>
    </row>
    <row r="545" ht="15.75" customHeight="1">
      <c r="J545" s="1"/>
      <c r="L545" s="1"/>
    </row>
    <row r="546" ht="15.75" customHeight="1">
      <c r="J546" s="1"/>
      <c r="L546" s="1"/>
    </row>
    <row r="547" ht="15.75" customHeight="1">
      <c r="J547" s="1"/>
      <c r="L547" s="1"/>
    </row>
    <row r="548" ht="15.75" customHeight="1">
      <c r="J548" s="1"/>
      <c r="L548" s="1"/>
    </row>
    <row r="549" ht="15.75" customHeight="1">
      <c r="J549" s="1"/>
      <c r="L549" s="1"/>
    </row>
    <row r="550" ht="15.75" customHeight="1">
      <c r="J550" s="1"/>
      <c r="L550" s="1"/>
    </row>
    <row r="551" ht="15.75" customHeight="1">
      <c r="J551" s="1"/>
      <c r="L551" s="1"/>
    </row>
    <row r="552" ht="15.75" customHeight="1">
      <c r="J552" s="1"/>
      <c r="L552" s="1"/>
    </row>
    <row r="553" ht="15.75" customHeight="1">
      <c r="J553" s="1"/>
      <c r="L553" s="1"/>
    </row>
    <row r="554" ht="15.75" customHeight="1">
      <c r="J554" s="1"/>
      <c r="L554" s="1"/>
    </row>
    <row r="555" ht="15.75" customHeight="1">
      <c r="J555" s="1"/>
      <c r="L555" s="1"/>
    </row>
    <row r="556" ht="15.75" customHeight="1">
      <c r="J556" s="1"/>
      <c r="L556" s="1"/>
    </row>
    <row r="557" ht="15.75" customHeight="1">
      <c r="J557" s="1"/>
      <c r="L557" s="1"/>
    </row>
    <row r="558" ht="15.75" customHeight="1">
      <c r="J558" s="1"/>
      <c r="L558" s="1"/>
    </row>
    <row r="559" ht="15.75" customHeight="1">
      <c r="J559" s="1"/>
      <c r="L559" s="1"/>
    </row>
    <row r="560" ht="15.75" customHeight="1">
      <c r="J560" s="1"/>
      <c r="L560" s="1"/>
    </row>
    <row r="561" ht="15.75" customHeight="1">
      <c r="J561" s="1"/>
      <c r="L561" s="1"/>
    </row>
    <row r="562" ht="15.75" customHeight="1">
      <c r="J562" s="1"/>
      <c r="L562" s="1"/>
    </row>
    <row r="563" ht="15.75" customHeight="1">
      <c r="J563" s="1"/>
      <c r="L563" s="1"/>
    </row>
    <row r="564" ht="15.75" customHeight="1">
      <c r="J564" s="1"/>
      <c r="L564" s="1"/>
    </row>
    <row r="565" ht="15.75" customHeight="1">
      <c r="J565" s="1"/>
      <c r="L565" s="1"/>
    </row>
    <row r="566" ht="15.75" customHeight="1">
      <c r="J566" s="1"/>
      <c r="L566" s="1"/>
    </row>
    <row r="567" ht="15.75" customHeight="1">
      <c r="J567" s="1"/>
      <c r="L567" s="1"/>
    </row>
    <row r="568" ht="15.75" customHeight="1">
      <c r="J568" s="1"/>
      <c r="L568" s="1"/>
    </row>
    <row r="569" ht="15.75" customHeight="1">
      <c r="J569" s="1"/>
      <c r="L569" s="1"/>
    </row>
    <row r="570" ht="15.75" customHeight="1">
      <c r="J570" s="1"/>
      <c r="L570" s="1"/>
    </row>
    <row r="571" ht="15.75" customHeight="1">
      <c r="J571" s="1"/>
      <c r="L571" s="1"/>
    </row>
    <row r="572" ht="15.75" customHeight="1">
      <c r="J572" s="1"/>
      <c r="L572" s="1"/>
    </row>
    <row r="573" ht="15.75" customHeight="1">
      <c r="J573" s="1"/>
      <c r="L573" s="1"/>
    </row>
    <row r="574" ht="15.75" customHeight="1">
      <c r="J574" s="1"/>
      <c r="L574" s="1"/>
    </row>
    <row r="575" ht="15.75" customHeight="1">
      <c r="J575" s="1"/>
      <c r="L575" s="1"/>
    </row>
    <row r="576" ht="15.75" customHeight="1">
      <c r="J576" s="1"/>
      <c r="L576" s="1"/>
    </row>
    <row r="577" ht="15.75" customHeight="1">
      <c r="J577" s="1"/>
      <c r="L577" s="1"/>
    </row>
    <row r="578" ht="15.75" customHeight="1">
      <c r="J578" s="1"/>
      <c r="L578" s="1"/>
    </row>
    <row r="579" ht="15.75" customHeight="1">
      <c r="J579" s="1"/>
      <c r="L579" s="1"/>
    </row>
    <row r="580" ht="15.75" customHeight="1">
      <c r="J580" s="1"/>
      <c r="L580" s="1"/>
    </row>
    <row r="581" ht="15.75" customHeight="1">
      <c r="J581" s="1"/>
      <c r="L581" s="1"/>
    </row>
    <row r="582" ht="15.75" customHeight="1">
      <c r="J582" s="1"/>
      <c r="L582" s="1"/>
    </row>
    <row r="583" ht="15.75" customHeight="1">
      <c r="J583" s="1"/>
      <c r="L583" s="1"/>
    </row>
    <row r="584" ht="15.75" customHeight="1">
      <c r="J584" s="1"/>
      <c r="L584" s="1"/>
    </row>
    <row r="585" ht="15.75" customHeight="1">
      <c r="J585" s="1"/>
      <c r="L585" s="1"/>
    </row>
    <row r="586" ht="15.75" customHeight="1">
      <c r="J586" s="1"/>
      <c r="L586" s="1"/>
    </row>
    <row r="587" ht="15.75" customHeight="1">
      <c r="J587" s="1"/>
      <c r="L587" s="1"/>
    </row>
    <row r="588" ht="15.75" customHeight="1">
      <c r="J588" s="1"/>
      <c r="L588" s="1"/>
    </row>
    <row r="589" ht="15.75" customHeight="1">
      <c r="J589" s="1"/>
      <c r="L589" s="1"/>
    </row>
    <row r="590" ht="15.75" customHeight="1">
      <c r="J590" s="1"/>
      <c r="L590" s="1"/>
    </row>
    <row r="591" ht="15.75" customHeight="1">
      <c r="J591" s="1"/>
      <c r="L591" s="1"/>
    </row>
    <row r="592" ht="15.75" customHeight="1">
      <c r="J592" s="1"/>
      <c r="L592" s="1"/>
    </row>
    <row r="593" ht="15.75" customHeight="1">
      <c r="J593" s="1"/>
      <c r="L593" s="1"/>
    </row>
    <row r="594" ht="15.75" customHeight="1">
      <c r="J594" s="1"/>
      <c r="L594" s="1"/>
    </row>
    <row r="595" ht="15.75" customHeight="1">
      <c r="J595" s="1"/>
      <c r="L595" s="1"/>
    </row>
    <row r="596" ht="15.75" customHeight="1">
      <c r="J596" s="1"/>
      <c r="L596" s="1"/>
    </row>
    <row r="597" ht="15.75" customHeight="1">
      <c r="J597" s="1"/>
      <c r="L597" s="1"/>
    </row>
    <row r="598" ht="15.75" customHeight="1">
      <c r="J598" s="1"/>
      <c r="L598" s="1"/>
    </row>
    <row r="599" ht="15.75" customHeight="1">
      <c r="J599" s="1"/>
      <c r="L599" s="1"/>
    </row>
    <row r="600" ht="15.75" customHeight="1">
      <c r="J600" s="1"/>
      <c r="L600" s="1"/>
    </row>
    <row r="601" ht="15.75" customHeight="1">
      <c r="J601" s="1"/>
      <c r="L601" s="1"/>
    </row>
    <row r="602" ht="15.75" customHeight="1">
      <c r="J602" s="1"/>
      <c r="L602" s="1"/>
    </row>
    <row r="603" ht="15.75" customHeight="1">
      <c r="J603" s="1"/>
      <c r="L603" s="1"/>
    </row>
    <row r="604" ht="15.75" customHeight="1">
      <c r="J604" s="1"/>
      <c r="L604" s="1"/>
    </row>
    <row r="605" ht="15.75" customHeight="1">
      <c r="J605" s="1"/>
      <c r="L605" s="1"/>
    </row>
    <row r="606" ht="15.75" customHeight="1">
      <c r="J606" s="1"/>
      <c r="L606" s="1"/>
    </row>
    <row r="607" ht="15.75" customHeight="1">
      <c r="J607" s="1"/>
      <c r="L607" s="1"/>
    </row>
    <row r="608" ht="15.75" customHeight="1">
      <c r="J608" s="1"/>
      <c r="L608" s="1"/>
    </row>
    <row r="609" ht="15.75" customHeight="1">
      <c r="J609" s="1"/>
      <c r="L609" s="1"/>
    </row>
    <row r="610" ht="15.75" customHeight="1">
      <c r="J610" s="1"/>
      <c r="L610" s="1"/>
    </row>
    <row r="611" ht="15.75" customHeight="1">
      <c r="J611" s="1"/>
      <c r="L611" s="1"/>
    </row>
    <row r="612" ht="15.75" customHeight="1">
      <c r="J612" s="1"/>
      <c r="L612" s="1"/>
    </row>
    <row r="613" ht="15.75" customHeight="1">
      <c r="J613" s="1"/>
      <c r="L613" s="1"/>
    </row>
    <row r="614" ht="15.75" customHeight="1">
      <c r="J614" s="1"/>
      <c r="L614" s="1"/>
    </row>
    <row r="615" ht="15.75" customHeight="1">
      <c r="J615" s="1"/>
      <c r="L615" s="1"/>
    </row>
    <row r="616" ht="15.75" customHeight="1">
      <c r="J616" s="1"/>
      <c r="L616" s="1"/>
    </row>
    <row r="617" ht="15.75" customHeight="1">
      <c r="J617" s="1"/>
      <c r="L617" s="1"/>
    </row>
    <row r="618" ht="15.75" customHeight="1">
      <c r="J618" s="1"/>
      <c r="L618" s="1"/>
    </row>
    <row r="619" ht="15.75" customHeight="1">
      <c r="J619" s="1"/>
      <c r="L619" s="1"/>
    </row>
    <row r="620" ht="15.75" customHeight="1">
      <c r="J620" s="1"/>
      <c r="L620" s="1"/>
    </row>
    <row r="621" ht="15.75" customHeight="1">
      <c r="J621" s="1"/>
      <c r="L621" s="1"/>
    </row>
    <row r="622" ht="15.75" customHeight="1">
      <c r="J622" s="1"/>
      <c r="L622" s="1"/>
    </row>
    <row r="623" ht="15.75" customHeight="1">
      <c r="J623" s="1"/>
      <c r="L623" s="1"/>
    </row>
    <row r="624" ht="15.75" customHeight="1">
      <c r="J624" s="1"/>
      <c r="L624" s="1"/>
    </row>
    <row r="625" ht="15.75" customHeight="1">
      <c r="J625" s="1"/>
      <c r="L625" s="1"/>
    </row>
    <row r="626" ht="15.75" customHeight="1">
      <c r="J626" s="1"/>
      <c r="L626" s="1"/>
    </row>
    <row r="627" ht="15.75" customHeight="1">
      <c r="J627" s="1"/>
      <c r="L627" s="1"/>
    </row>
    <row r="628" ht="15.75" customHeight="1">
      <c r="J628" s="1"/>
      <c r="L628" s="1"/>
    </row>
    <row r="629" ht="15.75" customHeight="1">
      <c r="J629" s="1"/>
      <c r="L629" s="1"/>
    </row>
    <row r="630" ht="15.75" customHeight="1">
      <c r="J630" s="1"/>
      <c r="L630" s="1"/>
    </row>
    <row r="631" ht="15.75" customHeight="1">
      <c r="J631" s="1"/>
      <c r="L631" s="1"/>
    </row>
    <row r="632" ht="15.75" customHeight="1">
      <c r="J632" s="1"/>
      <c r="L632" s="1"/>
    </row>
    <row r="633" ht="15.75" customHeight="1">
      <c r="J633" s="1"/>
      <c r="L633" s="1"/>
    </row>
    <row r="634" ht="15.75" customHeight="1">
      <c r="J634" s="1"/>
      <c r="L634" s="1"/>
    </row>
    <row r="635" ht="15.75" customHeight="1">
      <c r="J635" s="1"/>
      <c r="L635" s="1"/>
    </row>
    <row r="636" ht="15.75" customHeight="1">
      <c r="J636" s="1"/>
      <c r="L636" s="1"/>
    </row>
    <row r="637" ht="15.75" customHeight="1">
      <c r="J637" s="1"/>
      <c r="L637" s="1"/>
    </row>
    <row r="638" ht="15.75" customHeight="1">
      <c r="J638" s="1"/>
      <c r="L638" s="1"/>
    </row>
    <row r="639" ht="15.75" customHeight="1">
      <c r="J639" s="1"/>
      <c r="L639" s="1"/>
    </row>
    <row r="640" ht="15.75" customHeight="1">
      <c r="J640" s="1"/>
      <c r="L640" s="1"/>
    </row>
    <row r="641" ht="15.75" customHeight="1">
      <c r="J641" s="1"/>
      <c r="L641" s="1"/>
    </row>
    <row r="642" ht="15.75" customHeight="1">
      <c r="J642" s="1"/>
      <c r="L642" s="1"/>
    </row>
    <row r="643" ht="15.75" customHeight="1">
      <c r="J643" s="1"/>
      <c r="L643" s="1"/>
    </row>
    <row r="644" ht="15.75" customHeight="1">
      <c r="J644" s="1"/>
      <c r="L644" s="1"/>
    </row>
    <row r="645" ht="15.75" customHeight="1">
      <c r="J645" s="1"/>
      <c r="L645" s="1"/>
    </row>
    <row r="646" ht="15.75" customHeight="1">
      <c r="J646" s="1"/>
      <c r="L646" s="1"/>
    </row>
    <row r="647" ht="15.75" customHeight="1">
      <c r="J647" s="1"/>
      <c r="L647" s="1"/>
    </row>
    <row r="648" ht="15.75" customHeight="1">
      <c r="J648" s="1"/>
      <c r="L648" s="1"/>
    </row>
    <row r="649" ht="15.75" customHeight="1">
      <c r="J649" s="1"/>
      <c r="L649" s="1"/>
    </row>
    <row r="650" ht="15.75" customHeight="1">
      <c r="J650" s="1"/>
      <c r="L650" s="1"/>
    </row>
    <row r="651" ht="15.75" customHeight="1">
      <c r="J651" s="1"/>
      <c r="L651" s="1"/>
    </row>
    <row r="652" ht="15.75" customHeight="1">
      <c r="J652" s="1"/>
      <c r="L652" s="1"/>
    </row>
    <row r="653" ht="15.75" customHeight="1">
      <c r="J653" s="1"/>
      <c r="L653" s="1"/>
    </row>
    <row r="654" ht="15.75" customHeight="1">
      <c r="J654" s="1"/>
      <c r="L654" s="1"/>
    </row>
    <row r="655" ht="15.75" customHeight="1">
      <c r="J655" s="1"/>
      <c r="L655" s="1"/>
    </row>
    <row r="656" ht="15.75" customHeight="1">
      <c r="J656" s="1"/>
      <c r="L656" s="1"/>
    </row>
    <row r="657" ht="15.75" customHeight="1">
      <c r="J657" s="1"/>
      <c r="L657" s="1"/>
    </row>
    <row r="658" ht="15.75" customHeight="1">
      <c r="J658" s="1"/>
      <c r="L658" s="1"/>
    </row>
    <row r="659" ht="15.75" customHeight="1">
      <c r="J659" s="1"/>
      <c r="L659" s="1"/>
    </row>
    <row r="660" ht="15.75" customHeight="1">
      <c r="J660" s="1"/>
      <c r="L660" s="1"/>
    </row>
    <row r="661" ht="15.75" customHeight="1">
      <c r="J661" s="1"/>
      <c r="L661" s="1"/>
    </row>
    <row r="662" ht="15.75" customHeight="1">
      <c r="J662" s="1"/>
      <c r="L662" s="1"/>
    </row>
    <row r="663" ht="15.75" customHeight="1">
      <c r="J663" s="1"/>
      <c r="L663" s="1"/>
    </row>
    <row r="664" ht="15.75" customHeight="1">
      <c r="J664" s="1"/>
      <c r="L664" s="1"/>
    </row>
    <row r="665" ht="15.75" customHeight="1">
      <c r="J665" s="1"/>
      <c r="L665" s="1"/>
    </row>
    <row r="666" ht="15.75" customHeight="1">
      <c r="J666" s="1"/>
      <c r="L666" s="1"/>
    </row>
    <row r="667" ht="15.75" customHeight="1">
      <c r="J667" s="1"/>
      <c r="L667" s="1"/>
    </row>
    <row r="668" ht="15.75" customHeight="1">
      <c r="J668" s="1"/>
      <c r="L668" s="1"/>
    </row>
    <row r="669" ht="15.75" customHeight="1">
      <c r="J669" s="1"/>
      <c r="L669" s="1"/>
    </row>
    <row r="670" ht="15.75" customHeight="1">
      <c r="J670" s="1"/>
      <c r="L670" s="1"/>
    </row>
    <row r="671" ht="15.75" customHeight="1">
      <c r="J671" s="1"/>
      <c r="L671" s="1"/>
    </row>
    <row r="672" ht="15.75" customHeight="1">
      <c r="J672" s="1"/>
      <c r="L672" s="1"/>
    </row>
    <row r="673" ht="15.75" customHeight="1">
      <c r="J673" s="1"/>
      <c r="L673" s="1"/>
    </row>
    <row r="674" ht="15.75" customHeight="1">
      <c r="J674" s="1"/>
      <c r="L674" s="1"/>
    </row>
    <row r="675" ht="15.75" customHeight="1">
      <c r="J675" s="1"/>
      <c r="L675" s="1"/>
    </row>
    <row r="676" ht="15.75" customHeight="1">
      <c r="J676" s="1"/>
      <c r="L676" s="1"/>
    </row>
    <row r="677" ht="15.75" customHeight="1">
      <c r="J677" s="1"/>
      <c r="L677" s="1"/>
    </row>
    <row r="678" ht="15.75" customHeight="1">
      <c r="J678" s="1"/>
      <c r="L678" s="1"/>
    </row>
    <row r="679" ht="15.75" customHeight="1">
      <c r="J679" s="1"/>
      <c r="L679" s="1"/>
    </row>
    <row r="680" ht="15.75" customHeight="1">
      <c r="J680" s="1"/>
      <c r="L680" s="1"/>
    </row>
    <row r="681" ht="15.75" customHeight="1">
      <c r="J681" s="1"/>
      <c r="L681" s="1"/>
    </row>
    <row r="682" ht="15.75" customHeight="1">
      <c r="J682" s="1"/>
      <c r="L682" s="1"/>
    </row>
    <row r="683" ht="15.75" customHeight="1">
      <c r="J683" s="1"/>
      <c r="L683" s="1"/>
    </row>
    <row r="684" ht="15.75" customHeight="1">
      <c r="J684" s="1"/>
      <c r="L684" s="1"/>
    </row>
    <row r="685" ht="15.75" customHeight="1">
      <c r="J685" s="1"/>
      <c r="L685" s="1"/>
    </row>
    <row r="686" ht="15.75" customHeight="1">
      <c r="J686" s="1"/>
      <c r="L686" s="1"/>
    </row>
    <row r="687" ht="15.75" customHeight="1">
      <c r="J687" s="1"/>
      <c r="L687" s="1"/>
    </row>
    <row r="688" ht="15.75" customHeight="1">
      <c r="J688" s="1"/>
      <c r="L688" s="1"/>
    </row>
    <row r="689" ht="15.75" customHeight="1">
      <c r="J689" s="1"/>
      <c r="L689" s="1"/>
    </row>
    <row r="690" ht="15.75" customHeight="1">
      <c r="J690" s="1"/>
      <c r="L690" s="1"/>
    </row>
    <row r="691" ht="15.75" customHeight="1">
      <c r="J691" s="1"/>
      <c r="L691" s="1"/>
    </row>
    <row r="692" ht="15.75" customHeight="1">
      <c r="J692" s="1"/>
      <c r="L692" s="1"/>
    </row>
    <row r="693" ht="15.75" customHeight="1">
      <c r="J693" s="1"/>
      <c r="L693" s="1"/>
    </row>
    <row r="694" ht="15.75" customHeight="1">
      <c r="J694" s="1"/>
      <c r="L694" s="1"/>
    </row>
    <row r="695" ht="15.75" customHeight="1">
      <c r="J695" s="1"/>
      <c r="L695" s="1"/>
    </row>
    <row r="696" ht="15.75" customHeight="1">
      <c r="J696" s="1"/>
      <c r="L696" s="1"/>
    </row>
    <row r="697" ht="15.75" customHeight="1">
      <c r="J697" s="1"/>
      <c r="L697" s="1"/>
    </row>
    <row r="698" ht="15.75" customHeight="1">
      <c r="J698" s="1"/>
      <c r="L698" s="1"/>
    </row>
    <row r="699" ht="15.75" customHeight="1">
      <c r="J699" s="1"/>
      <c r="L699" s="1"/>
    </row>
    <row r="700" ht="15.75" customHeight="1">
      <c r="J700" s="1"/>
      <c r="L700" s="1"/>
    </row>
    <row r="701" ht="15.75" customHeight="1">
      <c r="J701" s="1"/>
      <c r="L701" s="1"/>
    </row>
    <row r="702" ht="15.75" customHeight="1">
      <c r="J702" s="1"/>
      <c r="L702" s="1"/>
    </row>
    <row r="703" ht="15.75" customHeight="1">
      <c r="J703" s="1"/>
      <c r="L703" s="1"/>
    </row>
    <row r="704" ht="15.75" customHeight="1">
      <c r="J704" s="1"/>
      <c r="L704" s="1"/>
    </row>
    <row r="705" ht="15.75" customHeight="1">
      <c r="J705" s="1"/>
      <c r="L705" s="1"/>
    </row>
    <row r="706" ht="15.75" customHeight="1">
      <c r="J706" s="1"/>
      <c r="L706" s="1"/>
    </row>
    <row r="707" ht="15.75" customHeight="1">
      <c r="J707" s="1"/>
      <c r="L707" s="1"/>
    </row>
    <row r="708" ht="15.75" customHeight="1">
      <c r="J708" s="1"/>
      <c r="L708" s="1"/>
    </row>
    <row r="709" ht="15.75" customHeight="1">
      <c r="J709" s="1"/>
      <c r="L709" s="1"/>
    </row>
    <row r="710" ht="15.75" customHeight="1">
      <c r="J710" s="1"/>
      <c r="L710" s="1"/>
    </row>
    <row r="711" ht="15.75" customHeight="1">
      <c r="J711" s="1"/>
      <c r="L711" s="1"/>
    </row>
    <row r="712" ht="15.75" customHeight="1">
      <c r="J712" s="1"/>
      <c r="L712" s="1"/>
    </row>
    <row r="713" ht="15.75" customHeight="1">
      <c r="J713" s="1"/>
      <c r="L713" s="1"/>
    </row>
    <row r="714" ht="15.75" customHeight="1">
      <c r="J714" s="1"/>
      <c r="L714" s="1"/>
    </row>
    <row r="715" ht="15.75" customHeight="1">
      <c r="J715" s="1"/>
      <c r="L715" s="1"/>
    </row>
    <row r="716" ht="15.75" customHeight="1">
      <c r="J716" s="1"/>
      <c r="L716" s="1"/>
    </row>
    <row r="717" ht="15.75" customHeight="1">
      <c r="J717" s="1"/>
      <c r="L717" s="1"/>
    </row>
    <row r="718" ht="15.75" customHeight="1">
      <c r="J718" s="1"/>
      <c r="L718" s="1"/>
    </row>
    <row r="719" ht="15.75" customHeight="1">
      <c r="J719" s="1"/>
      <c r="L719" s="1"/>
    </row>
    <row r="720" ht="15.75" customHeight="1">
      <c r="J720" s="1"/>
      <c r="L720" s="1"/>
    </row>
    <row r="721" ht="15.75" customHeight="1">
      <c r="J721" s="1"/>
      <c r="L721" s="1"/>
    </row>
    <row r="722" ht="15.75" customHeight="1">
      <c r="J722" s="1"/>
      <c r="L722" s="1"/>
    </row>
    <row r="723" ht="15.75" customHeight="1">
      <c r="J723" s="1"/>
      <c r="L723" s="1"/>
    </row>
    <row r="724" ht="15.75" customHeight="1">
      <c r="J724" s="1"/>
      <c r="L724" s="1"/>
    </row>
    <row r="725" ht="15.75" customHeight="1">
      <c r="J725" s="1"/>
      <c r="L725" s="1"/>
    </row>
    <row r="726" ht="15.75" customHeight="1">
      <c r="J726" s="1"/>
      <c r="L726" s="1"/>
    </row>
    <row r="727" ht="15.75" customHeight="1">
      <c r="J727" s="1"/>
      <c r="L727" s="1"/>
    </row>
    <row r="728" ht="15.75" customHeight="1">
      <c r="J728" s="1"/>
      <c r="L728" s="1"/>
    </row>
    <row r="729" ht="15.75" customHeight="1">
      <c r="J729" s="1"/>
      <c r="L729" s="1"/>
    </row>
    <row r="730" ht="15.75" customHeight="1">
      <c r="J730" s="1"/>
      <c r="L730" s="1"/>
    </row>
    <row r="731" ht="15.75" customHeight="1">
      <c r="J731" s="1"/>
      <c r="L731" s="1"/>
    </row>
    <row r="732" ht="15.75" customHeight="1">
      <c r="J732" s="1"/>
      <c r="L732" s="1"/>
    </row>
    <row r="733" ht="15.75" customHeight="1">
      <c r="J733" s="1"/>
      <c r="L733" s="1"/>
    </row>
    <row r="734" ht="15.75" customHeight="1">
      <c r="J734" s="1"/>
      <c r="L734" s="1"/>
    </row>
    <row r="735" ht="15.75" customHeight="1">
      <c r="J735" s="1"/>
      <c r="L735" s="1"/>
    </row>
    <row r="736" ht="15.75" customHeight="1">
      <c r="J736" s="1"/>
      <c r="L736" s="1"/>
    </row>
    <row r="737" ht="15.75" customHeight="1">
      <c r="J737" s="1"/>
      <c r="L737" s="1"/>
    </row>
    <row r="738" ht="15.75" customHeight="1">
      <c r="J738" s="1"/>
      <c r="L738" s="1"/>
    </row>
    <row r="739" ht="15.75" customHeight="1">
      <c r="J739" s="1"/>
      <c r="L739" s="1"/>
    </row>
    <row r="740" ht="15.75" customHeight="1">
      <c r="J740" s="1"/>
      <c r="L740" s="1"/>
    </row>
    <row r="741" ht="15.75" customHeight="1">
      <c r="J741" s="1"/>
      <c r="L741" s="1"/>
    </row>
    <row r="742" ht="15.75" customHeight="1">
      <c r="J742" s="1"/>
      <c r="L742" s="1"/>
    </row>
    <row r="743" ht="15.75" customHeight="1">
      <c r="J743" s="1"/>
      <c r="L743" s="1"/>
    </row>
    <row r="744" ht="15.75" customHeight="1">
      <c r="J744" s="1"/>
      <c r="L744" s="1"/>
    </row>
    <row r="745" ht="15.75" customHeight="1">
      <c r="J745" s="1"/>
      <c r="L745" s="1"/>
    </row>
    <row r="746" ht="15.75" customHeight="1">
      <c r="J746" s="1"/>
      <c r="L746" s="1"/>
    </row>
    <row r="747" ht="15.75" customHeight="1">
      <c r="J747" s="1"/>
      <c r="L747" s="1"/>
    </row>
    <row r="748" ht="15.75" customHeight="1">
      <c r="J748" s="1"/>
      <c r="L748" s="1"/>
    </row>
    <row r="749" ht="15.75" customHeight="1">
      <c r="J749" s="1"/>
      <c r="L749" s="1"/>
    </row>
    <row r="750" ht="15.75" customHeight="1">
      <c r="J750" s="1"/>
      <c r="L750" s="1"/>
    </row>
    <row r="751" ht="15.75" customHeight="1">
      <c r="J751" s="1"/>
      <c r="L751" s="1"/>
    </row>
    <row r="752" ht="15.75" customHeight="1">
      <c r="J752" s="1"/>
      <c r="L752" s="1"/>
    </row>
    <row r="753" ht="15.75" customHeight="1">
      <c r="J753" s="1"/>
      <c r="L753" s="1"/>
    </row>
    <row r="754" ht="15.75" customHeight="1">
      <c r="J754" s="1"/>
      <c r="L754" s="1"/>
    </row>
    <row r="755" ht="15.75" customHeight="1">
      <c r="J755" s="1"/>
      <c r="L755" s="1"/>
    </row>
    <row r="756" ht="15.75" customHeight="1">
      <c r="J756" s="1"/>
      <c r="L756" s="1"/>
    </row>
    <row r="757" ht="15.75" customHeight="1">
      <c r="J757" s="1"/>
      <c r="L757" s="1"/>
    </row>
    <row r="758" ht="15.75" customHeight="1">
      <c r="J758" s="1"/>
      <c r="L758" s="1"/>
    </row>
    <row r="759" ht="15.75" customHeight="1">
      <c r="J759" s="1"/>
      <c r="L759" s="1"/>
    </row>
    <row r="760" ht="15.75" customHeight="1">
      <c r="J760" s="1"/>
      <c r="L760" s="1"/>
    </row>
    <row r="761" ht="15.75" customHeight="1">
      <c r="J761" s="1"/>
      <c r="L761" s="1"/>
    </row>
    <row r="762" ht="15.75" customHeight="1">
      <c r="J762" s="1"/>
      <c r="L762" s="1"/>
    </row>
    <row r="763" ht="15.75" customHeight="1">
      <c r="J763" s="1"/>
      <c r="L763" s="1"/>
    </row>
    <row r="764" ht="15.75" customHeight="1">
      <c r="J764" s="1"/>
      <c r="L764" s="1"/>
    </row>
    <row r="765" ht="15.75" customHeight="1">
      <c r="J765" s="1"/>
      <c r="L765" s="1"/>
    </row>
    <row r="766" ht="15.75" customHeight="1">
      <c r="J766" s="1"/>
      <c r="L766" s="1"/>
    </row>
    <row r="767" ht="15.75" customHeight="1">
      <c r="J767" s="1"/>
      <c r="L767" s="1"/>
    </row>
    <row r="768" ht="15.75" customHeight="1">
      <c r="J768" s="1"/>
      <c r="L768" s="1"/>
    </row>
    <row r="769" ht="15.75" customHeight="1">
      <c r="J769" s="1"/>
      <c r="L769" s="1"/>
    </row>
    <row r="770" ht="15.75" customHeight="1">
      <c r="J770" s="1"/>
      <c r="L770" s="1"/>
    </row>
    <row r="771" ht="15.75" customHeight="1">
      <c r="J771" s="1"/>
      <c r="L771" s="1"/>
    </row>
    <row r="772" ht="15.75" customHeight="1">
      <c r="J772" s="1"/>
      <c r="L772" s="1"/>
    </row>
    <row r="773" ht="15.75" customHeight="1">
      <c r="J773" s="1"/>
      <c r="L773" s="1"/>
    </row>
    <row r="774" ht="15.75" customHeight="1">
      <c r="J774" s="1"/>
      <c r="L774" s="1"/>
    </row>
    <row r="775" ht="15.75" customHeight="1">
      <c r="J775" s="1"/>
      <c r="L775" s="1"/>
    </row>
    <row r="776" ht="15.75" customHeight="1">
      <c r="J776" s="1"/>
      <c r="L776" s="1"/>
    </row>
    <row r="777" ht="15.75" customHeight="1">
      <c r="J777" s="1"/>
      <c r="L777" s="1"/>
    </row>
    <row r="778" ht="15.75" customHeight="1">
      <c r="J778" s="1"/>
      <c r="L778" s="1"/>
    </row>
    <row r="779" ht="15.75" customHeight="1">
      <c r="J779" s="1"/>
      <c r="L779" s="1"/>
    </row>
    <row r="780" ht="15.75" customHeight="1">
      <c r="J780" s="1"/>
      <c r="L780" s="1"/>
    </row>
    <row r="781" ht="15.75" customHeight="1">
      <c r="J781" s="1"/>
      <c r="L781" s="1"/>
    </row>
    <row r="782" ht="15.75" customHeight="1">
      <c r="J782" s="1"/>
      <c r="L782" s="1"/>
    </row>
    <row r="783" ht="15.75" customHeight="1">
      <c r="J783" s="1"/>
      <c r="L783" s="1"/>
    </row>
    <row r="784" ht="15.75" customHeight="1">
      <c r="J784" s="1"/>
      <c r="L784" s="1"/>
    </row>
    <row r="785" ht="15.75" customHeight="1">
      <c r="J785" s="1"/>
      <c r="L785" s="1"/>
    </row>
    <row r="786" ht="15.75" customHeight="1">
      <c r="J786" s="1"/>
      <c r="L786" s="1"/>
    </row>
    <row r="787" ht="15.75" customHeight="1">
      <c r="J787" s="1"/>
      <c r="L787" s="1"/>
    </row>
    <row r="788" ht="15.75" customHeight="1">
      <c r="J788" s="1"/>
      <c r="L788" s="1"/>
    </row>
    <row r="789" ht="15.75" customHeight="1">
      <c r="J789" s="1"/>
      <c r="L789" s="1"/>
    </row>
    <row r="790" ht="15.75" customHeight="1">
      <c r="J790" s="1"/>
      <c r="L790" s="1"/>
    </row>
    <row r="791" ht="15.75" customHeight="1">
      <c r="J791" s="1"/>
      <c r="L791" s="1"/>
    </row>
    <row r="792" ht="15.75" customHeight="1">
      <c r="J792" s="1"/>
      <c r="L792" s="1"/>
    </row>
    <row r="793" ht="15.75" customHeight="1">
      <c r="J793" s="1"/>
      <c r="L793" s="1"/>
    </row>
    <row r="794" ht="15.75" customHeight="1">
      <c r="J794" s="1"/>
      <c r="L794" s="1"/>
    </row>
    <row r="795" ht="15.75" customHeight="1">
      <c r="J795" s="1"/>
      <c r="L795" s="1"/>
    </row>
    <row r="796" ht="15.75" customHeight="1">
      <c r="J796" s="1"/>
      <c r="L796" s="1"/>
    </row>
    <row r="797" ht="15.75" customHeight="1">
      <c r="J797" s="1"/>
      <c r="L797" s="1"/>
    </row>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dataValidations>
    <dataValidation type="list" allowBlank="1" sqref="L4:L797">
      <formula1>COLORES</formula1>
    </dataValidation>
    <dataValidation type="list" allowBlank="1" sqref="J4:J797">
      <formula1>"TRUE,FALSE"</formula1>
    </dataValidation>
  </dataValidations>
  <printOptions/>
  <pageMargins bottom="0.75" footer="0.0" header="0.0" left="0.7" right="0.7" top="0.75"/>
  <pageSetup orientation="landscape"/>
  <drawing r:id="rId2"/>
  <legacyDrawing r:id="rId3"/>
</worksheet>
</file>