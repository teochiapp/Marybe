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<sst xmlns="http://schemas.openxmlformats.org/spreadsheetml/2006/main" count="5774" uniqueCount="1527">
  <si>
    <t>📦 MARYBE — Exportación de Productos (28/7/2026)</t>
  </si>
  <si>
    <t>⚠ Exportación generada el 28/7/2026, 06:06:09 — 218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</si>
  <si>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</si>
  <si>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</si>
  <si>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</si>
  <si>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</si>
  <si>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</si>
  <si>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</si>
  <si>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</si>
  <si>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</si>
  <si>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</si>
  <si>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</si>
  <si>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</si>
  <si>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</si>
  <si>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</si>
  <si>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</si>
  <si>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</si>
  <si>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</si>
  <si>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</si>
  <si>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</si>
  <si>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</si>
  <si>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</si>
  <si>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</si>
  <si>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</si>
  <si>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</si>
  <si>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</si>
  <si>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</si>
  <si>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</si>
  <si>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</si>
  <si>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</si>
  <si>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</si>
  <si>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</si>
  <si>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</si>
  <si>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</si>
  <si>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</si>
  <si>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</si>
  <si>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</si>
  <si>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</si>
  <si>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</si>
  <si>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</si>
  <si>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</si>
  <si>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</si>
  <si>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</si>
  <si>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</si>
  <si>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</si>
  <si>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</si>
  <si>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</si>
  <si>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</si>
  <si>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</si>
  <si>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</si>
  <si>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</si>
  <si>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</si>
  <si>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</si>
  <si>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</si>
  <si>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</si>
  <si>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</si>
  <si>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</si>
  <si>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</si>
  <si>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</si>
  <si>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</si>
  <si>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</si>
  <si>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</si>
  <si>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</si>
  <si>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</si>
  <si>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</si>
  <si>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</si>
  <si>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</si>
  <si>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</si>
  <si>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</si>
  <si>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</si>
  <si>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</si>
  <si>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</si>
  <si>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</si>
  <si>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</si>
  <si>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</si>
  <si>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</si>
  <si>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</si>
  <si>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</si>
  <si>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</si>
  <si>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</si>
  <si>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</si>
  <si>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</si>
  <si>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</si>
  <si>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</si>
  <si>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</si>
  <si>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</si>
  <si>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</si>
  <si>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</si>
  <si>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</si>
  <si>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</si>
  <si>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</si>
  <si>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</si>
  <si>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</si>
  <si>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</si>
  <si>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</si>
  <si>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</si>
  <si>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</si>
  <si>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</si>
  <si>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</si>
  <si>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</si>
  <si>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</si>
  <si>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</si>
  <si>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</si>
  <si>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</si>
  <si>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</si>
  <si>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</si>
  <si>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</si>
  <si>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</si>
  <si>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</si>
  <si>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</si>
  <si>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</si>
  <si>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</si>
  <si>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</si>
  <si>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</si>
  <si>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</si>
  <si>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</si>
  <si>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</si>
  <si>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</si>
  <si>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</si>
  <si>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</si>
  <si>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</si>
  <si>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</si>
  <si>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</si>
  <si>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</si>
  <si>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</si>
  <si>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</si>
  <si>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</si>
  <si>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</si>
  <si>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</si>
  <si>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</si>
  <si>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</si>
  <si>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</si>
  <si>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</si>
  <si>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</si>
  <si>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</si>
  <si>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</si>
  <si>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</si>
  <si>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</si>
  <si>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</si>
  <si>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</si>
  <si>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</si>
  <si>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</si>
  <si>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</si>
  <si>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</si>
  <si>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</si>
  <si>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</si>
  <si>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</si>
  <si>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</si>
  <si>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</si>
  <si>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</si>
  <si>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</si>
  <si>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</si>
  <si>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</si>
  <si>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</si>
  <si>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</si>
  <si>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</si>
  <si>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</si>
  <si>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</si>
  <si>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</si>
  <si>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</si>
  <si>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</si>
  <si>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</si>
  <si>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</si>
  <si>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</si>
  <si>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</si>
  <si>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</si>
  <si>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</si>
  <si>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</si>
  <si>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</si>
  <si>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</si>
  <si>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</si>
  <si>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</si>
  <si>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</si>
  <si>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</si>
  <si>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</si>
  <si>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</si>
  <si>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</si>
  <si>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</si>
  <si>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</si>
  <si>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</si>
  <si>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</si>
  <si>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</si>
  <si>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</si>
  <si>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</si>
  <si>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</si>
  <si>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</si>
  <si>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</si>
  <si>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</si>
  <si>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</si>
  <si>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</si>
  <si>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</si>
  <si>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</si>
  <si>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</si>
  <si>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</si>
  <si>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</si>
  <si>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</si>
  <si>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</si>
  <si>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</si>
  <si>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</si>
  <si>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</si>
  <si>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</si>
  <si>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</si>
  <si>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</si>
  <si>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</si>
  <si>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</si>
  <si>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</si>
  <si>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</si>
  <si>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</si>
  <si>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</si>
  <si>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</si>
  <si>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</si>
  <si>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</si>
  <si>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</si>
  <si>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</si>
  <si>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</si>
  <si>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</si>
  <si>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</si>
  <si>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</si>
  <si>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</si>
  <si>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</si>
  <si>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</si>
  <si>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</si>
  <si>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</si>
  <si>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</si>
  <si>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</si>
  <si>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</si>
  <si>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</si>
  <si>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</si>
  <si>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</si>
  <si>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</si>
  <si>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</si>
  <si>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</si>
  <si>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</si>
  <si>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</si>
  <si>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</si>
  <si>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</si>
  <si>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</si>
  <si>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</si>
  <si>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</si>
  <si>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</si>
  <si>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</si>
  <si>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</si>
  <si>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</si>
  <si>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</si>
  <si>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</si>
  <si>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</si>
  <si>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</si>
  <si>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</si>
  <si>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</si>
  <si>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</si>
  <si>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</si>
  <si>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</si>
  <si>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</si>
  <si>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</si>
  <si>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</si>
  <si>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</si>
  <si>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</si>
  <si>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</si>
  <si>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</si>
  <si>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</si>
  <si>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</si>
  <si>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</si>
  <si>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</si>
  <si>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</si>
  <si>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</si>
  <si>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</si>
  <si>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</si>
  <si>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</si>
  <si>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</si>
  <si>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</si>
  <si>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</si>
  <si>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</si>
  <si>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</si>
  <si>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</si>
  <si>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</si>
  <si>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</si>
  <si>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</si>
  <si>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</si>
  <si>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</si>
  <si>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</si>
  <si>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</si>
  <si>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</si>
  <si>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</si>
  <si>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</si>
  <si>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</si>
  <si>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</si>
  <si>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</si>
  <si>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</si>
  <si>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</si>
  <si>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</si>
  <si>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</si>
  <si>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</si>
  <si>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</si>
  <si>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</si>
  <si>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</si>
  <si>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</si>
  <si>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</si>
  <si>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</si>
  <si>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</si>
  <si>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</si>
  <si>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</si>
  <si>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</si>
  <si>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</si>
  <si>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</si>
  <si>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</si>
  <si>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</si>
  <si>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</si>
  <si>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</si>
  <si>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</si>
  <si>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</si>
  <si>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</si>
  <si>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</si>
  <si>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</si>
  <si>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</si>
  <si>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</si>
  <si>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</si>
  <si>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</si>
  <si>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</si>
  <si>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</si>
  <si>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</si>
  <si>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</si>
  <si>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</si>
  <si>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</si>
  <si>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</si>
  <si>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</si>
  <si>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</si>
  <si>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</si>
  <si>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</si>
  <si>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</si>
  <si>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</si>
  <si>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</si>
  <si>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</si>
  <si>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</si>
  <si>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</si>
  <si>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</si>
  <si>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</si>
  <si>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</si>
  <si>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</si>
  <si>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</si>
  <si>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</si>
  <si>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</si>
  <si>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</si>
  <si>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</si>
  <si>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</si>
  <si>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</si>
  <si>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</si>
  <si>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</si>
  <si>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</si>
  <si>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</si>
  <si>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</si>
  <si>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</si>
  <si>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</si>
  <si>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</si>
  <si>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</si>
  <si>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</si>
  <si>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</si>
  <si>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</si>
  <si>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</si>
  <si>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</si>
  <si>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</si>
  <si>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</si>
  <si>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</si>
  <si>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</si>
  <si>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</si>
  <si>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</si>
  <si>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</si>
  <si>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</si>
  <si>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</si>
  <si>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</si>
  <si>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</si>
  <si>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</si>
  <si>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</si>
  <si>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</si>
  <si>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</si>
  <si>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</si>
  <si>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</si>
  <si>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</si>
  <si>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</si>
  <si>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</si>
  <si>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</si>
  <si>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</si>
  <si>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</si>
  <si>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</si>
  <si>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</si>
  <si>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</si>
  <si>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</si>
  <si>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</si>
  <si>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</si>
  <si>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</si>
  <si>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</si>
  <si>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</si>
  <si>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</si>
  <si>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</si>
  <si>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</si>
  <si>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</si>
  <si>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</si>
  <si>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</si>
  <si>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</si>
  <si>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</si>
  <si>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</si>
  <si>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</si>
  <si>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</si>
  <si>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</si>
  <si>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</si>
  <si>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</si>
  <si>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</si>
  <si>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</si>
  <si>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</si>
  <si>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</si>
  <si>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</si>
  <si>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</si>
  <si>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</si>
  <si>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</si>
  <si>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</si>
  <si>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</si>
  <si>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</si>
  <si>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</si>
  <si>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</si>
  <si>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</si>
  <si>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</si>
  <si>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</si>
  <si>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</si>
  <si>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</si>
  <si>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</si>
  <si>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</si>
  <si>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</si>
  <si>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</si>
  <si>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</si>
  <si>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</si>
  <si>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</si>
  <si>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</si>
  <si>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</si>
  <si>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</si>
  <si>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</si>
  <si>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</si>
  <si>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</si>
  <si>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</si>
  <si>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</si>
  <si>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</si>
  <si>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</si>
  <si>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</si>
  <si>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</si>
  <si>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</si>
  <si>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</si>
  <si>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</si>
  <si>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</si>
  <si>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</si>
  <si>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</si>
  <si>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</si>
  <si>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</si>
  <si>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</si>
  <si>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</si>
  <si>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</si>
  <si>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</si>
  <si>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</si>
  <si>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</si>
  <si>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</si>
  <si>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</si>
  <si>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</si>
  <si>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</si>
  <si>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</si>
  <si>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</si>
  <si>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</si>
  <si>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</si>
  <si>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</si>
  <si>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</si>
  <si>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</si>
  <si>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</si>
  <si>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</si>
  <si>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</si>
  <si>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</si>
  <si>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</si>
  <si>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</si>
  <si>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</si>
  <si>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</si>
  <si>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</si>
  <si>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</si>
  <si>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</si>
  <si>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</si>
  <si>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</si>
  <si>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</si>
  <si>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</si>
  <si>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</si>
  <si>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</si>
  <si>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</si>
  <si>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</si>
  <si>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</si>
  <si>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</si>
  <si>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</si>
  <si>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</si>
  <si>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</si>
  <si>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</si>
  <si>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</si>
  <si>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</si>
  <si>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</si>
  <si>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</si>
  <si>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</si>
  <si>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</si>
  <si>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</si>
  <si>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</si>
  <si>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</si>
  <si>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</si>
  <si>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</si>
  <si>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</si>
  <si>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</si>
  <si>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</si>
  <si>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</si>
  <si>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</si>
  <si>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</si>
  <si>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</si>
  <si>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</si>
  <si>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</si>
  <si>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</si>
  <si>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</si>
  <si>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</si>
  <si>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</si>
  <si>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</si>
  <si>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</si>
  <si>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</si>
  <si>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</si>
  <si>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</si>
  <si>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</si>
  <si>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</si>
  <si>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</si>
  <si>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</si>
  <si>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</si>
  <si>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</si>
  <si>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</si>
  <si>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</si>
  <si>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</si>
  <si>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</si>
  <si>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</si>
  <si>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4907</t>
  </si>
  <si>
    <t>309970126476</t>
  </si>
  <si>
    <t>REVLON SO FIERCE BIG BAD LASH MASCARA</t>
  </si>
  <si>
    <t xml:space="preserve">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</si>
  <si>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4908</t>
  </si>
  <si>
    <t>309970126483</t>
  </si>
  <si>
    <t>REVLON SO FIERCE BIG BAD LASH WATHER PROOF</t>
  </si>
  <si>
    <t>4909</t>
  </si>
  <si>
    <t>309970211752</t>
  </si>
  <si>
    <t>REVLON COLORSTAY FULL TIME MASCARA MARRON</t>
  </si>
  <si>
    <t xml:space="preserve">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</si>
  <si>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</si>
  <si>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</si>
  <si>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REVLON COLORSTAY FULL TIME MASCARA NEGRO INTENSO</t>
  </si>
  <si>
    <t>4911</t>
  </si>
  <si>
    <t>309970211776</t>
  </si>
  <si>
    <t>REVLON COLORSTAY FULL TIME MASCARA NEGRO INTENSO WATHER PROOF</t>
  </si>
  <si>
    <t>4912</t>
  </si>
  <si>
    <t>309977563014</t>
  </si>
  <si>
    <t>REVLON SO FIERCE MASCARA BLACK</t>
  </si>
  <si>
    <t xml:space="preserve">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</si>
  <si>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4913</t>
  </si>
  <si>
    <t>309977563038</t>
  </si>
  <si>
    <t>REVLON SO FIERCE MASCARA BROWN</t>
  </si>
  <si>
    <t>4914</t>
  </si>
  <si>
    <t>REVLON MASC VOL LEN BLACK</t>
  </si>
  <si>
    <t>4915</t>
  </si>
  <si>
    <t>REVLON MASC VOLUMAZING</t>
  </si>
  <si>
    <t>4916</t>
  </si>
  <si>
    <t>309970194116</t>
  </si>
  <si>
    <t>REVLON COLORSTAY XTENSIONNAIRE MASCARA BLACK</t>
  </si>
  <si>
    <t xml:space="preserve">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</si>
  <si>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</si>
  <si>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309970194147</t>
  </si>
  <si>
    <t>REVLON COLORSTAY XTENSIONNAIRE MASCARA BLACK WATHER PROOF</t>
  </si>
  <si>
    <t>4918</t>
  </si>
  <si>
    <t>309970194130</t>
  </si>
  <si>
    <t>REVLON COLORSTAY XTENSIONNAIRE MASCARA BROWN</t>
  </si>
  <si>
    <t>4919</t>
  </si>
  <si>
    <t>REVLON MATTE LITE CRAYON 011 LIFTED</t>
  </si>
  <si>
    <t>4920</t>
  </si>
  <si>
    <t>REVLON MULTI PLAYER  DELINEADOR OJOS</t>
  </si>
  <si>
    <t>4921</t>
  </si>
  <si>
    <t>REVLON MULTI PLAYER 406 DELINEADOR OJOS</t>
  </si>
  <si>
    <t>4922</t>
  </si>
  <si>
    <t>309970169466</t>
  </si>
  <si>
    <t>REVLON SUPER LUSTROUS NAIL ENAMEL 570 VIXEN</t>
  </si>
  <si>
    <t>4923</t>
  </si>
  <si>
    <t>309970169411</t>
  </si>
  <si>
    <t>REVLON SUPER LUSTROUS NAIL ENAMEL</t>
  </si>
  <si>
    <t>4924</t>
  </si>
  <si>
    <t>309970039028</t>
  </si>
  <si>
    <t>REVLON COLORSTAY EYESHADOW PALETTE X 8 ENIGMA</t>
  </si>
  <si>
    <t>Tonos altamente pigmentados.</t>
  </si>
  <si>
    <t>4925</t>
  </si>
  <si>
    <t>309970039042</t>
  </si>
  <si>
    <t>REVLON COLORSTAY EYESHADOW PALETTE X 8 ORIGINAL</t>
  </si>
  <si>
    <t>Color intenso en una sola pasada.</t>
  </si>
  <si>
    <t>4926</t>
  </si>
  <si>
    <t>309970039011</t>
  </si>
  <si>
    <t>REVLON COLORSTAY EYESHADOW PALETTE X 8 MAVERICK</t>
  </si>
  <si>
    <t>Cada paleta incluye 8 tonos.</t>
  </si>
  <si>
    <t>4927</t>
  </si>
  <si>
    <t>309970039059</t>
  </si>
  <si>
    <t>REVLON COLORSTAY EYESHADOW PALETTE X 8 INSIDER</t>
  </si>
  <si>
    <t>Dura hasta por 24hs</t>
  </si>
  <si>
    <t>4928</t>
  </si>
  <si>
    <t>309970086640</t>
  </si>
  <si>
    <t>REVLON COLORSTAY EYESHADOW PALETTE X 8 DRAMER</t>
  </si>
  <si>
    <t>4929</t>
  </si>
  <si>
    <t>309970086633</t>
  </si>
  <si>
    <t>REVLON COLORSTAY EYESHADOW PALETTE X 8 ROCKER</t>
  </si>
  <si>
    <t>4930</t>
  </si>
  <si>
    <t>309970077921</t>
  </si>
  <si>
    <t>REVLON PHOTOREADY CONCEALER BARRA 02N</t>
  </si>
  <si>
    <t xml:space="preserve">Cobertura total e imperceptible
Los pigmentos fotocromáticos desvían y reflejan la luz para ayudar a eliminar todos los defectos</t>
  </si>
  <si>
    <t>4931</t>
  </si>
  <si>
    <t>REVLON PLUMPING LIP</t>
  </si>
  <si>
    <t>4932</t>
  </si>
  <si>
    <t>REVLON POLV BRON SKIN LIGHTS</t>
  </si>
  <si>
    <t>4933</t>
  </si>
  <si>
    <t>309974784146</t>
  </si>
  <si>
    <t>REVLON POWDER BLUSH</t>
  </si>
  <si>
    <t xml:space="preserve">Ultrafino y modulable, en tonos perfectos que se ven frescos todo el día.Brinda un toque de color natural a las mejillas
Destaca los pómulos al instante
Color graduable</t>
  </si>
  <si>
    <t>4934</t>
  </si>
  <si>
    <t>309974784191</t>
  </si>
  <si>
    <t>REVLON POWDER BLUSH 02 N</t>
  </si>
  <si>
    <t>4935</t>
  </si>
  <si>
    <t>REVLON PRIME PLUS BRIGTENING</t>
  </si>
  <si>
    <t>4936</t>
  </si>
  <si>
    <t>REVLON PRIME PLUS BRIGTENING NUEVO</t>
  </si>
  <si>
    <t>4937</t>
  </si>
  <si>
    <t>REVLON PRIME PLUS PERFECTING</t>
  </si>
  <si>
    <t>4938</t>
  </si>
  <si>
    <t>REVLON PRIMER ROSE GLOW</t>
  </si>
  <si>
    <t>4939</t>
  </si>
  <si>
    <t>309970075583</t>
  </si>
  <si>
    <t>REVLON ROLLER VOLCANIC OIL ABSORBING</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</si>
  <si>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</si>
  <si>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</si>
  <si>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</si>
  <si>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</si>
  <si>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</si>
  <si>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4941</t>
  </si>
  <si>
    <t>309970544430</t>
  </si>
  <si>
    <t>REVLON SACAPUNTAS DOBLE</t>
  </si>
  <si>
    <t>ACCESORIOS PERF</t>
  </si>
  <si>
    <t xml:space="preserve">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</si>
  <si>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4942</t>
  </si>
  <si>
    <t>REVLON SET DIA DE LA MADRE</t>
  </si>
  <si>
    <t>4943</t>
  </si>
  <si>
    <t>REVLON SET LIP COMBO</t>
  </si>
  <si>
    <t>4944</t>
  </si>
  <si>
    <t>REVLON SET MIRADA PERFECTA</t>
  </si>
  <si>
    <t>4945</t>
  </si>
  <si>
    <t>REVLON SET READY TO SHINE</t>
  </si>
  <si>
    <t>4946</t>
  </si>
  <si>
    <t>REVLON SET TUS INFALTABLES</t>
  </si>
  <si>
    <t>4947</t>
  </si>
  <si>
    <t>REVLON SIKIN AWAKEN 5 IN 1</t>
  </si>
  <si>
    <t>4948</t>
  </si>
  <si>
    <t>REVLON SKIN LIGH ILUM NACAR</t>
  </si>
  <si>
    <t>4949</t>
  </si>
  <si>
    <t>REVLON SO FIERCE BIG BAD MASCARA PESTANAS</t>
  </si>
  <si>
    <t>4950</t>
  </si>
  <si>
    <t>REVLON SO FIERCE MASCARA PESTANAS</t>
  </si>
  <si>
    <t>4951</t>
  </si>
  <si>
    <t>7790416018944</t>
  </si>
  <si>
    <t>REVLON SO FIERCE PRISMATIC EYESHADOW PALETTE</t>
  </si>
  <si>
    <t xml:space="preserve">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</si>
  <si>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4952</t>
  </si>
  <si>
    <t>309970116415</t>
  </si>
  <si>
    <t>REVLON SO FIERCE PRISMATIC EYESHADOW PALETTE BIG BANG</t>
  </si>
  <si>
    <t>4953</t>
  </si>
  <si>
    <t>309970116316</t>
  </si>
  <si>
    <t>REVLON SO FIERCE PRISMATIC EYESHADOW PALETTE DUB</t>
  </si>
  <si>
    <t>4954</t>
  </si>
  <si>
    <t>309970116392</t>
  </si>
  <si>
    <t>REVLON SO FIERCE PRISMATIC EYESHADOW PALETTE FULLY</t>
  </si>
  <si>
    <t>4955</t>
  </si>
  <si>
    <t>309970116330</t>
  </si>
  <si>
    <t>REVLON SO FIERCE PRISMATIC EYESHADOW PALETTE TANTRUM</t>
  </si>
  <si>
    <t>4956</t>
  </si>
  <si>
    <t>309978535010</t>
  </si>
  <si>
    <t>REVLON COLORSTAY DAY TO NIGHT EYESHADOW QUAD 500 ADDICTIVE</t>
  </si>
  <si>
    <t xml:space="preserve">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</si>
  <si>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</si>
  <si>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</si>
  <si>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</si>
  <si>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4958</t>
  </si>
  <si>
    <t>309978535072</t>
  </si>
  <si>
    <t>REVLON COLORSTAY DAY TO NIGHT EYESHADOW QUAD 530 SEDUCTIVE</t>
  </si>
  <si>
    <t>4959</t>
  </si>
  <si>
    <t>309970157289</t>
  </si>
  <si>
    <t>REVLON COLORSTAY DAY TO NIGHT EYESHADOW QUAD 560 STYLISH</t>
  </si>
  <si>
    <t>4960</t>
  </si>
  <si>
    <t>309970157296</t>
  </si>
  <si>
    <t>REVLON COLORSTAY DAY TO NIGHT EYESHADOW QUAD 565 PRETTY</t>
  </si>
  <si>
    <t>4961</t>
  </si>
  <si>
    <t>309970157302</t>
  </si>
  <si>
    <t>REVLON COLORSTAY DAY TO NIGHT EYESHADOW QUAD 570 STUNNING</t>
  </si>
  <si>
    <t>4962</t>
  </si>
  <si>
    <t>7790416020442</t>
  </si>
  <si>
    <t>REVLON SUPERLUSTROUS 006 REALLY RED</t>
  </si>
  <si>
    <t>4963</t>
  </si>
  <si>
    <t>309970136253</t>
  </si>
  <si>
    <t>REVLON ULTRA HD SNAP 002 MAKIN THE MOST</t>
  </si>
  <si>
    <t>4964</t>
  </si>
  <si>
    <t>309970139452</t>
  </si>
  <si>
    <t>REVLON ULTRA HD SNAP 013 BASIC</t>
  </si>
  <si>
    <t>4965</t>
  </si>
  <si>
    <t>309970139469</t>
  </si>
  <si>
    <t>REVLON ULTRA HD SNAP 014 RED AND REAL</t>
  </si>
  <si>
    <t>4966</t>
  </si>
  <si>
    <t>309970139483</t>
  </si>
  <si>
    <t>REVLON ULTRA HD SNAP 016 GET REAL</t>
  </si>
  <si>
    <t>4967</t>
  </si>
  <si>
    <t>309970223724</t>
  </si>
  <si>
    <t>RVLON ILUMINANCE GEL SERUM BLUSH POMO 110</t>
  </si>
  <si>
    <t>4968</t>
  </si>
  <si>
    <t>309976790039</t>
  </si>
  <si>
    <t>REVLON COLORSTAY EYE LINER BROWN</t>
  </si>
  <si>
    <t>4969</t>
  </si>
  <si>
    <t>309976790046</t>
  </si>
  <si>
    <t>REVLON COLORSTAY EYE LINER CHARCOAL</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</si>
  <si>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</si>
  <si>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</si>
  <si>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</si>
  <si>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</si>
  <si>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</si>
  <si>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</si>
  <si>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</si>
  <si>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</si>
  <si>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</si>
  <si>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</si>
  <si>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</si>
  <si>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</si>
  <si>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</si>
  <si>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</si>
  <si>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</si>
  <si>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</si>
  <si>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</si>
  <si>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</si>
  <si>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</si>
  <si>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</si>
  <si>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</si>
  <si>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</si>
  <si>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</si>
  <si>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</si>
  <si>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</si>
  <si>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</si>
  <si>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</si>
  <si>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</si>
  <si>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</si>
  <si>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</si>
  <si>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</si>
  <si>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</si>
  <si>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</si>
  <si>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</si>
  <si>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</si>
  <si>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</si>
  <si>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</si>
  <si>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</si>
  <si>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</si>
  <si>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</si>
  <si>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</si>
  <si>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</si>
  <si>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</si>
  <si>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</si>
  <si>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</si>
  <si>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</si>
  <si>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</si>
  <si>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</si>
  <si>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</si>
  <si>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</si>
  <si>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</si>
  <si>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</si>
  <si>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</si>
  <si>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</si>
  <si>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</si>
  <si>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</si>
  <si>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</si>
  <si>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</si>
  <si>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</si>
  <si>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</si>
  <si>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13926</t>
  </si>
  <si>
    <t>10 ml</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</si>
  <si>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</si>
  <si>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</si>
  <si>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</si>
  <si>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</si>
  <si>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</si>
  <si>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</si>
  <si>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</si>
  <si>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</si>
  <si>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</si>
  <si>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</si>
  <si>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</si>
  <si>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</si>
  <si>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</si>
  <si>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</si>
  <si>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</si>
  <si>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</si>
  <si>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</si>
  <si>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</si>
  <si>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</si>
  <si>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</si>
  <si>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</si>
  <si>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</si>
  <si>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</si>
  <si>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</si>
  <si>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</si>
  <si>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</si>
  <si>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</si>
  <si>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</si>
  <si>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</si>
  <si>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</si>
  <si>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</si>
  <si>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</si>
  <si>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</si>
  <si>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</si>
  <si>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</si>
  <si>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</si>
  <si>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</si>
  <si>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</si>
  <si>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</si>
  <si>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</si>
  <si>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</si>
  <si>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</si>
  <si>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</si>
  <si>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</si>
  <si>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</si>
  <si>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</si>
  <si>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</si>
  <si>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</si>
  <si>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</si>
  <si>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</si>
  <si>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</si>
  <si>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</si>
  <si>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</si>
  <si>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</si>
  <si>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</si>
  <si>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</si>
  <si>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</si>
  <si>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</si>
  <si>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</si>
  <si>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</si>
  <si>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</si>
  <si>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</si>
  <si>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</si>
  <si>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</si>
  <si>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</si>
  <si>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</si>
  <si>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</si>
  <si>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</si>
  <si>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</si>
  <si>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</si>
  <si>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</si>
  <si>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</si>
  <si>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</si>
  <si>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</si>
  <si>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</si>
  <si>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</si>
  <si>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</si>
  <si>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</si>
  <si>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</si>
  <si>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</si>
  <si>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</si>
  <si>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</si>
  <si>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</si>
  <si>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</si>
  <si>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</si>
  <si>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</si>
  <si>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</si>
  <si>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</si>
  <si>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</si>
  <si>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</si>
  <si>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</si>
  <si>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</si>
  <si>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</si>
  <si>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</si>
  <si>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</si>
  <si>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</si>
  <si>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</si>
  <si>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</si>
  <si>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</si>
  <si>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</si>
  <si>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</si>
  <si>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</si>
  <si>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</si>
  <si>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</si>
  <si>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</si>
  <si>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</si>
  <si>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</si>
  <si>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</si>
  <si>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</si>
  <si>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</si>
  <si>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</si>
  <si>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</si>
  <si>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</si>
  <si>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</si>
  <si>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</si>
  <si>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</si>
  <si>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</si>
  <si>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</si>
  <si>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</si>
  <si>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</si>
  <si>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</si>
  <si>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</si>
  <si>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</si>
  <si>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</si>
  <si>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</si>
  <si>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</si>
  <si>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</si>
  <si>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</si>
  <si>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</si>
  <si>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</si>
  <si>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</si>
  <si>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</si>
  <si>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</si>
  <si>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</si>
  <si>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</si>
  <si>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</si>
  <si>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</si>
  <si>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</si>
  <si>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</si>
  <si>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</si>
  <si>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</si>
  <si>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</si>
  <si>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</si>
  <si>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</si>
  <si>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</si>
  <si>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</si>
  <si>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</si>
  <si>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</si>
  <si>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</si>
  <si>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</si>
  <si>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</si>
  <si>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</si>
  <si>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</si>
  <si>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</si>
  <si>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</si>
  <si>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</si>
  <si>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</si>
  <si>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</si>
  <si>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</si>
  <si>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</si>
  <si>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</si>
  <si>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</si>
  <si>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</si>
  <si>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</si>
  <si>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</si>
  <si>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</si>
  <si>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</si>
  <si>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</si>
  <si>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</si>
  <si>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</si>
  <si>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</si>
  <si>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</si>
  <si>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</si>
  <si>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</si>
  <si>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</si>
  <si>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</si>
  <si>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</si>
  <si>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</si>
  <si>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</si>
  <si>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</si>
  <si>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</si>
  <si>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</si>
  <si>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</si>
  <si>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</si>
  <si>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</si>
  <si>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</si>
  <si>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</si>
  <si>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</si>
  <si>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</si>
  <si>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</si>
  <si>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</si>
  <si>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</si>
  <si>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</si>
  <si>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</si>
  <si>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</si>
  <si>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</si>
  <si>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</si>
  <si>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</si>
  <si>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</si>
  <si>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</si>
  <si>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</si>
  <si>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</si>
  <si>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</si>
  <si>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</si>
  <si>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</si>
  <si>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</si>
  <si>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</si>
  <si>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</si>
  <si>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</si>
  <si>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</si>
  <si>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</si>
  <si>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</si>
  <si>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</si>
  <si>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</si>
  <si>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</si>
  <si>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</si>
  <si>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</si>
  <si>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</si>
  <si>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</si>
  <si>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</si>
  <si>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</si>
  <si>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</si>
  <si>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</si>
  <si>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</si>
  <si>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</si>
  <si>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</si>
  <si>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</si>
  <si>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</si>
  <si>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</si>
  <si>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</si>
  <si>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</si>
  <si>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</si>
  <si>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</si>
  <si>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</si>
  <si>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</si>
  <si>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</si>
  <si>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</si>
  <si>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</si>
  <si>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</si>
  <si>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</si>
  <si>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</si>
  <si>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</si>
  <si>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</si>
  <si>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</si>
  <si>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</si>
  <si>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</si>
  <si>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</si>
  <si>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</si>
  <si>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</si>
  <si>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</si>
  <si>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</si>
  <si>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</si>
  <si>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</si>
  <si>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</si>
  <si>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</si>
  <si>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</si>
  <si>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</si>
  <si>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</si>
  <si>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</si>
  <si>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</si>
  <si>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</si>
  <si>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</si>
  <si>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</si>
  <si>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</si>
  <si>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</si>
  <si>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</si>
  <si>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14088</t>
  </si>
  <si>
    <t>14089</t>
  </si>
  <si>
    <t>309970278892</t>
  </si>
  <si>
    <t>14090</t>
  </si>
  <si>
    <t>309970278908</t>
  </si>
  <si>
    <t>14091</t>
  </si>
  <si>
    <t>309970278878</t>
  </si>
  <si>
    <t>14092</t>
  </si>
  <si>
    <t>309970278922</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</si>
  <si>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</si>
  <si>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</si>
  <si>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</si>
  <si>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</si>
  <si>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</si>
  <si>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</si>
  <si>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</si>
  <si>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</si>
  <si>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</si>
  <si>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</si>
  <si>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</si>
  <si>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</si>
  <si>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</si>
  <si>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</si>
  <si>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</si>
  <si>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</si>
  <si>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</si>
  <si>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</si>
  <si>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14106</t>
  </si>
  <si>
    <t>14107</t>
  </si>
  <si>
    <t>14109</t>
  </si>
  <si>
    <t>14110</t>
  </si>
  <si>
    <t>14112</t>
  </si>
  <si>
    <t>14113</t>
  </si>
  <si>
    <t>309970101428</t>
  </si>
  <si>
    <t>14114</t>
  </si>
  <si>
    <t>309970095802</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</si>
  <si>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</si>
  <si>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</si>
  <si>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</si>
  <si>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</si>
  <si>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</si>
  <si>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</si>
  <si>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</si>
  <si>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</si>
  <si>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</si>
  <si>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</si>
  <si>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</si>
  <si>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</si>
  <si>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</si>
  <si>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</si>
  <si>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</si>
  <si>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</si>
  <si>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</si>
  <si>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</si>
  <si>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</si>
  <si>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</si>
  <si>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</si>
  <si>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</si>
  <si>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</si>
  <si>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</si>
  <si>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</si>
  <si>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</si>
  <si>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</si>
  <si>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</si>
  <si>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</si>
  <si>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</si>
  <si>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</si>
  <si>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</si>
  <si>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</si>
  <si>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</si>
  <si>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</si>
  <si>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</si>
  <si>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</si>
  <si>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</si>
  <si>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</si>
  <si>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</si>
  <si>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</si>
  <si>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</si>
  <si>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</si>
  <si>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</si>
  <si>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</si>
  <si>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</si>
  <si>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</si>
  <si>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</si>
  <si>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</si>
  <si>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14146</t>
  </si>
  <si>
    <t>14147</t>
  </si>
  <si>
    <t>309970175146</t>
  </si>
  <si>
    <t>14148</t>
  </si>
  <si>
    <t>309970175177</t>
  </si>
  <si>
    <t>14149</t>
  </si>
  <si>
    <t>309970175184</t>
  </si>
  <si>
    <t>14152</t>
  </si>
  <si>
    <t>14153</t>
  </si>
  <si>
    <t>309970215118</t>
  </si>
  <si>
    <t>14154</t>
  </si>
  <si>
    <t>309970215125</t>
  </si>
  <si>
    <t>14155</t>
  </si>
  <si>
    <t>309970215132</t>
  </si>
  <si>
    <t>14156</t>
  </si>
  <si>
    <t>309970215149</t>
  </si>
  <si>
    <t>14157</t>
  </si>
  <si>
    <t>309970215156</t>
  </si>
  <si>
    <t>14184</t>
  </si>
  <si>
    <t>14185</t>
  </si>
  <si>
    <t>14186</t>
  </si>
  <si>
    <t>14187</t>
  </si>
  <si>
    <t>14188</t>
  </si>
  <si>
    <t>14189</t>
  </si>
  <si>
    <t>14190</t>
  </si>
  <si>
    <t>14191</t>
  </si>
  <si>
    <t>14192</t>
  </si>
  <si>
    <t>14193</t>
  </si>
  <si>
    <t>14194</t>
  </si>
  <si>
    <t>14198</t>
  </si>
  <si>
    <t>14199</t>
  </si>
  <si>
    <t>309970136420</t>
  </si>
  <si>
    <t>14200</t>
  </si>
  <si>
    <t>309970139506</t>
  </si>
  <si>
    <t>14201</t>
  </si>
  <si>
    <t>309970139568</t>
  </si>
  <si>
    <t>14202</t>
  </si>
  <si>
    <t>309970139582</t>
  </si>
  <si>
    <t>14203</t>
  </si>
  <si>
    <t>309970139605</t>
  </si>
  <si>
    <t>14204</t>
  </si>
  <si>
    <t>309970139612</t>
  </si>
  <si>
    <t>14207</t>
  </si>
  <si>
    <t>14208</t>
  </si>
  <si>
    <t>309970275716</t>
  </si>
  <si>
    <t>14209</t>
  </si>
  <si>
    <t>309970275723</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</si>
  <si>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</si>
  <si>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</si>
  <si>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</si>
  <si>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</si>
  <si>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</si>
  <si>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</si>
  <si>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</si>
  <si>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</si>
  <si>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</si>
  <si>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</si>
  <si>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</si>
  <si>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</si>
  <si>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</si>
  <si>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</si>
  <si>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</si>
  <si>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</si>
  <si>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</si>
  <si>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</si>
  <si>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</si>
  <si>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</si>
  <si>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</si>
  <si>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</si>
  <si>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</si>
  <si>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</si>
  <si>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</si>
  <si>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</si>
  <si>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</si>
  <si>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</si>
  <si>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</si>
  <si>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</si>
  <si>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</si>
  <si>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</si>
  <si>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</si>
  <si>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</si>
  <si>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</si>
  <si>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</si>
  <si>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</si>
  <si>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</si>
  <si>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</si>
  <si>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</si>
  <si>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</si>
  <si>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</si>
  <si>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</si>
  <si>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</si>
  <si>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</si>
  <si>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</si>
  <si>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</si>
  <si>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</si>
  <si>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</si>
  <si>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</si>
  <si>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</si>
  <si>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</si>
  <si>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14249</t>
  </si>
  <si>
    <t>14250</t>
  </si>
  <si>
    <t>309970225148</t>
  </si>
  <si>
    <t>14251</t>
  </si>
  <si>
    <t>309970225155</t>
  </si>
  <si>
    <t>14252</t>
  </si>
  <si>
    <t>309970225186</t>
  </si>
  <si>
    <t>14253</t>
  </si>
  <si>
    <t>309970225193</t>
  </si>
  <si>
    <t>14254</t>
  </si>
  <si>
    <t>14255</t>
  </si>
  <si>
    <t>309971879159</t>
  </si>
  <si>
    <t>14256</t>
  </si>
  <si>
    <t>309971879203</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</si>
  <si>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</si>
  <si>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</si>
  <si>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</si>
  <si>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</si>
  <si>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</si>
  <si>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</si>
  <si>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</si>
  <si>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</si>
  <si>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</si>
  <si>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</si>
  <si>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</si>
  <si>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</si>
  <si>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</si>
  <si>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</si>
  <si>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</si>
  <si>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</si>
  <si>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</si>
  <si>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</si>
  <si>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</si>
  <si>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</si>
  <si>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</si>
  <si>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</si>
  <si>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</si>
  <si>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</si>
  <si>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</si>
  <si>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</si>
  <si>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</si>
  <si>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</si>
  <si>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</si>
  <si>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</si>
  <si>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</si>
  <si>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</si>
  <si>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</si>
  <si>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</si>
  <si>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</si>
  <si>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</si>
  <si>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</si>
  <si>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</si>
  <si>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</si>
  <si>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</si>
  <si>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</si>
  <si>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</si>
  <si>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</si>
  <si>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</si>
  <si>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</si>
  <si>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</si>
  <si>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</si>
  <si>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</si>
  <si>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</si>
  <si>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</si>
  <si>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</si>
  <si>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</si>
  <si>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</si>
  <si>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</si>
  <si>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</si>
  <si>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</si>
  <si>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</si>
  <si>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</si>
  <si>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</si>
  <si>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</si>
  <si>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</si>
  <si>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</si>
  <si>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</si>
  <si>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</si>
  <si>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</si>
  <si>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</si>
  <si>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</si>
  <si>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</si>
  <si>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</si>
  <si>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</si>
  <si>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</si>
  <si>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</si>
  <si>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</si>
  <si>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</si>
  <si>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</si>
  <si>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</si>
  <si>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</si>
  <si>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</si>
  <si>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</si>
  <si>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</si>
  <si>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</si>
  <si>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</si>
  <si>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</si>
  <si>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</si>
  <si>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</si>
  <si>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</si>
  <si>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</si>
  <si>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</si>
  <si>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</si>
  <si>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14350</t>
  </si>
  <si>
    <t>14351</t>
  </si>
  <si>
    <t>309974784184</t>
  </si>
  <si>
    <t>14352</t>
  </si>
  <si>
    <t>309974784030</t>
  </si>
  <si>
    <t>14353</t>
  </si>
  <si>
    <t>309974784160</t>
  </si>
  <si>
    <t>14354</t>
  </si>
  <si>
    <t>309974784061</t>
  </si>
  <si>
    <t>14369</t>
  </si>
  <si>
    <t>14370</t>
  </si>
  <si>
    <t>14371</t>
  </si>
  <si>
    <t>14374</t>
  </si>
  <si>
    <t>14375</t>
  </si>
  <si>
    <t>14391</t>
  </si>
  <si>
    <t>Castaño Oscuro</t>
  </si>
  <si>
    <t>14393</t>
  </si>
  <si>
    <t>30ml</t>
  </si>
  <si>
    <t>0</t>
  </si>
  <si>
    <t>Turquesa</t>
  </si>
  <si>
    <t>13902</t>
  </si>
  <si>
    <t>13903</t>
  </si>
  <si>
    <t>3274872420601</t>
  </si>
  <si>
    <t>13904</t>
  </si>
  <si>
    <t>3274872420618</t>
  </si>
  <si>
    <t>14319</t>
  </si>
  <si>
    <t>14320</t>
  </si>
  <si>
    <t>309970282042</t>
  </si>
  <si>
    <t>14321</t>
  </si>
  <si>
    <t>309970282059</t>
  </si>
  <si>
    <t>14322</t>
  </si>
  <si>
    <t>309970282073</t>
  </si>
  <si>
    <t>14323</t>
  </si>
  <si>
    <t>309970282097</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</si>
  <si>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</si>
  <si>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</si>
  <si>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</si>
  <si>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</si>
  <si>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</si>
  <si>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</si>
  <si>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</si>
  <si>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</si>
  <si>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</si>
  <si>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</si>
  <si>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</si>
  <si>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</si>
  <si>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</si>
  <si>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</si>
  <si>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</si>
  <si>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</si>
  <si>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</si>
  <si>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</si>
  <si>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</si>
  <si>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</si>
  <si>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</si>
  <si>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</si>
  <si>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</si>
  <si>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</si>
  <si>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</si>
  <si>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</si>
  <si>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</si>
  <si>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</si>
  <si>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</si>
  <si>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</si>
  <si>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</si>
  <si>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</si>
  <si>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</si>
  <si>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</si>
  <si>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</si>
  <si>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</si>
  <si>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</si>
  <si>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</si>
  <si>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</si>
  <si>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</si>
  <si>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</si>
  <si>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</si>
  <si>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</si>
  <si>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</si>
  <si>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</si>
  <si>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</si>
  <si>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</si>
  <si>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</si>
  <si>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</si>
  <si>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</si>
  <si>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</si>
  <si>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</si>
  <si>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</si>
  <si>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</si>
  <si>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</si>
  <si>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</si>
  <si>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Sets</t>
  </si>
  <si>
    <t>Dorado</t>
  </si>
  <si>
    <t>Higiene Corporal</t>
  </si>
  <si>
    <t>Semi selectivos</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</si>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</sst>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221"/>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v>50</v>
      </c>
    </row>
    <row r="156" ht="20" customHeight="1" spans="1:18" x14ac:dyDescent="0.25">
      <c r="A156" s="7" t="s">
        <v>532</v>
      </c>
      <c r="B156" s="8" t="s">
        <v>533</v>
      </c>
      <c r="C156" s="8" t="s">
        <v>534</v>
      </c>
      <c r="D156" s="8" t="s">
        <v>234</v>
      </c>
      <c r="E156" s="9" t="s">
        <v>24</v>
      </c>
      <c r="F156" s="9" t="s">
        <v>200</v>
      </c>
      <c r="G156" s="9" t="s">
        <v>201</v>
      </c>
      <c r="H156" s="9" t="s">
        <v>26</v>
      </c>
      <c r="I156" s="8" t="s">
        <v>534</v>
      </c>
      <c r="J156" s="8" t="s">
        <v>535</v>
      </c>
      <c r="K156" s="8" t="s">
        <v>26</v>
      </c>
      <c r="L156" s="10" t="s">
        <v>28</v>
      </c>
      <c r="M156" s="11" t="s">
        <v>29</v>
      </c>
      <c r="N156" s="12">
        <v>0</v>
      </c>
      <c r="O156" s="8" t="s">
        <v>26</v>
      </c>
      <c r="P156" s="13"/>
      <c r="Q156" s="13"/>
      <c r="R156" s="14">
        <v>35</v>
      </c>
    </row>
    <row r="157" ht="20" customHeight="1" spans="1:18" x14ac:dyDescent="0.25">
      <c r="A157" s="15" t="s">
        <v>536</v>
      </c>
      <c r="B157" s="16" t="s">
        <v>537</v>
      </c>
      <c r="C157" s="16" t="s">
        <v>538</v>
      </c>
      <c r="D157" s="16" t="s">
        <v>234</v>
      </c>
      <c r="E157" s="17" t="s">
        <v>24</v>
      </c>
      <c r="F157" s="17" t="s">
        <v>200</v>
      </c>
      <c r="G157" s="17" t="s">
        <v>201</v>
      </c>
      <c r="H157" s="17" t="s">
        <v>26</v>
      </c>
      <c r="I157" s="16" t="s">
        <v>538</v>
      </c>
      <c r="J157" s="16" t="s">
        <v>26</v>
      </c>
      <c r="K157" s="16" t="s">
        <v>26</v>
      </c>
      <c r="L157" s="18" t="s">
        <v>28</v>
      </c>
      <c r="M157" s="19" t="s">
        <v>29</v>
      </c>
      <c r="N157" s="20">
        <v>0</v>
      </c>
      <c r="O157" s="16" t="s">
        <v>26</v>
      </c>
      <c r="P157" s="13"/>
      <c r="Q157" s="13"/>
      <c r="R157" s="14">
        <v>35</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0" t="s">
        <v>28</v>
      </c>
      <c r="M158" s="11" t="s">
        <v>29</v>
      </c>
      <c r="N158" s="12">
        <v>0</v>
      </c>
      <c r="O158" s="8" t="s">
        <v>26</v>
      </c>
      <c r="P158" s="13"/>
      <c r="Q158" s="13"/>
      <c r="R158" s="14">
        <v>35</v>
      </c>
    </row>
    <row r="159" ht="20" customHeight="1" spans="1:18" x14ac:dyDescent="0.25">
      <c r="A159" s="15" t="s">
        <v>543</v>
      </c>
      <c r="B159" s="16" t="s">
        <v>544</v>
      </c>
      <c r="C159" s="16" t="s">
        <v>545</v>
      </c>
      <c r="D159" s="16" t="s">
        <v>234</v>
      </c>
      <c r="E159" s="17" t="s">
        <v>24</v>
      </c>
      <c r="F159" s="17" t="s">
        <v>200</v>
      </c>
      <c r="G159" s="17" t="s">
        <v>201</v>
      </c>
      <c r="H159" s="17" t="s">
        <v>26</v>
      </c>
      <c r="I159" s="16" t="s">
        <v>545</v>
      </c>
      <c r="J159" s="16" t="s">
        <v>26</v>
      </c>
      <c r="K159" s="16" t="s">
        <v>26</v>
      </c>
      <c r="L159" s="18" t="s">
        <v>28</v>
      </c>
      <c r="M159" s="19" t="s">
        <v>29</v>
      </c>
      <c r="N159" s="20">
        <v>0</v>
      </c>
      <c r="O159" s="16" t="s">
        <v>26</v>
      </c>
      <c r="P159" s="13"/>
      <c r="Q159" s="13"/>
      <c r="R159" s="14">
        <v>35</v>
      </c>
    </row>
    <row r="160" ht="20" customHeight="1" spans="1:18" x14ac:dyDescent="0.25">
      <c r="A160" s="7" t="s">
        <v>546</v>
      </c>
      <c r="B160" s="8" t="s">
        <v>547</v>
      </c>
      <c r="C160" s="8" t="s">
        <v>548</v>
      </c>
      <c r="D160" s="8" t="s">
        <v>234</v>
      </c>
      <c r="E160" s="9" t="s">
        <v>24</v>
      </c>
      <c r="F160" s="9" t="s">
        <v>200</v>
      </c>
      <c r="G160" s="9" t="s">
        <v>201</v>
      </c>
      <c r="H160" s="9" t="s">
        <v>26</v>
      </c>
      <c r="I160" s="8" t="s">
        <v>548</v>
      </c>
      <c r="J160" s="8" t="s">
        <v>26</v>
      </c>
      <c r="K160" s="8" t="s">
        <v>26</v>
      </c>
      <c r="L160" s="10" t="s">
        <v>28</v>
      </c>
      <c r="M160" s="11" t="s">
        <v>29</v>
      </c>
      <c r="N160" s="12">
        <v>0</v>
      </c>
      <c r="O160" s="8" t="s">
        <v>26</v>
      </c>
      <c r="P160" s="13"/>
      <c r="Q160" s="13"/>
      <c r="R160" s="14">
        <v>35</v>
      </c>
    </row>
    <row r="161" ht="20" customHeight="1" spans="1:18" x14ac:dyDescent="0.25">
      <c r="A161" s="15" t="s">
        <v>549</v>
      </c>
      <c r="B161" s="16" t="s">
        <v>550</v>
      </c>
      <c r="C161" s="16" t="s">
        <v>551</v>
      </c>
      <c r="D161" s="16" t="s">
        <v>234</v>
      </c>
      <c r="E161" s="17" t="s">
        <v>24</v>
      </c>
      <c r="F161" s="17" t="s">
        <v>200</v>
      </c>
      <c r="G161" s="17" t="s">
        <v>201</v>
      </c>
      <c r="H161" s="17" t="s">
        <v>26</v>
      </c>
      <c r="I161" s="16" t="s">
        <v>551</v>
      </c>
      <c r="J161" s="16" t="s">
        <v>552</v>
      </c>
      <c r="K161" s="16" t="s">
        <v>26</v>
      </c>
      <c r="L161" s="18" t="s">
        <v>28</v>
      </c>
      <c r="M161" s="19" t="s">
        <v>29</v>
      </c>
      <c r="N161" s="20">
        <v>0</v>
      </c>
      <c r="O161" s="16" t="s">
        <v>26</v>
      </c>
      <c r="P161" s="13"/>
      <c r="Q161" s="13"/>
      <c r="R161" s="14">
        <v>35</v>
      </c>
    </row>
    <row r="162" ht="20" customHeight="1" spans="1:18" x14ac:dyDescent="0.25">
      <c r="A162" s="7" t="s">
        <v>553</v>
      </c>
      <c r="B162" s="8" t="s">
        <v>554</v>
      </c>
      <c r="C162" s="8" t="s">
        <v>555</v>
      </c>
      <c r="D162" s="8" t="s">
        <v>234</v>
      </c>
      <c r="E162" s="9" t="s">
        <v>24</v>
      </c>
      <c r="F162" s="9" t="s">
        <v>200</v>
      </c>
      <c r="G162" s="9" t="s">
        <v>201</v>
      </c>
      <c r="H162" s="9" t="s">
        <v>26</v>
      </c>
      <c r="I162" s="8" t="s">
        <v>555</v>
      </c>
      <c r="J162" s="8" t="s">
        <v>26</v>
      </c>
      <c r="K162" s="8" t="s">
        <v>26</v>
      </c>
      <c r="L162" s="10" t="s">
        <v>28</v>
      </c>
      <c r="M162" s="11" t="s">
        <v>29</v>
      </c>
      <c r="N162" s="12">
        <v>0</v>
      </c>
      <c r="O162" s="8" t="s">
        <v>26</v>
      </c>
      <c r="P162" s="13"/>
      <c r="Q162" s="13"/>
      <c r="R162" s="14">
        <v>35</v>
      </c>
    </row>
    <row r="163" ht="20" customHeight="1" spans="1:18" x14ac:dyDescent="0.25">
      <c r="A163" s="15" t="s">
        <v>556</v>
      </c>
      <c r="B163" s="16" t="s">
        <v>26</v>
      </c>
      <c r="C163" s="16" t="s">
        <v>557</v>
      </c>
      <c r="D163" s="16" t="s">
        <v>234</v>
      </c>
      <c r="E163" s="17" t="s">
        <v>24</v>
      </c>
      <c r="F163" s="17" t="s">
        <v>200</v>
      </c>
      <c r="G163" s="17" t="s">
        <v>201</v>
      </c>
      <c r="H163" s="17" t="s">
        <v>26</v>
      </c>
      <c r="I163" s="16" t="s">
        <v>557</v>
      </c>
      <c r="J163" s="16" t="s">
        <v>26</v>
      </c>
      <c r="K163" s="16" t="s">
        <v>26</v>
      </c>
      <c r="L163" s="18" t="s">
        <v>28</v>
      </c>
      <c r="M163" s="19" t="s">
        <v>29</v>
      </c>
      <c r="N163" s="20">
        <v>0</v>
      </c>
      <c r="O163" s="16" t="s">
        <v>26</v>
      </c>
      <c r="P163" s="13"/>
      <c r="Q163" s="13"/>
      <c r="R163" s="14">
        <v>35</v>
      </c>
    </row>
    <row r="164" ht="20" customHeight="1" spans="1:18" x14ac:dyDescent="0.25">
      <c r="A164" s="7" t="s">
        <v>558</v>
      </c>
      <c r="B164" s="8" t="s">
        <v>26</v>
      </c>
      <c r="C164" s="8" t="s">
        <v>559</v>
      </c>
      <c r="D164" s="8" t="s">
        <v>234</v>
      </c>
      <c r="E164" s="9" t="s">
        <v>24</v>
      </c>
      <c r="F164" s="9" t="s">
        <v>200</v>
      </c>
      <c r="G164" s="9" t="s">
        <v>201</v>
      </c>
      <c r="H164" s="9" t="s">
        <v>26</v>
      </c>
      <c r="I164" s="8" t="s">
        <v>559</v>
      </c>
      <c r="J164" s="8" t="s">
        <v>26</v>
      </c>
      <c r="K164" s="8" t="s">
        <v>26</v>
      </c>
      <c r="L164" s="10" t="s">
        <v>28</v>
      </c>
      <c r="M164" s="11" t="s">
        <v>29</v>
      </c>
      <c r="N164" s="12">
        <v>0</v>
      </c>
      <c r="O164" s="8" t="s">
        <v>26</v>
      </c>
      <c r="P164" s="13"/>
      <c r="Q164" s="13"/>
      <c r="R164" s="14">
        <v>50</v>
      </c>
    </row>
    <row r="165" ht="20" customHeight="1" spans="1:18" x14ac:dyDescent="0.25">
      <c r="A165" s="15" t="s">
        <v>560</v>
      </c>
      <c r="B165" s="16" t="s">
        <v>561</v>
      </c>
      <c r="C165" s="16" t="s">
        <v>562</v>
      </c>
      <c r="D165" s="16" t="s">
        <v>234</v>
      </c>
      <c r="E165" s="17" t="s">
        <v>24</v>
      </c>
      <c r="F165" s="17" t="s">
        <v>200</v>
      </c>
      <c r="G165" s="17" t="s">
        <v>201</v>
      </c>
      <c r="H165" s="17" t="s">
        <v>26</v>
      </c>
      <c r="I165" s="16" t="s">
        <v>562</v>
      </c>
      <c r="J165" s="16" t="s">
        <v>563</v>
      </c>
      <c r="K165" s="16" t="s">
        <v>26</v>
      </c>
      <c r="L165" s="18" t="s">
        <v>28</v>
      </c>
      <c r="M165" s="19" t="s">
        <v>29</v>
      </c>
      <c r="N165" s="20">
        <v>0</v>
      </c>
      <c r="O165" s="16" t="s">
        <v>26</v>
      </c>
      <c r="P165" s="13"/>
      <c r="Q165" s="13"/>
      <c r="R165" s="14">
        <v>35</v>
      </c>
    </row>
    <row r="166" ht="20" customHeight="1" spans="1:18" x14ac:dyDescent="0.25">
      <c r="A166" s="7" t="s">
        <v>564</v>
      </c>
      <c r="B166" s="8" t="s">
        <v>565</v>
      </c>
      <c r="C166" s="8" t="s">
        <v>566</v>
      </c>
      <c r="D166" s="8" t="s">
        <v>234</v>
      </c>
      <c r="E166" s="9" t="s">
        <v>24</v>
      </c>
      <c r="F166" s="9" t="s">
        <v>200</v>
      </c>
      <c r="G166" s="9" t="s">
        <v>201</v>
      </c>
      <c r="H166" s="9" t="s">
        <v>26</v>
      </c>
      <c r="I166" s="8" t="s">
        <v>566</v>
      </c>
      <c r="J166" s="8" t="s">
        <v>26</v>
      </c>
      <c r="K166" s="8" t="s">
        <v>26</v>
      </c>
      <c r="L166" s="10" t="s">
        <v>28</v>
      </c>
      <c r="M166" s="11" t="s">
        <v>29</v>
      </c>
      <c r="N166" s="12">
        <v>0</v>
      </c>
      <c r="O166" s="8" t="s">
        <v>26</v>
      </c>
      <c r="P166" s="13"/>
      <c r="Q166" s="13"/>
      <c r="R166" s="14">
        <v>35</v>
      </c>
    </row>
    <row r="167" ht="20" customHeight="1" spans="1:18" x14ac:dyDescent="0.25">
      <c r="A167" s="15" t="s">
        <v>567</v>
      </c>
      <c r="B167" s="16" t="s">
        <v>568</v>
      </c>
      <c r="C167" s="16" t="s">
        <v>569</v>
      </c>
      <c r="D167" s="16" t="s">
        <v>234</v>
      </c>
      <c r="E167" s="17" t="s">
        <v>24</v>
      </c>
      <c r="F167" s="17" t="s">
        <v>200</v>
      </c>
      <c r="G167" s="17" t="s">
        <v>201</v>
      </c>
      <c r="H167" s="17" t="s">
        <v>26</v>
      </c>
      <c r="I167" s="16" t="s">
        <v>569</v>
      </c>
      <c r="J167" s="16" t="s">
        <v>26</v>
      </c>
      <c r="K167" s="16" t="s">
        <v>26</v>
      </c>
      <c r="L167" s="18" t="s">
        <v>28</v>
      </c>
      <c r="M167" s="19" t="s">
        <v>29</v>
      </c>
      <c r="N167" s="20">
        <v>0</v>
      </c>
      <c r="O167" s="16" t="s">
        <v>26</v>
      </c>
      <c r="P167" s="13"/>
      <c r="Q167" s="13"/>
      <c r="R167" s="14">
        <v>35</v>
      </c>
    </row>
    <row r="168" ht="20" customHeight="1" spans="1:18" x14ac:dyDescent="0.25">
      <c r="A168" s="7" t="s">
        <v>570</v>
      </c>
      <c r="B168" s="8" t="s">
        <v>26</v>
      </c>
      <c r="C168" s="8" t="s">
        <v>571</v>
      </c>
      <c r="D168" s="8" t="s">
        <v>234</v>
      </c>
      <c r="E168" s="9" t="s">
        <v>24</v>
      </c>
      <c r="F168" s="9" t="s">
        <v>200</v>
      </c>
      <c r="G168" s="9" t="s">
        <v>201</v>
      </c>
      <c r="H168" s="9" t="s">
        <v>26</v>
      </c>
      <c r="I168" s="8" t="s">
        <v>571</v>
      </c>
      <c r="J168" s="8" t="s">
        <v>26</v>
      </c>
      <c r="K168" s="8" t="s">
        <v>26</v>
      </c>
      <c r="L168" s="10" t="s">
        <v>28</v>
      </c>
      <c r="M168" s="11" t="s">
        <v>29</v>
      </c>
      <c r="N168" s="12">
        <v>0</v>
      </c>
      <c r="O168" s="8" t="s">
        <v>26</v>
      </c>
      <c r="P168" s="13"/>
      <c r="Q168" s="13"/>
      <c r="R168" s="14">
        <v>50</v>
      </c>
    </row>
    <row r="169" ht="20" customHeight="1" spans="1:18" x14ac:dyDescent="0.25">
      <c r="A169" s="15" t="s">
        <v>572</v>
      </c>
      <c r="B169" s="16" t="s">
        <v>26</v>
      </c>
      <c r="C169" s="16" t="s">
        <v>573</v>
      </c>
      <c r="D169" s="16" t="s">
        <v>234</v>
      </c>
      <c r="E169" s="17" t="s">
        <v>24</v>
      </c>
      <c r="F169" s="17" t="s">
        <v>200</v>
      </c>
      <c r="G169" s="17" t="s">
        <v>201</v>
      </c>
      <c r="H169" s="17" t="s">
        <v>26</v>
      </c>
      <c r="I169" s="16" t="s">
        <v>573</v>
      </c>
      <c r="J169" s="16" t="s">
        <v>26</v>
      </c>
      <c r="K169" s="16" t="s">
        <v>26</v>
      </c>
      <c r="L169" s="18" t="s">
        <v>28</v>
      </c>
      <c r="M169" s="19" t="s">
        <v>29</v>
      </c>
      <c r="N169" s="20">
        <v>0</v>
      </c>
      <c r="O169" s="16" t="s">
        <v>26</v>
      </c>
      <c r="P169" s="13"/>
      <c r="Q169" s="13"/>
      <c r="R169" s="14">
        <v>50</v>
      </c>
    </row>
    <row r="170" ht="20" customHeight="1" spans="1:18" x14ac:dyDescent="0.25">
      <c r="A170" s="7" t="s">
        <v>574</v>
      </c>
      <c r="B170" s="8" t="s">
        <v>26</v>
      </c>
      <c r="C170" s="8" t="s">
        <v>575</v>
      </c>
      <c r="D170" s="8" t="s">
        <v>234</v>
      </c>
      <c r="E170" s="9" t="s">
        <v>24</v>
      </c>
      <c r="F170" s="9" t="s">
        <v>200</v>
      </c>
      <c r="G170" s="9" t="s">
        <v>201</v>
      </c>
      <c r="H170" s="9" t="s">
        <v>26</v>
      </c>
      <c r="I170" s="8" t="s">
        <v>575</v>
      </c>
      <c r="J170" s="8" t="s">
        <v>26</v>
      </c>
      <c r="K170" s="8" t="s">
        <v>26</v>
      </c>
      <c r="L170" s="10" t="s">
        <v>28</v>
      </c>
      <c r="M170" s="11" t="s">
        <v>29</v>
      </c>
      <c r="N170" s="12">
        <v>0</v>
      </c>
      <c r="O170" s="8" t="s">
        <v>26</v>
      </c>
      <c r="P170" s="13"/>
      <c r="Q170" s="13"/>
      <c r="R170" s="14">
        <v>0</v>
      </c>
    </row>
    <row r="171" ht="20" customHeight="1" spans="1:18" x14ac:dyDescent="0.25">
      <c r="A171" s="15" t="s">
        <v>576</v>
      </c>
      <c r="B171" s="16" t="s">
        <v>577</v>
      </c>
      <c r="C171" s="16" t="s">
        <v>578</v>
      </c>
      <c r="D171" s="16" t="s">
        <v>234</v>
      </c>
      <c r="E171" s="17" t="s">
        <v>24</v>
      </c>
      <c r="F171" s="17" t="s">
        <v>200</v>
      </c>
      <c r="G171" s="17" t="s">
        <v>201</v>
      </c>
      <c r="H171" s="17" t="s">
        <v>26</v>
      </c>
      <c r="I171" s="16" t="s">
        <v>578</v>
      </c>
      <c r="J171" s="16" t="s">
        <v>26</v>
      </c>
      <c r="K171" s="16" t="s">
        <v>26</v>
      </c>
      <c r="L171" s="18" t="s">
        <v>28</v>
      </c>
      <c r="M171" s="19" t="s">
        <v>29</v>
      </c>
      <c r="N171" s="20">
        <v>0</v>
      </c>
      <c r="O171" s="16" t="s">
        <v>26</v>
      </c>
      <c r="P171" s="13">
        <v>99999.99</v>
      </c>
      <c r="Q171" s="13"/>
      <c r="R171" s="14">
        <v>0</v>
      </c>
    </row>
    <row r="172" ht="20" customHeight="1" spans="1:18" x14ac:dyDescent="0.25">
      <c r="A172" s="7" t="s">
        <v>579</v>
      </c>
      <c r="B172" s="8" t="s">
        <v>580</v>
      </c>
      <c r="C172" s="8" t="s">
        <v>581</v>
      </c>
      <c r="D172" s="8" t="s">
        <v>234</v>
      </c>
      <c r="E172" s="9" t="s">
        <v>24</v>
      </c>
      <c r="F172" s="9" t="s">
        <v>200</v>
      </c>
      <c r="G172" s="9" t="s">
        <v>201</v>
      </c>
      <c r="H172" s="9" t="s">
        <v>26</v>
      </c>
      <c r="I172" s="8" t="s">
        <v>581</v>
      </c>
      <c r="J172" s="8" t="s">
        <v>26</v>
      </c>
      <c r="K172" s="8" t="s">
        <v>26</v>
      </c>
      <c r="L172" s="10" t="s">
        <v>28</v>
      </c>
      <c r="M172" s="11" t="s">
        <v>29</v>
      </c>
      <c r="N172" s="12">
        <v>0</v>
      </c>
      <c r="O172" s="8" t="s">
        <v>26</v>
      </c>
      <c r="P172" s="13"/>
      <c r="Q172" s="13"/>
      <c r="R172" s="14">
        <v>50</v>
      </c>
    </row>
    <row r="173" ht="20" customHeight="1" spans="1:18" x14ac:dyDescent="0.25">
      <c r="A173" s="15" t="s">
        <v>582</v>
      </c>
      <c r="B173" s="16" t="s">
        <v>583</v>
      </c>
      <c r="C173" s="16" t="s">
        <v>584</v>
      </c>
      <c r="D173" s="16" t="s">
        <v>234</v>
      </c>
      <c r="E173" s="17" t="s">
        <v>24</v>
      </c>
      <c r="F173" s="17" t="s">
        <v>200</v>
      </c>
      <c r="G173" s="17" t="s">
        <v>201</v>
      </c>
      <c r="H173" s="17" t="s">
        <v>26</v>
      </c>
      <c r="I173" s="16" t="s">
        <v>584</v>
      </c>
      <c r="J173" s="16" t="s">
        <v>585</v>
      </c>
      <c r="K173" s="16" t="s">
        <v>26</v>
      </c>
      <c r="L173" s="18" t="s">
        <v>28</v>
      </c>
      <c r="M173" s="19" t="s">
        <v>29</v>
      </c>
      <c r="N173" s="20">
        <v>0</v>
      </c>
      <c r="O173" s="16" t="s">
        <v>26</v>
      </c>
      <c r="P173" s="13"/>
      <c r="Q173" s="13"/>
      <c r="R173" s="14">
        <v>0</v>
      </c>
    </row>
    <row r="174" ht="20" customHeight="1" spans="1:18" x14ac:dyDescent="0.25">
      <c r="A174" s="7" t="s">
        <v>586</v>
      </c>
      <c r="B174" s="8" t="s">
        <v>587</v>
      </c>
      <c r="C174" s="8" t="s">
        <v>588</v>
      </c>
      <c r="D174" s="8" t="s">
        <v>234</v>
      </c>
      <c r="E174" s="9" t="s">
        <v>24</v>
      </c>
      <c r="F174" s="9" t="s">
        <v>200</v>
      </c>
      <c r="G174" s="9" t="s">
        <v>201</v>
      </c>
      <c r="H174" s="9" t="s">
        <v>26</v>
      </c>
      <c r="I174" s="8" t="s">
        <v>588</v>
      </c>
      <c r="J174" s="8" t="s">
        <v>589</v>
      </c>
      <c r="K174" s="8" t="s">
        <v>26</v>
      </c>
      <c r="L174" s="10" t="s">
        <v>28</v>
      </c>
      <c r="M174" s="11" t="s">
        <v>29</v>
      </c>
      <c r="N174" s="12">
        <v>0</v>
      </c>
      <c r="O174" s="8" t="s">
        <v>26</v>
      </c>
      <c r="P174" s="13"/>
      <c r="Q174" s="13"/>
      <c r="R174" s="14">
        <v>0</v>
      </c>
    </row>
    <row r="175" ht="20" customHeight="1" spans="1:18" x14ac:dyDescent="0.25">
      <c r="A175" s="15" t="s">
        <v>590</v>
      </c>
      <c r="B175" s="16" t="s">
        <v>591</v>
      </c>
      <c r="C175" s="16" t="s">
        <v>592</v>
      </c>
      <c r="D175" s="16" t="s">
        <v>234</v>
      </c>
      <c r="E175" s="17" t="s">
        <v>24</v>
      </c>
      <c r="F175" s="17" t="s">
        <v>200</v>
      </c>
      <c r="G175" s="17" t="s">
        <v>201</v>
      </c>
      <c r="H175" s="17" t="s">
        <v>26</v>
      </c>
      <c r="I175" s="16" t="s">
        <v>592</v>
      </c>
      <c r="J175" s="16" t="s">
        <v>593</v>
      </c>
      <c r="K175" s="16" t="s">
        <v>26</v>
      </c>
      <c r="L175" s="18" t="s">
        <v>28</v>
      </c>
      <c r="M175" s="19" t="s">
        <v>29</v>
      </c>
      <c r="N175" s="20">
        <v>0</v>
      </c>
      <c r="O175" s="16" t="s">
        <v>26</v>
      </c>
      <c r="P175" s="13"/>
      <c r="Q175" s="13"/>
      <c r="R175" s="14">
        <v>0</v>
      </c>
    </row>
    <row r="176" ht="20" customHeight="1" spans="1:18" x14ac:dyDescent="0.25">
      <c r="A176" s="7" t="s">
        <v>594</v>
      </c>
      <c r="B176" s="8" t="s">
        <v>595</v>
      </c>
      <c r="C176" s="8" t="s">
        <v>596</v>
      </c>
      <c r="D176" s="8" t="s">
        <v>234</v>
      </c>
      <c r="E176" s="9" t="s">
        <v>24</v>
      </c>
      <c r="F176" s="9" t="s">
        <v>200</v>
      </c>
      <c r="G176" s="9" t="s">
        <v>201</v>
      </c>
      <c r="H176" s="9" t="s">
        <v>26</v>
      </c>
      <c r="I176" s="8" t="s">
        <v>596</v>
      </c>
      <c r="J176" s="8" t="s">
        <v>597</v>
      </c>
      <c r="K176" s="8" t="s">
        <v>26</v>
      </c>
      <c r="L176" s="10" t="s">
        <v>28</v>
      </c>
      <c r="M176" s="11" t="s">
        <v>29</v>
      </c>
      <c r="N176" s="12">
        <v>0</v>
      </c>
      <c r="O176" s="8" t="s">
        <v>26</v>
      </c>
      <c r="P176" s="13"/>
      <c r="Q176" s="13"/>
      <c r="R176" s="14">
        <v>0</v>
      </c>
    </row>
    <row r="177" ht="20" customHeight="1" spans="1:18" x14ac:dyDescent="0.25">
      <c r="A177" s="15" t="s">
        <v>598</v>
      </c>
      <c r="B177" s="16" t="s">
        <v>599</v>
      </c>
      <c r="C177" s="16" t="s">
        <v>600</v>
      </c>
      <c r="D177" s="16" t="s">
        <v>234</v>
      </c>
      <c r="E177" s="17" t="s">
        <v>24</v>
      </c>
      <c r="F177" s="17" t="s">
        <v>200</v>
      </c>
      <c r="G177" s="17" t="s">
        <v>201</v>
      </c>
      <c r="H177" s="17" t="s">
        <v>26</v>
      </c>
      <c r="I177" s="16" t="s">
        <v>600</v>
      </c>
      <c r="J177" s="16" t="s">
        <v>26</v>
      </c>
      <c r="K177" s="16" t="s">
        <v>26</v>
      </c>
      <c r="L177" s="18" t="s">
        <v>28</v>
      </c>
      <c r="M177" s="19" t="s">
        <v>29</v>
      </c>
      <c r="N177" s="20">
        <v>0</v>
      </c>
      <c r="O177" s="16" t="s">
        <v>26</v>
      </c>
      <c r="P177" s="13"/>
      <c r="Q177" s="13"/>
      <c r="R177" s="14">
        <v>0</v>
      </c>
    </row>
    <row r="178" ht="20" customHeight="1" spans="1:18" x14ac:dyDescent="0.25">
      <c r="A178" s="7" t="s">
        <v>601</v>
      </c>
      <c r="B178" s="8" t="s">
        <v>602</v>
      </c>
      <c r="C178" s="8" t="s">
        <v>603</v>
      </c>
      <c r="D178" s="8" t="s">
        <v>234</v>
      </c>
      <c r="E178" s="9" t="s">
        <v>24</v>
      </c>
      <c r="F178" s="9" t="s">
        <v>200</v>
      </c>
      <c r="G178" s="9" t="s">
        <v>201</v>
      </c>
      <c r="H178" s="9" t="s">
        <v>26</v>
      </c>
      <c r="I178" s="8" t="s">
        <v>603</v>
      </c>
      <c r="J178" s="8" t="s">
        <v>26</v>
      </c>
      <c r="K178" s="8" t="s">
        <v>26</v>
      </c>
      <c r="L178" s="10" t="s">
        <v>28</v>
      </c>
      <c r="M178" s="11" t="s">
        <v>29</v>
      </c>
      <c r="N178" s="12">
        <v>0</v>
      </c>
      <c r="O178" s="8" t="s">
        <v>26</v>
      </c>
      <c r="P178" s="13"/>
      <c r="Q178" s="13"/>
      <c r="R178" s="14">
        <v>0</v>
      </c>
    </row>
    <row r="179" ht="20" customHeight="1" spans="1:18" x14ac:dyDescent="0.25">
      <c r="A179" s="15" t="s">
        <v>604</v>
      </c>
      <c r="B179" s="16" t="s">
        <v>605</v>
      </c>
      <c r="C179" s="16" t="s">
        <v>606</v>
      </c>
      <c r="D179" s="16" t="s">
        <v>234</v>
      </c>
      <c r="E179" s="17" t="s">
        <v>24</v>
      </c>
      <c r="F179" s="17" t="s">
        <v>200</v>
      </c>
      <c r="G179" s="17" t="s">
        <v>201</v>
      </c>
      <c r="H179" s="17" t="s">
        <v>26</v>
      </c>
      <c r="I179" s="16" t="s">
        <v>606</v>
      </c>
      <c r="J179" s="16" t="s">
        <v>607</v>
      </c>
      <c r="K179" s="16" t="s">
        <v>26</v>
      </c>
      <c r="L179" s="18" t="s">
        <v>28</v>
      </c>
      <c r="M179" s="19" t="s">
        <v>29</v>
      </c>
      <c r="N179" s="20">
        <v>0</v>
      </c>
      <c r="O179" s="16" t="s">
        <v>26</v>
      </c>
      <c r="P179" s="13"/>
      <c r="Q179" s="13"/>
      <c r="R179" s="14">
        <v>35</v>
      </c>
    </row>
    <row r="180" ht="20" customHeight="1" spans="1:18" x14ac:dyDescent="0.25">
      <c r="A180" s="7" t="s">
        <v>608</v>
      </c>
      <c r="B180" s="8" t="s">
        <v>26</v>
      </c>
      <c r="C180" s="8" t="s">
        <v>609</v>
      </c>
      <c r="D180" s="8" t="s">
        <v>234</v>
      </c>
      <c r="E180" s="9" t="s">
        <v>24</v>
      </c>
      <c r="F180" s="9" t="s">
        <v>200</v>
      </c>
      <c r="G180" s="9" t="s">
        <v>201</v>
      </c>
      <c r="H180" s="9" t="s">
        <v>26</v>
      </c>
      <c r="I180" s="8" t="s">
        <v>609</v>
      </c>
      <c r="J180" s="8" t="s">
        <v>26</v>
      </c>
      <c r="K180" s="8" t="s">
        <v>26</v>
      </c>
      <c r="L180" s="10" t="s">
        <v>28</v>
      </c>
      <c r="M180" s="11" t="s">
        <v>29</v>
      </c>
      <c r="N180" s="12">
        <v>0</v>
      </c>
      <c r="O180" s="8" t="s">
        <v>26</v>
      </c>
      <c r="P180" s="13"/>
      <c r="Q180" s="13"/>
      <c r="R180" s="14">
        <v>50</v>
      </c>
    </row>
    <row r="181" ht="20" customHeight="1" spans="1:18" x14ac:dyDescent="0.25">
      <c r="A181" s="15" t="s">
        <v>610</v>
      </c>
      <c r="B181" s="16" t="s">
        <v>26</v>
      </c>
      <c r="C181" s="16" t="s">
        <v>611</v>
      </c>
      <c r="D181" s="16" t="s">
        <v>234</v>
      </c>
      <c r="E181" s="17" t="s">
        <v>24</v>
      </c>
      <c r="F181" s="17" t="s">
        <v>200</v>
      </c>
      <c r="G181" s="17" t="s">
        <v>201</v>
      </c>
      <c r="H181" s="17" t="s">
        <v>26</v>
      </c>
      <c r="I181" s="16" t="s">
        <v>611</v>
      </c>
      <c r="J181" s="16" t="s">
        <v>26</v>
      </c>
      <c r="K181" s="16" t="s">
        <v>26</v>
      </c>
      <c r="L181" s="18" t="s">
        <v>28</v>
      </c>
      <c r="M181" s="19" t="s">
        <v>29</v>
      </c>
      <c r="N181" s="20">
        <v>0</v>
      </c>
      <c r="O181" s="16" t="s">
        <v>26</v>
      </c>
      <c r="P181" s="13"/>
      <c r="Q181" s="13"/>
      <c r="R181" s="14">
        <v>35</v>
      </c>
    </row>
    <row r="182" ht="20" customHeight="1" spans="1:18" x14ac:dyDescent="0.25">
      <c r="A182" s="7" t="s">
        <v>612</v>
      </c>
      <c r="B182" s="8" t="s">
        <v>613</v>
      </c>
      <c r="C182" s="8" t="s">
        <v>614</v>
      </c>
      <c r="D182" s="8" t="s">
        <v>234</v>
      </c>
      <c r="E182" s="9" t="s">
        <v>24</v>
      </c>
      <c r="F182" s="9" t="s">
        <v>200</v>
      </c>
      <c r="G182" s="9" t="s">
        <v>201</v>
      </c>
      <c r="H182" s="9" t="s">
        <v>26</v>
      </c>
      <c r="I182" s="8" t="s">
        <v>614</v>
      </c>
      <c r="J182" s="8" t="s">
        <v>615</v>
      </c>
      <c r="K182" s="8" t="s">
        <v>26</v>
      </c>
      <c r="L182" s="10" t="s">
        <v>28</v>
      </c>
      <c r="M182" s="11" t="s">
        <v>29</v>
      </c>
      <c r="N182" s="12">
        <v>0</v>
      </c>
      <c r="O182" s="8" t="s">
        <v>26</v>
      </c>
      <c r="P182" s="13"/>
      <c r="Q182" s="13"/>
      <c r="R182" s="14">
        <v>50</v>
      </c>
    </row>
    <row r="183" ht="20" customHeight="1" spans="1:18" x14ac:dyDescent="0.25">
      <c r="A183" s="15" t="s">
        <v>616</v>
      </c>
      <c r="B183" s="16" t="s">
        <v>617</v>
      </c>
      <c r="C183" s="16" t="s">
        <v>618</v>
      </c>
      <c r="D183" s="16" t="s">
        <v>234</v>
      </c>
      <c r="E183" s="17" t="s">
        <v>24</v>
      </c>
      <c r="F183" s="17" t="s">
        <v>200</v>
      </c>
      <c r="G183" s="17" t="s">
        <v>201</v>
      </c>
      <c r="H183" s="17" t="s">
        <v>26</v>
      </c>
      <c r="I183" s="16" t="s">
        <v>618</v>
      </c>
      <c r="J183" s="16" t="s">
        <v>26</v>
      </c>
      <c r="K183" s="16" t="s">
        <v>26</v>
      </c>
      <c r="L183" s="18" t="s">
        <v>28</v>
      </c>
      <c r="M183" s="19" t="s">
        <v>29</v>
      </c>
      <c r="N183" s="20">
        <v>0</v>
      </c>
      <c r="O183" s="16" t="s">
        <v>26</v>
      </c>
      <c r="P183" s="13"/>
      <c r="Q183" s="13"/>
      <c r="R183" s="14">
        <v>50</v>
      </c>
    </row>
    <row r="184" ht="20" customHeight="1" spans="1:18" x14ac:dyDescent="0.25">
      <c r="A184" s="7" t="s">
        <v>619</v>
      </c>
      <c r="B184" s="8" t="s">
        <v>26</v>
      </c>
      <c r="C184" s="8" t="s">
        <v>620</v>
      </c>
      <c r="D184" s="8" t="s">
        <v>234</v>
      </c>
      <c r="E184" s="9" t="s">
        <v>24</v>
      </c>
      <c r="F184" s="9" t="s">
        <v>200</v>
      </c>
      <c r="G184" s="9" t="s">
        <v>201</v>
      </c>
      <c r="H184" s="9" t="s">
        <v>26</v>
      </c>
      <c r="I184" s="8" t="s">
        <v>620</v>
      </c>
      <c r="J184" s="8" t="s">
        <v>26</v>
      </c>
      <c r="K184" s="8" t="s">
        <v>26</v>
      </c>
      <c r="L184" s="10" t="s">
        <v>28</v>
      </c>
      <c r="M184" s="11" t="s">
        <v>29</v>
      </c>
      <c r="N184" s="12">
        <v>0</v>
      </c>
      <c r="O184" s="8" t="s">
        <v>26</v>
      </c>
      <c r="P184" s="13"/>
      <c r="Q184" s="13"/>
      <c r="R184" s="14">
        <v>50</v>
      </c>
    </row>
    <row r="185" ht="20" customHeight="1" spans="1:18" x14ac:dyDescent="0.25">
      <c r="A185" s="15" t="s">
        <v>621</v>
      </c>
      <c r="B185" s="16" t="s">
        <v>26</v>
      </c>
      <c r="C185" s="16" t="s">
        <v>622</v>
      </c>
      <c r="D185" s="16" t="s">
        <v>234</v>
      </c>
      <c r="E185" s="17" t="s">
        <v>24</v>
      </c>
      <c r="F185" s="17" t="s">
        <v>200</v>
      </c>
      <c r="G185" s="17" t="s">
        <v>201</v>
      </c>
      <c r="H185" s="17" t="s">
        <v>26</v>
      </c>
      <c r="I185" s="16" t="s">
        <v>622</v>
      </c>
      <c r="J185" s="16" t="s">
        <v>26</v>
      </c>
      <c r="K185" s="16" t="s">
        <v>26</v>
      </c>
      <c r="L185" s="18" t="s">
        <v>28</v>
      </c>
      <c r="M185" s="19" t="s">
        <v>29</v>
      </c>
      <c r="N185" s="20">
        <v>0</v>
      </c>
      <c r="O185" s="16" t="s">
        <v>26</v>
      </c>
      <c r="P185" s="13"/>
      <c r="Q185" s="13"/>
      <c r="R185" s="14">
        <v>50</v>
      </c>
    </row>
    <row r="186" ht="20" customHeight="1" spans="1:18" x14ac:dyDescent="0.25">
      <c r="A186" s="7" t="s">
        <v>623</v>
      </c>
      <c r="B186" s="8" t="s">
        <v>26</v>
      </c>
      <c r="C186" s="8" t="s">
        <v>624</v>
      </c>
      <c r="D186" s="8" t="s">
        <v>234</v>
      </c>
      <c r="E186" s="9" t="s">
        <v>24</v>
      </c>
      <c r="F186" s="9" t="s">
        <v>200</v>
      </c>
      <c r="G186" s="9" t="s">
        <v>201</v>
      </c>
      <c r="H186" s="9" t="s">
        <v>26</v>
      </c>
      <c r="I186" s="8" t="s">
        <v>624</v>
      </c>
      <c r="J186" s="8" t="s">
        <v>26</v>
      </c>
      <c r="K186" s="8" t="s">
        <v>26</v>
      </c>
      <c r="L186" s="10" t="s">
        <v>28</v>
      </c>
      <c r="M186" s="11" t="s">
        <v>29</v>
      </c>
      <c r="N186" s="12">
        <v>0</v>
      </c>
      <c r="O186" s="8" t="s">
        <v>26</v>
      </c>
      <c r="P186" s="13"/>
      <c r="Q186" s="13"/>
      <c r="R186" s="14">
        <v>50</v>
      </c>
    </row>
    <row r="187" ht="20" customHeight="1" spans="1:18" x14ac:dyDescent="0.25">
      <c r="A187" s="15" t="s">
        <v>625</v>
      </c>
      <c r="B187" s="16" t="s">
        <v>26</v>
      </c>
      <c r="C187" s="16" t="s">
        <v>626</v>
      </c>
      <c r="D187" s="16" t="s">
        <v>234</v>
      </c>
      <c r="E187" s="17" t="s">
        <v>24</v>
      </c>
      <c r="F187" s="17" t="s">
        <v>200</v>
      </c>
      <c r="G187" s="17" t="s">
        <v>201</v>
      </c>
      <c r="H187" s="17" t="s">
        <v>26</v>
      </c>
      <c r="I187" s="16" t="s">
        <v>626</v>
      </c>
      <c r="J187" s="16" t="s">
        <v>26</v>
      </c>
      <c r="K187" s="16" t="s">
        <v>26</v>
      </c>
      <c r="L187" s="18" t="s">
        <v>28</v>
      </c>
      <c r="M187" s="19" t="s">
        <v>29</v>
      </c>
      <c r="N187" s="20">
        <v>0</v>
      </c>
      <c r="O187" s="16" t="s">
        <v>26</v>
      </c>
      <c r="P187" s="13"/>
      <c r="Q187" s="13"/>
      <c r="R187" s="14">
        <v>50</v>
      </c>
    </row>
    <row r="188" ht="20" customHeight="1" spans="1:18" x14ac:dyDescent="0.25">
      <c r="A188" s="7" t="s">
        <v>627</v>
      </c>
      <c r="B188" s="8" t="s">
        <v>628</v>
      </c>
      <c r="C188" s="8" t="s">
        <v>629</v>
      </c>
      <c r="D188" s="8" t="s">
        <v>234</v>
      </c>
      <c r="E188" s="9" t="s">
        <v>24</v>
      </c>
      <c r="F188" s="9" t="s">
        <v>200</v>
      </c>
      <c r="G188" s="9" t="s">
        <v>201</v>
      </c>
      <c r="H188" s="9" t="s">
        <v>26</v>
      </c>
      <c r="I188" s="8" t="s">
        <v>629</v>
      </c>
      <c r="J188" s="8" t="s">
        <v>630</v>
      </c>
      <c r="K188" s="8" t="s">
        <v>26</v>
      </c>
      <c r="L188" s="10" t="s">
        <v>28</v>
      </c>
      <c r="M188" s="11" t="s">
        <v>29</v>
      </c>
      <c r="N188" s="12">
        <v>0</v>
      </c>
      <c r="O188" s="8" t="s">
        <v>26</v>
      </c>
      <c r="P188" s="13"/>
      <c r="Q188" s="13"/>
      <c r="R188" s="14">
        <v>35</v>
      </c>
    </row>
    <row r="189" ht="20" customHeight="1" spans="1:18" x14ac:dyDescent="0.25">
      <c r="A189" s="15" t="s">
        <v>631</v>
      </c>
      <c r="B189" s="16" t="s">
        <v>632</v>
      </c>
      <c r="C189" s="16" t="s">
        <v>633</v>
      </c>
      <c r="D189" s="16" t="s">
        <v>234</v>
      </c>
      <c r="E189" s="17" t="s">
        <v>24</v>
      </c>
      <c r="F189" s="17" t="s">
        <v>200</v>
      </c>
      <c r="G189" s="17" t="s">
        <v>201</v>
      </c>
      <c r="H189" s="17" t="s">
        <v>26</v>
      </c>
      <c r="I189" s="16" t="s">
        <v>633</v>
      </c>
      <c r="J189" s="16" t="s">
        <v>634</v>
      </c>
      <c r="K189" s="16" t="s">
        <v>26</v>
      </c>
      <c r="L189" s="18" t="s">
        <v>28</v>
      </c>
      <c r="M189" s="19" t="s">
        <v>29</v>
      </c>
      <c r="N189" s="20">
        <v>0</v>
      </c>
      <c r="O189" s="16" t="s">
        <v>26</v>
      </c>
      <c r="P189" s="13"/>
      <c r="Q189" s="13"/>
      <c r="R189" s="14">
        <v>35</v>
      </c>
    </row>
    <row r="190" ht="20" customHeight="1" spans="1:18" x14ac:dyDescent="0.25">
      <c r="A190" s="7" t="s">
        <v>635</v>
      </c>
      <c r="B190" s="8" t="s">
        <v>636</v>
      </c>
      <c r="C190" s="8" t="s">
        <v>637</v>
      </c>
      <c r="D190" s="8" t="s">
        <v>234</v>
      </c>
      <c r="E190" s="9" t="s">
        <v>24</v>
      </c>
      <c r="F190" s="9" t="s">
        <v>638</v>
      </c>
      <c r="G190" s="9" t="s">
        <v>26</v>
      </c>
      <c r="H190" s="9" t="s">
        <v>26</v>
      </c>
      <c r="I190" s="8" t="s">
        <v>637</v>
      </c>
      <c r="J190" s="8" t="s">
        <v>639</v>
      </c>
      <c r="K190" s="8" t="s">
        <v>26</v>
      </c>
      <c r="L190" s="10" t="s">
        <v>28</v>
      </c>
      <c r="M190" s="11" t="s">
        <v>29</v>
      </c>
      <c r="N190" s="12">
        <v>0</v>
      </c>
      <c r="O190" s="8" t="s">
        <v>26</v>
      </c>
      <c r="P190" s="13"/>
      <c r="Q190" s="13"/>
      <c r="R190" s="14">
        <v>0</v>
      </c>
    </row>
    <row r="191" ht="20" customHeight="1" spans="1:18" x14ac:dyDescent="0.25">
      <c r="A191" s="15" t="s">
        <v>640</v>
      </c>
      <c r="B191" s="16" t="s">
        <v>26</v>
      </c>
      <c r="C191" s="16" t="s">
        <v>641</v>
      </c>
      <c r="D191" s="16" t="s">
        <v>234</v>
      </c>
      <c r="E191" s="17" t="s">
        <v>24</v>
      </c>
      <c r="F191" s="17" t="s">
        <v>200</v>
      </c>
      <c r="G191" s="17" t="s">
        <v>201</v>
      </c>
      <c r="H191" s="17" t="s">
        <v>26</v>
      </c>
      <c r="I191" s="16" t="s">
        <v>641</v>
      </c>
      <c r="J191" s="16" t="s">
        <v>26</v>
      </c>
      <c r="K191" s="16" t="s">
        <v>26</v>
      </c>
      <c r="L191" s="18" t="s">
        <v>28</v>
      </c>
      <c r="M191" s="19" t="s">
        <v>29</v>
      </c>
      <c r="N191" s="20">
        <v>0</v>
      </c>
      <c r="O191" s="16" t="s">
        <v>26</v>
      </c>
      <c r="P191" s="13"/>
      <c r="Q191" s="13"/>
      <c r="R191" s="14">
        <v>0</v>
      </c>
    </row>
    <row r="192" ht="20" customHeight="1" spans="1:18" x14ac:dyDescent="0.25">
      <c r="A192" s="7" t="s">
        <v>642</v>
      </c>
      <c r="B192" s="8" t="s">
        <v>26</v>
      </c>
      <c r="C192" s="8" t="s">
        <v>643</v>
      </c>
      <c r="D192" s="8" t="s">
        <v>234</v>
      </c>
      <c r="E192" s="9" t="s">
        <v>24</v>
      </c>
      <c r="F192" s="9" t="s">
        <v>200</v>
      </c>
      <c r="G192" s="9" t="s">
        <v>201</v>
      </c>
      <c r="H192" s="9" t="s">
        <v>26</v>
      </c>
      <c r="I192" s="8" t="s">
        <v>643</v>
      </c>
      <c r="J192" s="8" t="s">
        <v>26</v>
      </c>
      <c r="K192" s="8" t="s">
        <v>26</v>
      </c>
      <c r="L192" s="10" t="s">
        <v>28</v>
      </c>
      <c r="M192" s="11" t="s">
        <v>29</v>
      </c>
      <c r="N192" s="12">
        <v>0</v>
      </c>
      <c r="O192" s="8" t="s">
        <v>26</v>
      </c>
      <c r="P192" s="13"/>
      <c r="Q192" s="13"/>
      <c r="R192" s="14">
        <v>0</v>
      </c>
    </row>
    <row r="193" ht="20" customHeight="1" spans="1:18" x14ac:dyDescent="0.25">
      <c r="A193" s="15" t="s">
        <v>644</v>
      </c>
      <c r="B193" s="16" t="s">
        <v>26</v>
      </c>
      <c r="C193" s="16" t="s">
        <v>645</v>
      </c>
      <c r="D193" s="16" t="s">
        <v>234</v>
      </c>
      <c r="E193" s="17" t="s">
        <v>24</v>
      </c>
      <c r="F193" s="17" t="s">
        <v>200</v>
      </c>
      <c r="G193" s="17" t="s">
        <v>201</v>
      </c>
      <c r="H193" s="17" t="s">
        <v>26</v>
      </c>
      <c r="I193" s="16" t="s">
        <v>645</v>
      </c>
      <c r="J193" s="16" t="s">
        <v>26</v>
      </c>
      <c r="K193" s="16" t="s">
        <v>26</v>
      </c>
      <c r="L193" s="18" t="s">
        <v>28</v>
      </c>
      <c r="M193" s="19" t="s">
        <v>29</v>
      </c>
      <c r="N193" s="20">
        <v>0</v>
      </c>
      <c r="O193" s="16" t="s">
        <v>26</v>
      </c>
      <c r="P193" s="13"/>
      <c r="Q193" s="13"/>
      <c r="R193" s="14">
        <v>0</v>
      </c>
    </row>
    <row r="194" ht="20" customHeight="1" spans="1:18" x14ac:dyDescent="0.25">
      <c r="A194" s="7" t="s">
        <v>646</v>
      </c>
      <c r="B194" s="8" t="s">
        <v>26</v>
      </c>
      <c r="C194" s="8" t="s">
        <v>647</v>
      </c>
      <c r="D194" s="8" t="s">
        <v>234</v>
      </c>
      <c r="E194" s="9" t="s">
        <v>24</v>
      </c>
      <c r="F194" s="9" t="s">
        <v>200</v>
      </c>
      <c r="G194" s="9" t="s">
        <v>201</v>
      </c>
      <c r="H194" s="9" t="s">
        <v>26</v>
      </c>
      <c r="I194" s="8" t="s">
        <v>647</v>
      </c>
      <c r="J194" s="8" t="s">
        <v>26</v>
      </c>
      <c r="K194" s="8" t="s">
        <v>26</v>
      </c>
      <c r="L194" s="10" t="s">
        <v>28</v>
      </c>
      <c r="M194" s="11" t="s">
        <v>29</v>
      </c>
      <c r="N194" s="12">
        <v>0</v>
      </c>
      <c r="O194" s="8" t="s">
        <v>26</v>
      </c>
      <c r="P194" s="13"/>
      <c r="Q194" s="13"/>
      <c r="R194" s="14">
        <v>0</v>
      </c>
    </row>
    <row r="195" ht="20" customHeight="1" spans="1:18" x14ac:dyDescent="0.25">
      <c r="A195" s="15" t="s">
        <v>648</v>
      </c>
      <c r="B195" s="16" t="s">
        <v>26</v>
      </c>
      <c r="C195" s="16" t="s">
        <v>649</v>
      </c>
      <c r="D195" s="16" t="s">
        <v>234</v>
      </c>
      <c r="E195" s="17" t="s">
        <v>24</v>
      </c>
      <c r="F195" s="17" t="s">
        <v>200</v>
      </c>
      <c r="G195" s="17" t="s">
        <v>201</v>
      </c>
      <c r="H195" s="17" t="s">
        <v>26</v>
      </c>
      <c r="I195" s="16" t="s">
        <v>649</v>
      </c>
      <c r="J195" s="16" t="s">
        <v>26</v>
      </c>
      <c r="K195" s="16" t="s">
        <v>26</v>
      </c>
      <c r="L195" s="18" t="s">
        <v>28</v>
      </c>
      <c r="M195" s="19" t="s">
        <v>29</v>
      </c>
      <c r="N195" s="20">
        <v>0</v>
      </c>
      <c r="O195" s="16" t="s">
        <v>26</v>
      </c>
      <c r="P195" s="13"/>
      <c r="Q195" s="13"/>
      <c r="R195" s="14">
        <v>0</v>
      </c>
    </row>
    <row r="196" ht="20" customHeight="1" spans="1:18" x14ac:dyDescent="0.25">
      <c r="A196" s="7" t="s">
        <v>650</v>
      </c>
      <c r="B196" s="8" t="s">
        <v>26</v>
      </c>
      <c r="C196" s="8" t="s">
        <v>651</v>
      </c>
      <c r="D196" s="8" t="s">
        <v>234</v>
      </c>
      <c r="E196" s="9" t="s">
        <v>24</v>
      </c>
      <c r="F196" s="9" t="s">
        <v>200</v>
      </c>
      <c r="G196" s="9" t="s">
        <v>201</v>
      </c>
      <c r="H196" s="9" t="s">
        <v>26</v>
      </c>
      <c r="I196" s="8" t="s">
        <v>651</v>
      </c>
      <c r="J196" s="8" t="s">
        <v>26</v>
      </c>
      <c r="K196" s="8" t="s">
        <v>26</v>
      </c>
      <c r="L196" s="10" t="s">
        <v>28</v>
      </c>
      <c r="M196" s="11" t="s">
        <v>29</v>
      </c>
      <c r="N196" s="12">
        <v>0</v>
      </c>
      <c r="O196" s="8" t="s">
        <v>26</v>
      </c>
      <c r="P196" s="13"/>
      <c r="Q196" s="13"/>
      <c r="R196" s="14">
        <v>50</v>
      </c>
    </row>
    <row r="197" ht="20" customHeight="1" spans="1:18" x14ac:dyDescent="0.25">
      <c r="A197" s="15" t="s">
        <v>652</v>
      </c>
      <c r="B197" s="16" t="s">
        <v>26</v>
      </c>
      <c r="C197" s="16" t="s">
        <v>653</v>
      </c>
      <c r="D197" s="16" t="s">
        <v>234</v>
      </c>
      <c r="E197" s="17" t="s">
        <v>24</v>
      </c>
      <c r="F197" s="17" t="s">
        <v>200</v>
      </c>
      <c r="G197" s="17" t="s">
        <v>201</v>
      </c>
      <c r="H197" s="17" t="s">
        <v>26</v>
      </c>
      <c r="I197" s="16" t="s">
        <v>653</v>
      </c>
      <c r="J197" s="16" t="s">
        <v>26</v>
      </c>
      <c r="K197" s="16" t="s">
        <v>26</v>
      </c>
      <c r="L197" s="18" t="s">
        <v>28</v>
      </c>
      <c r="M197" s="19" t="s">
        <v>29</v>
      </c>
      <c r="N197" s="20">
        <v>0</v>
      </c>
      <c r="O197" s="16" t="s">
        <v>26</v>
      </c>
      <c r="P197" s="13"/>
      <c r="Q197" s="13"/>
      <c r="R197" s="14">
        <v>50</v>
      </c>
    </row>
    <row r="198" ht="20" customHeight="1" spans="1:18" x14ac:dyDescent="0.25">
      <c r="A198" s="7" t="s">
        <v>654</v>
      </c>
      <c r="B198" s="8" t="s">
        <v>26</v>
      </c>
      <c r="C198" s="8" t="s">
        <v>655</v>
      </c>
      <c r="D198" s="8" t="s">
        <v>234</v>
      </c>
      <c r="E198" s="9" t="s">
        <v>24</v>
      </c>
      <c r="F198" s="9" t="s">
        <v>200</v>
      </c>
      <c r="G198" s="9" t="s">
        <v>201</v>
      </c>
      <c r="H198" s="9" t="s">
        <v>26</v>
      </c>
      <c r="I198" s="8" t="s">
        <v>655</v>
      </c>
      <c r="J198" s="8" t="s">
        <v>26</v>
      </c>
      <c r="K198" s="8" t="s">
        <v>26</v>
      </c>
      <c r="L198" s="10" t="s">
        <v>28</v>
      </c>
      <c r="M198" s="11" t="s">
        <v>29</v>
      </c>
      <c r="N198" s="12">
        <v>0</v>
      </c>
      <c r="O198" s="8" t="s">
        <v>26</v>
      </c>
      <c r="P198" s="13"/>
      <c r="Q198" s="13"/>
      <c r="R198" s="14">
        <v>50</v>
      </c>
    </row>
    <row r="199" ht="20" customHeight="1" spans="1:18" x14ac:dyDescent="0.25">
      <c r="A199" s="15" t="s">
        <v>656</v>
      </c>
      <c r="B199" s="16" t="s">
        <v>26</v>
      </c>
      <c r="C199" s="16" t="s">
        <v>657</v>
      </c>
      <c r="D199" s="16" t="s">
        <v>234</v>
      </c>
      <c r="E199" s="17" t="s">
        <v>24</v>
      </c>
      <c r="F199" s="17" t="s">
        <v>200</v>
      </c>
      <c r="G199" s="17" t="s">
        <v>201</v>
      </c>
      <c r="H199" s="17" t="s">
        <v>26</v>
      </c>
      <c r="I199" s="16" t="s">
        <v>657</v>
      </c>
      <c r="J199" s="16" t="s">
        <v>26</v>
      </c>
      <c r="K199" s="16" t="s">
        <v>26</v>
      </c>
      <c r="L199" s="18" t="s">
        <v>28</v>
      </c>
      <c r="M199" s="19" t="s">
        <v>29</v>
      </c>
      <c r="N199" s="20">
        <v>0</v>
      </c>
      <c r="O199" s="16" t="s">
        <v>26</v>
      </c>
      <c r="P199" s="13"/>
      <c r="Q199" s="13"/>
      <c r="R199" s="14">
        <v>50</v>
      </c>
    </row>
    <row r="200" ht="20" customHeight="1" spans="1:18" x14ac:dyDescent="0.25">
      <c r="A200" s="7" t="s">
        <v>658</v>
      </c>
      <c r="B200" s="8" t="s">
        <v>659</v>
      </c>
      <c r="C200" s="8" t="s">
        <v>660</v>
      </c>
      <c r="D200" s="8" t="s">
        <v>234</v>
      </c>
      <c r="E200" s="9" t="s">
        <v>24</v>
      </c>
      <c r="F200" s="9" t="s">
        <v>200</v>
      </c>
      <c r="G200" s="9" t="s">
        <v>201</v>
      </c>
      <c r="H200" s="9" t="s">
        <v>26</v>
      </c>
      <c r="I200" s="8" t="s">
        <v>660</v>
      </c>
      <c r="J200" s="8" t="s">
        <v>661</v>
      </c>
      <c r="K200" s="8" t="s">
        <v>26</v>
      </c>
      <c r="L200" s="10" t="s">
        <v>28</v>
      </c>
      <c r="M200" s="11" t="s">
        <v>29</v>
      </c>
      <c r="N200" s="12">
        <v>0</v>
      </c>
      <c r="O200" s="8" t="s">
        <v>26</v>
      </c>
      <c r="P200" s="13"/>
      <c r="Q200" s="13"/>
      <c r="R200" s="14">
        <v>50</v>
      </c>
    </row>
    <row r="201" ht="20" customHeight="1" spans="1:18" x14ac:dyDescent="0.25">
      <c r="A201" s="15" t="s">
        <v>662</v>
      </c>
      <c r="B201" s="16" t="s">
        <v>663</v>
      </c>
      <c r="C201" s="16" t="s">
        <v>664</v>
      </c>
      <c r="D201" s="16" t="s">
        <v>234</v>
      </c>
      <c r="E201" s="17" t="s">
        <v>24</v>
      </c>
      <c r="F201" s="17" t="s">
        <v>200</v>
      </c>
      <c r="G201" s="17" t="s">
        <v>201</v>
      </c>
      <c r="H201" s="17" t="s">
        <v>26</v>
      </c>
      <c r="I201" s="16" t="s">
        <v>664</v>
      </c>
      <c r="J201" s="16" t="s">
        <v>26</v>
      </c>
      <c r="K201" s="16" t="s">
        <v>26</v>
      </c>
      <c r="L201" s="18" t="s">
        <v>28</v>
      </c>
      <c r="M201" s="19" t="s">
        <v>29</v>
      </c>
      <c r="N201" s="20">
        <v>0</v>
      </c>
      <c r="O201" s="16" t="s">
        <v>26</v>
      </c>
      <c r="P201" s="13"/>
      <c r="Q201" s="13"/>
      <c r="R201" s="14">
        <v>50</v>
      </c>
    </row>
    <row r="202" ht="20" customHeight="1" spans="1:18" x14ac:dyDescent="0.25">
      <c r="A202" s="7" t="s">
        <v>665</v>
      </c>
      <c r="B202" s="8" t="s">
        <v>666</v>
      </c>
      <c r="C202" s="8" t="s">
        <v>667</v>
      </c>
      <c r="D202" s="8" t="s">
        <v>234</v>
      </c>
      <c r="E202" s="9" t="s">
        <v>24</v>
      </c>
      <c r="F202" s="9" t="s">
        <v>200</v>
      </c>
      <c r="G202" s="9" t="s">
        <v>201</v>
      </c>
      <c r="H202" s="9" t="s">
        <v>26</v>
      </c>
      <c r="I202" s="8" t="s">
        <v>667</v>
      </c>
      <c r="J202" s="8" t="s">
        <v>26</v>
      </c>
      <c r="K202" s="8" t="s">
        <v>26</v>
      </c>
      <c r="L202" s="10" t="s">
        <v>28</v>
      </c>
      <c r="M202" s="11" t="s">
        <v>29</v>
      </c>
      <c r="N202" s="12">
        <v>0</v>
      </c>
      <c r="O202" s="8" t="s">
        <v>26</v>
      </c>
      <c r="P202" s="13"/>
      <c r="Q202" s="13"/>
      <c r="R202" s="14">
        <v>50</v>
      </c>
    </row>
    <row r="203" ht="20" customHeight="1" spans="1:18" x14ac:dyDescent="0.25">
      <c r="A203" s="15" t="s">
        <v>668</v>
      </c>
      <c r="B203" s="16" t="s">
        <v>669</v>
      </c>
      <c r="C203" s="16" t="s">
        <v>670</v>
      </c>
      <c r="D203" s="16" t="s">
        <v>234</v>
      </c>
      <c r="E203" s="17" t="s">
        <v>24</v>
      </c>
      <c r="F203" s="17" t="s">
        <v>200</v>
      </c>
      <c r="G203" s="17" t="s">
        <v>201</v>
      </c>
      <c r="H203" s="17" t="s">
        <v>26</v>
      </c>
      <c r="I203" s="16" t="s">
        <v>670</v>
      </c>
      <c r="J203" s="16" t="s">
        <v>26</v>
      </c>
      <c r="K203" s="16" t="s">
        <v>26</v>
      </c>
      <c r="L203" s="18" t="s">
        <v>28</v>
      </c>
      <c r="M203" s="19" t="s">
        <v>29</v>
      </c>
      <c r="N203" s="20">
        <v>0</v>
      </c>
      <c r="O203" s="16" t="s">
        <v>26</v>
      </c>
      <c r="P203" s="13"/>
      <c r="Q203" s="13"/>
      <c r="R203" s="14">
        <v>50</v>
      </c>
    </row>
    <row r="204" ht="20" customHeight="1" spans="1:18" x14ac:dyDescent="0.25">
      <c r="A204" s="7" t="s">
        <v>671</v>
      </c>
      <c r="B204" s="8" t="s">
        <v>672</v>
      </c>
      <c r="C204" s="8" t="s">
        <v>673</v>
      </c>
      <c r="D204" s="8" t="s">
        <v>234</v>
      </c>
      <c r="E204" s="9" t="s">
        <v>24</v>
      </c>
      <c r="F204" s="9" t="s">
        <v>200</v>
      </c>
      <c r="G204" s="9" t="s">
        <v>201</v>
      </c>
      <c r="H204" s="9" t="s">
        <v>26</v>
      </c>
      <c r="I204" s="8" t="s">
        <v>673</v>
      </c>
      <c r="J204" s="8" t="s">
        <v>26</v>
      </c>
      <c r="K204" s="8" t="s">
        <v>26</v>
      </c>
      <c r="L204" s="10" t="s">
        <v>28</v>
      </c>
      <c r="M204" s="11" t="s">
        <v>29</v>
      </c>
      <c r="N204" s="12">
        <v>0</v>
      </c>
      <c r="O204" s="8" t="s">
        <v>26</v>
      </c>
      <c r="P204" s="13"/>
      <c r="Q204" s="13"/>
      <c r="R204" s="14">
        <v>0</v>
      </c>
    </row>
    <row r="205" ht="20" customHeight="1" spans="1:18" x14ac:dyDescent="0.25">
      <c r="A205" s="15" t="s">
        <v>674</v>
      </c>
      <c r="B205" s="16" t="s">
        <v>675</v>
      </c>
      <c r="C205" s="16" t="s">
        <v>676</v>
      </c>
      <c r="D205" s="16" t="s">
        <v>234</v>
      </c>
      <c r="E205" s="17" t="s">
        <v>24</v>
      </c>
      <c r="F205" s="17" t="s">
        <v>200</v>
      </c>
      <c r="G205" s="17" t="s">
        <v>201</v>
      </c>
      <c r="H205" s="17" t="s">
        <v>26</v>
      </c>
      <c r="I205" s="16" t="s">
        <v>676</v>
      </c>
      <c r="J205" s="16" t="s">
        <v>677</v>
      </c>
      <c r="K205" s="16" t="s">
        <v>26</v>
      </c>
      <c r="L205" s="18" t="s">
        <v>28</v>
      </c>
      <c r="M205" s="19" t="s">
        <v>29</v>
      </c>
      <c r="N205" s="20">
        <v>0</v>
      </c>
      <c r="O205" s="16" t="s">
        <v>26</v>
      </c>
      <c r="P205" s="13"/>
      <c r="Q205" s="13"/>
      <c r="R205" s="14">
        <v>0</v>
      </c>
    </row>
    <row r="206" ht="20" customHeight="1" spans="1:18" x14ac:dyDescent="0.25">
      <c r="A206" s="7" t="s">
        <v>678</v>
      </c>
      <c r="B206" s="8" t="s">
        <v>679</v>
      </c>
      <c r="C206" s="8" t="s">
        <v>680</v>
      </c>
      <c r="D206" s="8" t="s">
        <v>234</v>
      </c>
      <c r="E206" s="9" t="s">
        <v>24</v>
      </c>
      <c r="F206" s="9" t="s">
        <v>200</v>
      </c>
      <c r="G206" s="9" t="s">
        <v>201</v>
      </c>
      <c r="H206" s="9" t="s">
        <v>26</v>
      </c>
      <c r="I206" s="8" t="s">
        <v>680</v>
      </c>
      <c r="J206" s="8" t="s">
        <v>26</v>
      </c>
      <c r="K206" s="8" t="s">
        <v>26</v>
      </c>
      <c r="L206" s="10" t="s">
        <v>28</v>
      </c>
      <c r="M206" s="11" t="s">
        <v>29</v>
      </c>
      <c r="N206" s="12">
        <v>0</v>
      </c>
      <c r="O206" s="8" t="s">
        <v>26</v>
      </c>
      <c r="P206" s="13"/>
      <c r="Q206" s="13"/>
      <c r="R206" s="14">
        <v>0</v>
      </c>
    </row>
    <row r="207" ht="20" customHeight="1" spans="1:18" x14ac:dyDescent="0.25">
      <c r="A207" s="15" t="s">
        <v>681</v>
      </c>
      <c r="B207" s="16" t="s">
        <v>682</v>
      </c>
      <c r="C207" s="16" t="s">
        <v>683</v>
      </c>
      <c r="D207" s="16" t="s">
        <v>234</v>
      </c>
      <c r="E207" s="17" t="s">
        <v>24</v>
      </c>
      <c r="F207" s="17" t="s">
        <v>200</v>
      </c>
      <c r="G207" s="17" t="s">
        <v>201</v>
      </c>
      <c r="H207" s="17" t="s">
        <v>26</v>
      </c>
      <c r="I207" s="16" t="s">
        <v>683</v>
      </c>
      <c r="J207" s="16" t="s">
        <v>26</v>
      </c>
      <c r="K207" s="16" t="s">
        <v>26</v>
      </c>
      <c r="L207" s="18" t="s">
        <v>28</v>
      </c>
      <c r="M207" s="19" t="s">
        <v>29</v>
      </c>
      <c r="N207" s="20">
        <v>0</v>
      </c>
      <c r="O207" s="16" t="s">
        <v>26</v>
      </c>
      <c r="P207" s="13"/>
      <c r="Q207" s="13"/>
      <c r="R207" s="14">
        <v>0</v>
      </c>
    </row>
    <row r="208" ht="20" customHeight="1" spans="1:18" x14ac:dyDescent="0.25">
      <c r="A208" s="7" t="s">
        <v>684</v>
      </c>
      <c r="B208" s="8" t="s">
        <v>685</v>
      </c>
      <c r="C208" s="8" t="s">
        <v>686</v>
      </c>
      <c r="D208" s="8" t="s">
        <v>234</v>
      </c>
      <c r="E208" s="9" t="s">
        <v>24</v>
      </c>
      <c r="F208" s="9" t="s">
        <v>200</v>
      </c>
      <c r="G208" s="9" t="s">
        <v>201</v>
      </c>
      <c r="H208" s="9" t="s">
        <v>26</v>
      </c>
      <c r="I208" s="8" t="s">
        <v>686</v>
      </c>
      <c r="J208" s="8" t="s">
        <v>26</v>
      </c>
      <c r="K208" s="8" t="s">
        <v>26</v>
      </c>
      <c r="L208" s="10" t="s">
        <v>28</v>
      </c>
      <c r="M208" s="11" t="s">
        <v>29</v>
      </c>
      <c r="N208" s="12">
        <v>0</v>
      </c>
      <c r="O208" s="8" t="s">
        <v>26</v>
      </c>
      <c r="P208" s="13"/>
      <c r="Q208" s="13"/>
      <c r="R208" s="14">
        <v>50</v>
      </c>
    </row>
    <row r="209" ht="20" customHeight="1" spans="1:18" x14ac:dyDescent="0.25">
      <c r="A209" s="15" t="s">
        <v>687</v>
      </c>
      <c r="B209" s="16" t="s">
        <v>688</v>
      </c>
      <c r="C209" s="16" t="s">
        <v>689</v>
      </c>
      <c r="D209" s="16" t="s">
        <v>234</v>
      </c>
      <c r="E209" s="17" t="s">
        <v>24</v>
      </c>
      <c r="F209" s="17" t="s">
        <v>200</v>
      </c>
      <c r="G209" s="17" t="s">
        <v>201</v>
      </c>
      <c r="H209" s="17" t="s">
        <v>26</v>
      </c>
      <c r="I209" s="16" t="s">
        <v>689</v>
      </c>
      <c r="J209" s="16" t="s">
        <v>26</v>
      </c>
      <c r="K209" s="16" t="s">
        <v>26</v>
      </c>
      <c r="L209" s="18" t="s">
        <v>28</v>
      </c>
      <c r="M209" s="19" t="s">
        <v>29</v>
      </c>
      <c r="N209" s="20">
        <v>0</v>
      </c>
      <c r="O209" s="16" t="s">
        <v>26</v>
      </c>
      <c r="P209" s="13"/>
      <c r="Q209" s="13"/>
      <c r="R209" s="14">
        <v>50</v>
      </c>
    </row>
    <row r="210" ht="20" customHeight="1" spans="1:18" x14ac:dyDescent="0.25">
      <c r="A210" s="7" t="s">
        <v>690</v>
      </c>
      <c r="B210" s="8" t="s">
        <v>691</v>
      </c>
      <c r="C210" s="8" t="s">
        <v>692</v>
      </c>
      <c r="D210" s="8" t="s">
        <v>234</v>
      </c>
      <c r="E210" s="9" t="s">
        <v>24</v>
      </c>
      <c r="F210" s="9" t="s">
        <v>200</v>
      </c>
      <c r="G210" s="9" t="s">
        <v>201</v>
      </c>
      <c r="H210" s="9" t="s">
        <v>26</v>
      </c>
      <c r="I210" s="8" t="s">
        <v>692</v>
      </c>
      <c r="J210" s="8" t="s">
        <v>26</v>
      </c>
      <c r="K210" s="8" t="s">
        <v>26</v>
      </c>
      <c r="L210" s="10" t="s">
        <v>28</v>
      </c>
      <c r="M210" s="11" t="s">
        <v>29</v>
      </c>
      <c r="N210" s="12">
        <v>0</v>
      </c>
      <c r="O210" s="8" t="s">
        <v>26</v>
      </c>
      <c r="P210" s="13"/>
      <c r="Q210" s="13"/>
      <c r="R210" s="14">
        <v>0</v>
      </c>
    </row>
    <row r="211" ht="20" customHeight="1" spans="1:18" x14ac:dyDescent="0.25">
      <c r="A211" s="15" t="s">
        <v>693</v>
      </c>
      <c r="B211" s="16" t="s">
        <v>694</v>
      </c>
      <c r="C211" s="16" t="s">
        <v>695</v>
      </c>
      <c r="D211" s="16" t="s">
        <v>234</v>
      </c>
      <c r="E211" s="17" t="s">
        <v>24</v>
      </c>
      <c r="F211" s="17" t="s">
        <v>200</v>
      </c>
      <c r="G211" s="17" t="s">
        <v>201</v>
      </c>
      <c r="H211" s="17" t="s">
        <v>26</v>
      </c>
      <c r="I211" s="16" t="s">
        <v>695</v>
      </c>
      <c r="J211" s="16" t="s">
        <v>26</v>
      </c>
      <c r="K211" s="16" t="s">
        <v>26</v>
      </c>
      <c r="L211" s="18" t="s">
        <v>28</v>
      </c>
      <c r="M211" s="19" t="s">
        <v>29</v>
      </c>
      <c r="N211" s="20">
        <v>0</v>
      </c>
      <c r="O211" s="16" t="s">
        <v>26</v>
      </c>
      <c r="P211" s="13"/>
      <c r="Q211" s="13"/>
      <c r="R211" s="14">
        <v>35</v>
      </c>
    </row>
    <row r="212" ht="20" customHeight="1" spans="1:18" x14ac:dyDescent="0.25">
      <c r="A212" s="7" t="s">
        <v>696</v>
      </c>
      <c r="B212" s="8" t="s">
        <v>697</v>
      </c>
      <c r="C212" s="8" t="s">
        <v>698</v>
      </c>
      <c r="D212" s="8" t="s">
        <v>234</v>
      </c>
      <c r="E212" s="9" t="s">
        <v>24</v>
      </c>
      <c r="F212" s="9" t="s">
        <v>200</v>
      </c>
      <c r="G212" s="9" t="s">
        <v>201</v>
      </c>
      <c r="H212" s="9" t="s">
        <v>26</v>
      </c>
      <c r="I212" s="8" t="s">
        <v>698</v>
      </c>
      <c r="J212" s="8" t="s">
        <v>26</v>
      </c>
      <c r="K212" s="8" t="s">
        <v>26</v>
      </c>
      <c r="L212" s="10" t="s">
        <v>28</v>
      </c>
      <c r="M212" s="11" t="s">
        <v>29</v>
      </c>
      <c r="N212" s="12">
        <v>0</v>
      </c>
      <c r="O212" s="8" t="s">
        <v>26</v>
      </c>
      <c r="P212" s="13"/>
      <c r="Q212" s="13"/>
      <c r="R212" s="14">
        <v>50</v>
      </c>
    </row>
    <row r="213" ht="20" customHeight="1" spans="1:18" x14ac:dyDescent="0.25">
      <c r="A213" s="15" t="s">
        <v>699</v>
      </c>
      <c r="B213" s="16" t="s">
        <v>700</v>
      </c>
      <c r="C213" s="16" t="s">
        <v>701</v>
      </c>
      <c r="D213" s="16" t="s">
        <v>234</v>
      </c>
      <c r="E213" s="17" t="s">
        <v>24</v>
      </c>
      <c r="F213" s="17" t="s">
        <v>200</v>
      </c>
      <c r="G213" s="17" t="s">
        <v>201</v>
      </c>
      <c r="H213" s="17" t="s">
        <v>26</v>
      </c>
      <c r="I213" s="16" t="s">
        <v>701</v>
      </c>
      <c r="J213" s="16" t="s">
        <v>26</v>
      </c>
      <c r="K213" s="16" t="s">
        <v>26</v>
      </c>
      <c r="L213" s="18" t="s">
        <v>28</v>
      </c>
      <c r="M213" s="19" t="s">
        <v>29</v>
      </c>
      <c r="N213" s="20">
        <v>0</v>
      </c>
      <c r="O213" s="16" t="s">
        <v>26</v>
      </c>
      <c r="P213" s="13"/>
      <c r="Q213" s="13"/>
      <c r="R213" s="14">
        <v>0</v>
      </c>
    </row>
    <row r="214" ht="20" customHeight="1" spans="1:18" x14ac:dyDescent="0.25">
      <c r="A214" s="7" t="s">
        <v>702</v>
      </c>
      <c r="B214" s="8" t="s">
        <v>703</v>
      </c>
      <c r="C214" s="8" t="s">
        <v>704</v>
      </c>
      <c r="D214" s="8" t="s">
        <v>234</v>
      </c>
      <c r="E214" s="9" t="s">
        <v>24</v>
      </c>
      <c r="F214" s="9" t="s">
        <v>200</v>
      </c>
      <c r="G214" s="9" t="s">
        <v>201</v>
      </c>
      <c r="H214" s="9" t="s">
        <v>26</v>
      </c>
      <c r="I214" s="8" t="s">
        <v>704</v>
      </c>
      <c r="J214" s="8" t="s">
        <v>26</v>
      </c>
      <c r="K214" s="8" t="s">
        <v>26</v>
      </c>
      <c r="L214" s="10" t="s">
        <v>28</v>
      </c>
      <c r="M214" s="11" t="s">
        <v>29</v>
      </c>
      <c r="N214" s="12">
        <v>0</v>
      </c>
      <c r="O214" s="8" t="s">
        <v>26</v>
      </c>
      <c r="P214" s="13"/>
      <c r="Q214" s="13"/>
      <c r="R214" s="14">
        <v>0</v>
      </c>
    </row>
    <row r="215" ht="20" customHeight="1" spans="1:18" x14ac:dyDescent="0.25">
      <c r="A215" s="15" t="s">
        <v>705</v>
      </c>
      <c r="B215" s="16" t="s">
        <v>706</v>
      </c>
      <c r="C215" s="16" t="s">
        <v>707</v>
      </c>
      <c r="D215" s="16" t="s">
        <v>234</v>
      </c>
      <c r="E215" s="17" t="s">
        <v>24</v>
      </c>
      <c r="F215" s="17" t="s">
        <v>200</v>
      </c>
      <c r="G215" s="17" t="s">
        <v>201</v>
      </c>
      <c r="H215" s="17" t="s">
        <v>26</v>
      </c>
      <c r="I215" s="16" t="s">
        <v>707</v>
      </c>
      <c r="J215" s="16" t="s">
        <v>26</v>
      </c>
      <c r="K215" s="16" t="s">
        <v>26</v>
      </c>
      <c r="L215" s="18" t="s">
        <v>28</v>
      </c>
      <c r="M215" s="19" t="s">
        <v>29</v>
      </c>
      <c r="N215" s="20">
        <v>0</v>
      </c>
      <c r="O215" s="16" t="s">
        <v>26</v>
      </c>
      <c r="P215" s="13"/>
      <c r="Q215" s="13"/>
      <c r="R215" s="14">
        <v>0</v>
      </c>
    </row>
    <row r="216" ht="20" customHeight="1" spans="1:18" x14ac:dyDescent="0.25">
      <c r="A216" s="7" t="s">
        <v>708</v>
      </c>
      <c r="B216" s="8" t="s">
        <v>709</v>
      </c>
      <c r="C216" s="8" t="s">
        <v>710</v>
      </c>
      <c r="D216" s="8" t="s">
        <v>234</v>
      </c>
      <c r="E216" s="9" t="s">
        <v>24</v>
      </c>
      <c r="F216" s="9" t="s">
        <v>200</v>
      </c>
      <c r="G216" s="9" t="s">
        <v>201</v>
      </c>
      <c r="H216" s="9" t="s">
        <v>26</v>
      </c>
      <c r="I216" s="8" t="s">
        <v>710</v>
      </c>
      <c r="J216" s="8" t="s">
        <v>26</v>
      </c>
      <c r="K216" s="8" t="s">
        <v>26</v>
      </c>
      <c r="L216" s="10" t="s">
        <v>28</v>
      </c>
      <c r="M216" s="11" t="s">
        <v>29</v>
      </c>
      <c r="N216" s="12">
        <v>0</v>
      </c>
      <c r="O216" s="8" t="s">
        <v>26</v>
      </c>
      <c r="P216" s="13"/>
      <c r="Q216" s="13"/>
      <c r="R216" s="14">
        <v>50</v>
      </c>
    </row>
    <row r="217" ht="20" customHeight="1" spans="1:18" x14ac:dyDescent="0.25">
      <c r="A217" s="15" t="s">
        <v>711</v>
      </c>
      <c r="B217" s="16" t="s">
        <v>712</v>
      </c>
      <c r="C217" s="16" t="s">
        <v>713</v>
      </c>
      <c r="D217" s="16" t="s">
        <v>26</v>
      </c>
      <c r="E217" s="17" t="s">
        <v>24</v>
      </c>
      <c r="F217" s="17" t="s">
        <v>26</v>
      </c>
      <c r="G217" s="17" t="s">
        <v>26</v>
      </c>
      <c r="H217" s="17" t="s">
        <v>26</v>
      </c>
      <c r="I217" s="16" t="s">
        <v>713</v>
      </c>
      <c r="J217" s="16" t="s">
        <v>26</v>
      </c>
      <c r="K217" s="16" t="s">
        <v>26</v>
      </c>
      <c r="L217" s="18" t="s">
        <v>28</v>
      </c>
      <c r="M217" s="19" t="s">
        <v>29</v>
      </c>
      <c r="N217" s="20">
        <v>0</v>
      </c>
      <c r="O217" s="16" t="s">
        <v>26</v>
      </c>
      <c r="P217" s="13"/>
      <c r="Q217" s="13"/>
      <c r="R217" s="14">
        <v>0</v>
      </c>
    </row>
    <row r="218" ht="20" customHeight="1" spans="1:18" x14ac:dyDescent="0.25">
      <c r="A218" s="7" t="s">
        <v>714</v>
      </c>
      <c r="B218" s="8" t="s">
        <v>715</v>
      </c>
      <c r="C218" s="8" t="s">
        <v>716</v>
      </c>
      <c r="D218" s="8" t="s">
        <v>26</v>
      </c>
      <c r="E218" s="9" t="s">
        <v>24</v>
      </c>
      <c r="F218" s="9" t="s">
        <v>26</v>
      </c>
      <c r="G218" s="9" t="s">
        <v>26</v>
      </c>
      <c r="H218" s="9" t="s">
        <v>26</v>
      </c>
      <c r="I218" s="8" t="s">
        <v>716</v>
      </c>
      <c r="J218" s="8" t="s">
        <v>26</v>
      </c>
      <c r="K218" s="8" t="s">
        <v>26</v>
      </c>
      <c r="L218" s="10" t="s">
        <v>28</v>
      </c>
      <c r="M218" s="11" t="s">
        <v>29</v>
      </c>
      <c r="N218" s="12">
        <v>0</v>
      </c>
      <c r="O218" s="8" t="s">
        <v>26</v>
      </c>
      <c r="P218" s="13"/>
      <c r="Q218" s="13"/>
      <c r="R218" s="14">
        <v>20</v>
      </c>
    </row>
    <row r="219" ht="20" customHeight="1" spans="1:18" x14ac:dyDescent="0.25">
      <c r="A219" s="15" t="s">
        <v>717</v>
      </c>
      <c r="B219" s="16" t="s">
        <v>718</v>
      </c>
      <c r="C219" s="16" t="s">
        <v>719</v>
      </c>
      <c r="D219" s="16" t="s">
        <v>23</v>
      </c>
      <c r="E219" s="17" t="s">
        <v>24</v>
      </c>
      <c r="F219" s="17" t="s">
        <v>25</v>
      </c>
      <c r="G219" s="17" t="s">
        <v>34</v>
      </c>
      <c r="H219" s="17" t="s">
        <v>26</v>
      </c>
      <c r="I219" s="16" t="s">
        <v>719</v>
      </c>
      <c r="J219" s="16" t="s">
        <v>720</v>
      </c>
      <c r="K219" s="16" t="s">
        <v>26</v>
      </c>
      <c r="L219" s="18" t="s">
        <v>28</v>
      </c>
      <c r="M219" s="19" t="s">
        <v>29</v>
      </c>
      <c r="N219" s="20">
        <v>0</v>
      </c>
      <c r="O219" s="16" t="s">
        <v>26</v>
      </c>
      <c r="P219" s="13"/>
      <c r="Q219" s="13"/>
      <c r="R219" s="14">
        <v>38</v>
      </c>
    </row>
    <row r="220" ht="20" customHeight="1" spans="1:18" x14ac:dyDescent="0.25">
      <c r="A220" s="7" t="s">
        <v>721</v>
      </c>
      <c r="B220" s="8" t="s">
        <v>722</v>
      </c>
      <c r="C220" s="8" t="s">
        <v>723</v>
      </c>
      <c r="D220" s="8" t="s">
        <v>199</v>
      </c>
      <c r="E220" s="9" t="s">
        <v>24</v>
      </c>
      <c r="F220" s="9" t="s">
        <v>200</v>
      </c>
      <c r="G220" s="9" t="s">
        <v>201</v>
      </c>
      <c r="H220" s="9" t="s">
        <v>26</v>
      </c>
      <c r="I220" s="8" t="s">
        <v>723</v>
      </c>
      <c r="J220" s="8" t="s">
        <v>26</v>
      </c>
      <c r="K220" s="8" t="s">
        <v>26</v>
      </c>
      <c r="L220" s="10" t="s">
        <v>28</v>
      </c>
      <c r="M220" s="11" t="s">
        <v>29</v>
      </c>
      <c r="N220" s="12">
        <v>0</v>
      </c>
      <c r="O220" s="8" t="s">
        <v>26</v>
      </c>
      <c r="P220" s="13">
        <v>500</v>
      </c>
      <c r="Q220" s="13">
        <v>400</v>
      </c>
      <c r="R220" s="14">
        <v>20</v>
      </c>
    </row>
    <row r="221" ht="20" customHeight="1" spans="1:18" x14ac:dyDescent="0.25">
      <c r="A221" s="15" t="s">
        <v>724</v>
      </c>
      <c r="B221" s="16" t="s">
        <v>725</v>
      </c>
      <c r="C221" s="16" t="s">
        <v>726</v>
      </c>
      <c r="D221" s="16" t="s">
        <v>234</v>
      </c>
      <c r="E221" s="17" t="s">
        <v>24</v>
      </c>
      <c r="F221" s="17" t="s">
        <v>200</v>
      </c>
      <c r="G221" s="17" t="s">
        <v>201</v>
      </c>
      <c r="H221" s="17" t="s">
        <v>26</v>
      </c>
      <c r="I221" s="16" t="s">
        <v>726</v>
      </c>
      <c r="J221" s="16" t="s">
        <v>727</v>
      </c>
      <c r="K221" s="16" t="s">
        <v>26</v>
      </c>
      <c r="L221" s="19" t="s">
        <v>29</v>
      </c>
      <c r="M221" s="19" t="s">
        <v>29</v>
      </c>
      <c r="N221" s="20">
        <v>0</v>
      </c>
      <c r="O221" s="16" t="s">
        <v>26</v>
      </c>
      <c r="P221" s="13">
        <v>9999999</v>
      </c>
      <c r="Q221" s="13"/>
      <c r="R221" s="14">
        <v>0</v>
      </c>
    </row>
  </sheetData>
  <mergeCells count="2">
    <mergeCell ref="A1:R1"/>
    <mergeCell ref="A2:R2"/>
  </mergeCells>
  <dataValidations count="10">
    <dataValidation type="list" allowBlank="1" sqref="E10:E521">
      <formula1>Listas!$A$2:$A$3</formula1>
    </dataValidation>
    <dataValidation type="list" allowBlank="1" sqref="E4:E521">
      <formula1>Listas!$A$2:$A$3</formula1>
    </dataValidation>
    <dataValidation type="list" allowBlank="1" sqref="F10:F521">
      <formula1>Listas!$B$2:$B$10</formula1>
    </dataValidation>
    <dataValidation type="list" allowBlank="1" sqref="F4:F521">
      <formula1>Listas!$B$2:$B$10</formula1>
    </dataValidation>
    <dataValidation type="list" allowBlank="1" sqref="G10:G521">
      <formula1>Listas!$C$2:$C$44</formula1>
    </dataValidation>
    <dataValidation type="list" allowBlank="1" sqref="G4:G521">
      <formula1>Listas!$C$2:$C$44</formula1>
    </dataValidation>
    <dataValidation type="list" allowBlank="1" sqref="H10:H521">
      <formula1>Listas!$D$2:$D$94</formula1>
    </dataValidation>
    <dataValidation type="list" allowBlank="1" sqref="H4:H521">
      <formula1>Listas!$D$2:$D$94</formula1>
    </dataValidation>
    <dataValidation type="list" allowBlank="1" sqref="L10:M521">
      <formula1>Listas!$F$2:$F$3</formula1>
    </dataValidation>
    <dataValidation type="list" allowBlank="1" sqref="L4:M521">
      <formula1>Listas!$F$2:$F$3</formula1>
    </dataValidation>
  </dataValidations>
  <pageMargins left="0.7" right="0.7" top="0.75" bottom="0.75" header="0.3" footer="0.3"/>
  <pageSetup orientation="landscape"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362"/>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728</v>
      </c>
      <c r="B1" s="21"/>
      <c r="C1" s="21"/>
      <c r="D1" s="21"/>
      <c r="E1" s="21"/>
      <c r="F1" s="21"/>
      <c r="G1" s="21"/>
      <c r="H1" s="21"/>
      <c r="I1" s="21"/>
      <c r="J1" s="21"/>
      <c r="K1" s="21"/>
      <c r="L1" s="21"/>
    </row>
    <row r="2" ht="28" customHeight="1" spans="1:12" x14ac:dyDescent="0.25">
      <c r="A2" s="2" t="s">
        <v>729</v>
      </c>
      <c r="B2" s="2"/>
      <c r="C2" s="2"/>
      <c r="D2" s="2"/>
      <c r="E2" s="2"/>
      <c r="F2" s="2"/>
      <c r="G2" s="2"/>
      <c r="H2" s="2"/>
      <c r="I2" s="2"/>
      <c r="J2" s="2"/>
      <c r="K2" s="2"/>
      <c r="L2" s="2"/>
    </row>
    <row r="3" ht="30" customHeight="1" spans="1:12" x14ac:dyDescent="0.25">
      <c r="A3" s="22" t="s">
        <v>730</v>
      </c>
      <c r="B3" s="22" t="s">
        <v>731</v>
      </c>
      <c r="C3" s="6" t="s">
        <v>732</v>
      </c>
      <c r="D3" s="5" t="s">
        <v>3</v>
      </c>
      <c r="E3" s="5" t="s">
        <v>733</v>
      </c>
      <c r="F3" s="5" t="s">
        <v>15</v>
      </c>
      <c r="G3" s="22" t="s">
        <v>17</v>
      </c>
      <c r="H3" s="5" t="s">
        <v>18</v>
      </c>
      <c r="I3" s="6" t="s">
        <v>19</v>
      </c>
      <c r="J3" s="5" t="s">
        <v>13</v>
      </c>
      <c r="K3" s="5" t="s">
        <v>734</v>
      </c>
      <c r="L3" s="23" t="s">
        <v>735</v>
      </c>
    </row>
    <row r="4" ht="20" customHeight="1" spans="1:12" x14ac:dyDescent="0.25">
      <c r="A4" s="7" t="s">
        <v>736</v>
      </c>
      <c r="B4" s="7" t="s">
        <v>20</v>
      </c>
      <c r="C4" s="24">
        <f>IF(B4&lt;&gt;"",IFERROR(VLOOKUP(B4,'📦 Productos'!A:C,3,FALSE),IFERROR(VLOOKUP(B4&amp;"",'📦 Productos'!A:C,3,FALSE),IFERROR(VLOOKUP(VALUE(B4),'📦 Productos'!A:C,3,FALSE),""))),"")</f>
      </c>
      <c r="D4" s="7" t="s">
        <v>21</v>
      </c>
      <c r="E4" s="8" t="s">
        <v>737</v>
      </c>
      <c r="F4" s="12">
        <v>0</v>
      </c>
      <c r="G4" s="25">
        <v>196000</v>
      </c>
      <c r="H4" s="26"/>
      <c r="I4" s="14">
        <v>0</v>
      </c>
      <c r="J4" s="27" t="s">
        <v>29</v>
      </c>
      <c r="K4" s="12" t="s">
        <v>738</v>
      </c>
      <c r="L4" s="8" t="s">
        <v>26</v>
      </c>
    </row>
    <row r="5" ht="20" customHeight="1" spans="1:12" x14ac:dyDescent="0.25">
      <c r="A5" s="28" t="s">
        <v>739</v>
      </c>
      <c r="B5" s="28" t="s">
        <v>20</v>
      </c>
      <c r="C5" s="24">
        <f>IF(B5&lt;&gt;"",IFERROR(VLOOKUP(B5,'📦 Productos'!A:C,3,FALSE),IFERROR(VLOOKUP(B5&amp;"",'📦 Productos'!A:C,3,FALSE),IFERROR(VLOOKUP(VALUE(B5),'📦 Productos'!A:C,3,FALSE),""))),"")</f>
      </c>
      <c r="D5" s="28" t="s">
        <v>740</v>
      </c>
      <c r="E5" s="29" t="s">
        <v>741</v>
      </c>
      <c r="F5" s="30">
        <v>0</v>
      </c>
      <c r="G5" s="31">
        <v>258000</v>
      </c>
      <c r="H5" s="32"/>
      <c r="I5" s="14">
        <v>0</v>
      </c>
      <c r="J5" s="33" t="s">
        <v>29</v>
      </c>
      <c r="K5" s="30" t="s">
        <v>738</v>
      </c>
      <c r="L5" s="29" t="s">
        <v>26</v>
      </c>
    </row>
    <row r="6" ht="20" customHeight="1" spans="1:12" x14ac:dyDescent="0.25">
      <c r="A6" s="7" t="s">
        <v>742</v>
      </c>
      <c r="B6" s="7" t="s">
        <v>31</v>
      </c>
      <c r="C6" s="24">
        <f>IF(B6&lt;&gt;"",IFERROR(VLOOKUP(B6,'📦 Productos'!A:C,3,FALSE),IFERROR(VLOOKUP(B6&amp;"",'📦 Productos'!A:C,3,FALSE),IFERROR(VLOOKUP(VALUE(B6),'📦 Productos'!A:C,3,FALSE),""))),"")</f>
      </c>
      <c r="D6" s="7" t="s">
        <v>32</v>
      </c>
      <c r="E6" s="8" t="s">
        <v>743</v>
      </c>
      <c r="F6" s="12">
        <v>0</v>
      </c>
      <c r="G6" s="25">
        <v>105000</v>
      </c>
      <c r="H6" s="26"/>
      <c r="I6" s="14">
        <v>0</v>
      </c>
      <c r="J6" s="27" t="s">
        <v>29</v>
      </c>
      <c r="K6" s="12" t="s">
        <v>738</v>
      </c>
      <c r="L6" s="8" t="s">
        <v>26</v>
      </c>
    </row>
    <row r="7" ht="20" customHeight="1" spans="1:12" x14ac:dyDescent="0.25">
      <c r="A7" s="28" t="s">
        <v>744</v>
      </c>
      <c r="B7" s="28" t="s">
        <v>31</v>
      </c>
      <c r="C7" s="24">
        <f>IF(B7&lt;&gt;"",IFERROR(VLOOKUP(B7,'📦 Productos'!A:C,3,FALSE),IFERROR(VLOOKUP(B7&amp;"",'📦 Productos'!A:C,3,FALSE),IFERROR(VLOOKUP(VALUE(B7),'📦 Productos'!A:C,3,FALSE),""))),"")</f>
      </c>
      <c r="D7" s="28" t="s">
        <v>745</v>
      </c>
      <c r="E7" s="29" t="s">
        <v>746</v>
      </c>
      <c r="F7" s="30">
        <v>0</v>
      </c>
      <c r="G7" s="31">
        <v>218000</v>
      </c>
      <c r="H7" s="32"/>
      <c r="I7" s="14">
        <v>0</v>
      </c>
      <c r="J7" s="33" t="s">
        <v>29</v>
      </c>
      <c r="K7" s="30" t="s">
        <v>738</v>
      </c>
      <c r="L7" s="29" t="s">
        <v>26</v>
      </c>
    </row>
    <row r="8" ht="20" customHeight="1" spans="1:12" x14ac:dyDescent="0.25">
      <c r="A8" s="7" t="s">
        <v>747</v>
      </c>
      <c r="B8" s="7" t="s">
        <v>31</v>
      </c>
      <c r="C8" s="24">
        <f>IF(B8&lt;&gt;"",IFERROR(VLOOKUP(B8,'📦 Productos'!A:C,3,FALSE),IFERROR(VLOOKUP(B8&amp;"",'📦 Productos'!A:C,3,FALSE),IFERROR(VLOOKUP(VALUE(B8),'📦 Productos'!A:C,3,FALSE),""))),"")</f>
      </c>
      <c r="D8" s="7" t="s">
        <v>748</v>
      </c>
      <c r="E8" s="8" t="s">
        <v>749</v>
      </c>
      <c r="F8" s="12">
        <v>0</v>
      </c>
      <c r="G8" s="25">
        <v>150000</v>
      </c>
      <c r="H8" s="26"/>
      <c r="I8" s="14">
        <v>0</v>
      </c>
      <c r="J8" s="27" t="s">
        <v>29</v>
      </c>
      <c r="K8" s="12" t="s">
        <v>738</v>
      </c>
      <c r="L8" s="8" t="s">
        <v>26</v>
      </c>
    </row>
    <row r="9" ht="20" customHeight="1" spans="1:12" x14ac:dyDescent="0.25">
      <c r="A9" s="28" t="s">
        <v>750</v>
      </c>
      <c r="B9" s="28" t="s">
        <v>36</v>
      </c>
      <c r="C9" s="24">
        <f>IF(B9&lt;&gt;"",IFERROR(VLOOKUP(B9,'📦 Productos'!A:C,3,FALSE),IFERROR(VLOOKUP(B9&amp;"",'📦 Productos'!A:C,3,FALSE),IFERROR(VLOOKUP(VALUE(B9),'📦 Productos'!A:C,3,FALSE),""))),"")</f>
      </c>
      <c r="D9" s="28" t="s">
        <v>37</v>
      </c>
      <c r="E9" s="29" t="s">
        <v>746</v>
      </c>
      <c r="F9" s="30">
        <v>0</v>
      </c>
      <c r="G9" s="31">
        <v>218000</v>
      </c>
      <c r="H9" s="32"/>
      <c r="I9" s="14">
        <v>0</v>
      </c>
      <c r="J9" s="33" t="s">
        <v>29</v>
      </c>
      <c r="K9" s="30" t="s">
        <v>738</v>
      </c>
      <c r="L9" s="29" t="s">
        <v>26</v>
      </c>
    </row>
    <row r="10" ht="20" customHeight="1" spans="1:12" x14ac:dyDescent="0.25">
      <c r="A10" s="7" t="s">
        <v>751</v>
      </c>
      <c r="B10" s="7" t="s">
        <v>36</v>
      </c>
      <c r="C10" s="24">
        <f>IF(B10&lt;&gt;"",IFERROR(VLOOKUP(B10,'📦 Productos'!A:C,3,FALSE),IFERROR(VLOOKUP(B10&amp;"",'📦 Productos'!A:C,3,FALSE),IFERROR(VLOOKUP(VALUE(B10),'📦 Productos'!A:C,3,FALSE),""))),"")</f>
      </c>
      <c r="D10" s="7" t="s">
        <v>752</v>
      </c>
      <c r="E10" s="8" t="s">
        <v>743</v>
      </c>
      <c r="F10" s="12">
        <v>0</v>
      </c>
      <c r="G10" s="25">
        <v>105000</v>
      </c>
      <c r="H10" s="26"/>
      <c r="I10" s="14">
        <v>0</v>
      </c>
      <c r="J10" s="27" t="s">
        <v>29</v>
      </c>
      <c r="K10" s="12" t="s">
        <v>738</v>
      </c>
      <c r="L10" s="8" t="s">
        <v>26</v>
      </c>
    </row>
    <row r="11" ht="20" customHeight="1" spans="1:12" x14ac:dyDescent="0.25">
      <c r="A11" s="28" t="s">
        <v>753</v>
      </c>
      <c r="B11" s="28" t="s">
        <v>36</v>
      </c>
      <c r="C11" s="24">
        <f>IF(B11&lt;&gt;"",IFERROR(VLOOKUP(B11,'📦 Productos'!A:C,3,FALSE),IFERROR(VLOOKUP(B11&amp;"",'📦 Productos'!A:C,3,FALSE),IFERROR(VLOOKUP(VALUE(B11),'📦 Productos'!A:C,3,FALSE),""))),"")</f>
      </c>
      <c r="D11" s="28" t="s">
        <v>754</v>
      </c>
      <c r="E11" s="29" t="s">
        <v>749</v>
      </c>
      <c r="F11" s="30">
        <v>0</v>
      </c>
      <c r="G11" s="31">
        <v>150000</v>
      </c>
      <c r="H11" s="32"/>
      <c r="I11" s="14">
        <v>0</v>
      </c>
      <c r="J11" s="33" t="s">
        <v>29</v>
      </c>
      <c r="K11" s="30" t="s">
        <v>738</v>
      </c>
      <c r="L11" s="29" t="s">
        <v>26</v>
      </c>
    </row>
    <row r="12" ht="20" customHeight="1" spans="1:12" x14ac:dyDescent="0.25">
      <c r="A12" s="7" t="s">
        <v>755</v>
      </c>
      <c r="B12" s="7" t="s">
        <v>40</v>
      </c>
      <c r="C12" s="24">
        <f>IF(B12&lt;&gt;"",IFERROR(VLOOKUP(B12,'📦 Productos'!A:C,3,FALSE),IFERROR(VLOOKUP(B12&amp;"",'📦 Productos'!A:C,3,FALSE),IFERROR(VLOOKUP(VALUE(B12),'📦 Productos'!A:C,3,FALSE),""))),"")</f>
      </c>
      <c r="D12" s="7" t="s">
        <v>41</v>
      </c>
      <c r="E12" s="8" t="s">
        <v>756</v>
      </c>
      <c r="F12" s="12">
        <v>0</v>
      </c>
      <c r="G12" s="25">
        <v>268000</v>
      </c>
      <c r="H12" s="26">
        <v>166160</v>
      </c>
      <c r="I12" s="14">
        <v>38</v>
      </c>
      <c r="J12" s="27" t="s">
        <v>29</v>
      </c>
      <c r="K12" s="12" t="s">
        <v>738</v>
      </c>
      <c r="L12" s="8" t="s">
        <v>26</v>
      </c>
    </row>
    <row r="13" ht="20" customHeight="1" spans="1:12" x14ac:dyDescent="0.25">
      <c r="A13" s="28" t="s">
        <v>757</v>
      </c>
      <c r="B13" s="28" t="s">
        <v>44</v>
      </c>
      <c r="C13" s="24">
        <f>IF(B13&lt;&gt;"",IFERROR(VLOOKUP(B13,'📦 Productos'!A:C,3,FALSE),IFERROR(VLOOKUP(B13&amp;"",'📦 Productos'!A:C,3,FALSE),IFERROR(VLOOKUP(VALUE(B13),'📦 Productos'!A:C,3,FALSE),""))),"")</f>
      </c>
      <c r="D13" s="28" t="s">
        <v>45</v>
      </c>
      <c r="E13" s="29" t="s">
        <v>746</v>
      </c>
      <c r="F13" s="30">
        <v>0</v>
      </c>
      <c r="G13" s="31">
        <v>301000</v>
      </c>
      <c r="H13" s="32"/>
      <c r="I13" s="14">
        <v>0</v>
      </c>
      <c r="J13" s="33" t="s">
        <v>29</v>
      </c>
      <c r="K13" s="30" t="s">
        <v>738</v>
      </c>
      <c r="L13" s="29" t="s">
        <v>26</v>
      </c>
    </row>
    <row r="14" ht="20" customHeight="1" spans="1:12" x14ac:dyDescent="0.25">
      <c r="A14" s="7" t="s">
        <v>758</v>
      </c>
      <c r="B14" s="7" t="s">
        <v>44</v>
      </c>
      <c r="C14" s="24">
        <f>IF(B14&lt;&gt;"",IFERROR(VLOOKUP(B14,'📦 Productos'!A:C,3,FALSE),IFERROR(VLOOKUP(B14&amp;"",'📦 Productos'!A:C,3,FALSE),IFERROR(VLOOKUP(VALUE(B14),'📦 Productos'!A:C,3,FALSE),""))),"")</f>
      </c>
      <c r="D14" s="7" t="s">
        <v>759</v>
      </c>
      <c r="E14" s="8" t="s">
        <v>743</v>
      </c>
      <c r="F14" s="12">
        <v>0</v>
      </c>
      <c r="G14" s="25">
        <v>162000</v>
      </c>
      <c r="H14" s="26"/>
      <c r="I14" s="14">
        <v>0</v>
      </c>
      <c r="J14" s="27" t="s">
        <v>29</v>
      </c>
      <c r="K14" s="12" t="s">
        <v>738</v>
      </c>
      <c r="L14" s="8" t="s">
        <v>26</v>
      </c>
    </row>
    <row r="15" ht="20" customHeight="1" spans="1:12" x14ac:dyDescent="0.25">
      <c r="A15" s="28" t="s">
        <v>760</v>
      </c>
      <c r="B15" s="28" t="s">
        <v>44</v>
      </c>
      <c r="C15" s="24">
        <f>IF(B15&lt;&gt;"",IFERROR(VLOOKUP(B15,'📦 Productos'!A:C,3,FALSE),IFERROR(VLOOKUP(B15&amp;"",'📦 Productos'!A:C,3,FALSE),IFERROR(VLOOKUP(VALUE(B15),'📦 Productos'!A:C,3,FALSE),""))),"")</f>
      </c>
      <c r="D15" s="28" t="s">
        <v>761</v>
      </c>
      <c r="E15" s="29" t="s">
        <v>749</v>
      </c>
      <c r="F15" s="30">
        <v>0</v>
      </c>
      <c r="G15" s="31">
        <v>231000</v>
      </c>
      <c r="H15" s="32"/>
      <c r="I15" s="14">
        <v>0</v>
      </c>
      <c r="J15" s="33" t="s">
        <v>29</v>
      </c>
      <c r="K15" s="30" t="s">
        <v>738</v>
      </c>
      <c r="L15" s="29" t="s">
        <v>26</v>
      </c>
    </row>
    <row r="16" ht="20" customHeight="1" spans="1:12" x14ac:dyDescent="0.25">
      <c r="A16" s="7" t="s">
        <v>762</v>
      </c>
      <c r="B16" s="7" t="s">
        <v>44</v>
      </c>
      <c r="C16" s="24">
        <f>IF(B16&lt;&gt;"",IFERROR(VLOOKUP(B16,'📦 Productos'!A:C,3,FALSE),IFERROR(VLOOKUP(B16&amp;"",'📦 Productos'!A:C,3,FALSE),IFERROR(VLOOKUP(VALUE(B16),'📦 Productos'!A:C,3,FALSE),""))),"")</f>
      </c>
      <c r="D16" s="7" t="s">
        <v>763</v>
      </c>
      <c r="E16" s="8" t="s">
        <v>743</v>
      </c>
      <c r="F16" s="12">
        <v>0</v>
      </c>
      <c r="G16" s="25">
        <v>162000</v>
      </c>
      <c r="H16" s="26">
        <v>119880</v>
      </c>
      <c r="I16" s="14">
        <v>26</v>
      </c>
      <c r="J16" s="27" t="s">
        <v>29</v>
      </c>
      <c r="K16" s="12" t="s">
        <v>738</v>
      </c>
      <c r="L16" s="8" t="s">
        <v>26</v>
      </c>
    </row>
    <row r="17" ht="20" customHeight="1" spans="1:12" x14ac:dyDescent="0.25">
      <c r="A17" s="28" t="s">
        <v>764</v>
      </c>
      <c r="B17" s="28" t="s">
        <v>44</v>
      </c>
      <c r="C17" s="24">
        <f>IF(B17&lt;&gt;"",IFERROR(VLOOKUP(B17,'📦 Productos'!A:C,3,FALSE),IFERROR(VLOOKUP(B17&amp;"",'📦 Productos'!A:C,3,FALSE),IFERROR(VLOOKUP(VALUE(B17),'📦 Productos'!A:C,3,FALSE),""))),"")</f>
      </c>
      <c r="D17" s="28" t="s">
        <v>765</v>
      </c>
      <c r="E17" s="29" t="s">
        <v>749</v>
      </c>
      <c r="F17" s="30">
        <v>0</v>
      </c>
      <c r="G17" s="31">
        <v>231000</v>
      </c>
      <c r="H17" s="32"/>
      <c r="I17" s="14">
        <v>0</v>
      </c>
      <c r="J17" s="33" t="s">
        <v>29</v>
      </c>
      <c r="K17" s="30" t="s">
        <v>738</v>
      </c>
      <c r="L17" s="29" t="s">
        <v>26</v>
      </c>
    </row>
    <row r="18" ht="20" customHeight="1" spans="1:12" x14ac:dyDescent="0.25">
      <c r="A18" s="7" t="s">
        <v>766</v>
      </c>
      <c r="B18" s="7" t="s">
        <v>48</v>
      </c>
      <c r="C18" s="24">
        <f>IF(B18&lt;&gt;"",IFERROR(VLOOKUP(B18,'📦 Productos'!A:C,3,FALSE),IFERROR(VLOOKUP(B18&amp;"",'📦 Productos'!A:C,3,FALSE),IFERROR(VLOOKUP(VALUE(B18),'📦 Productos'!A:C,3,FALSE),""))),"")</f>
      </c>
      <c r="D18" s="7" t="s">
        <v>49</v>
      </c>
      <c r="E18" s="8" t="s">
        <v>749</v>
      </c>
      <c r="F18" s="12">
        <v>0</v>
      </c>
      <c r="G18" s="25">
        <v>151500</v>
      </c>
      <c r="H18" s="26">
        <v>121200</v>
      </c>
      <c r="I18" s="14">
        <v>20</v>
      </c>
      <c r="J18" s="27" t="s">
        <v>29</v>
      </c>
      <c r="K18" s="12" t="s">
        <v>738</v>
      </c>
      <c r="L18" s="8" t="s">
        <v>26</v>
      </c>
    </row>
    <row r="19" ht="20" customHeight="1" spans="1:12" x14ac:dyDescent="0.25">
      <c r="A19" s="28" t="s">
        <v>767</v>
      </c>
      <c r="B19" s="28" t="s">
        <v>52</v>
      </c>
      <c r="C19" s="24">
        <f>IF(B19&lt;&gt;"",IFERROR(VLOOKUP(B19,'📦 Productos'!A:C,3,FALSE),IFERROR(VLOOKUP(B19&amp;"",'📦 Productos'!A:C,3,FALSE),IFERROR(VLOOKUP(VALUE(B19),'📦 Productos'!A:C,3,FALSE),""))),"")</f>
      </c>
      <c r="D19" s="28" t="s">
        <v>53</v>
      </c>
      <c r="E19" s="29" t="s">
        <v>746</v>
      </c>
      <c r="F19" s="30">
        <v>0</v>
      </c>
      <c r="G19" s="31">
        <v>247700</v>
      </c>
      <c r="H19" s="32"/>
      <c r="I19" s="14">
        <v>0</v>
      </c>
      <c r="J19" s="33" t="s">
        <v>29</v>
      </c>
      <c r="K19" s="30" t="s">
        <v>738</v>
      </c>
      <c r="L19" s="29" t="s">
        <v>26</v>
      </c>
    </row>
    <row r="20" ht="20" customHeight="1" spans="1:12" x14ac:dyDescent="0.25">
      <c r="A20" s="7" t="s">
        <v>768</v>
      </c>
      <c r="B20" s="7" t="s">
        <v>52</v>
      </c>
      <c r="C20" s="24">
        <f>IF(B20&lt;&gt;"",IFERROR(VLOOKUP(B20,'📦 Productos'!A:C,3,FALSE),IFERROR(VLOOKUP(B20&amp;"",'📦 Productos'!A:C,3,FALSE),IFERROR(VLOOKUP(VALUE(B20),'📦 Productos'!A:C,3,FALSE),""))),"")</f>
      </c>
      <c r="D20" s="7" t="s">
        <v>769</v>
      </c>
      <c r="E20" s="8" t="s">
        <v>743</v>
      </c>
      <c r="F20" s="12">
        <v>0</v>
      </c>
      <c r="G20" s="25">
        <v>141000</v>
      </c>
      <c r="H20" s="26"/>
      <c r="I20" s="14">
        <v>0</v>
      </c>
      <c r="J20" s="27" t="s">
        <v>29</v>
      </c>
      <c r="K20" s="12" t="s">
        <v>738</v>
      </c>
      <c r="L20" s="8" t="s">
        <v>26</v>
      </c>
    </row>
    <row r="21" ht="20" customHeight="1" spans="1:12" x14ac:dyDescent="0.25">
      <c r="A21" s="28" t="s">
        <v>770</v>
      </c>
      <c r="B21" s="28" t="s">
        <v>52</v>
      </c>
      <c r="C21" s="24">
        <f>IF(B21&lt;&gt;"",IFERROR(VLOOKUP(B21,'📦 Productos'!A:C,3,FALSE),IFERROR(VLOOKUP(B21&amp;"",'📦 Productos'!A:C,3,FALSE),IFERROR(VLOOKUP(VALUE(B21),'📦 Productos'!A:C,3,FALSE),""))),"")</f>
      </c>
      <c r="D21" s="28" t="s">
        <v>771</v>
      </c>
      <c r="E21" s="29" t="s">
        <v>749</v>
      </c>
      <c r="F21" s="30">
        <v>0</v>
      </c>
      <c r="G21" s="31">
        <v>196400</v>
      </c>
      <c r="H21" s="32"/>
      <c r="I21" s="14">
        <v>0</v>
      </c>
      <c r="J21" s="33" t="s">
        <v>29</v>
      </c>
      <c r="K21" s="30" t="s">
        <v>738</v>
      </c>
      <c r="L21" s="29" t="s">
        <v>26</v>
      </c>
    </row>
    <row r="22" ht="20" customHeight="1" spans="1:12" x14ac:dyDescent="0.25">
      <c r="A22" s="7" t="s">
        <v>772</v>
      </c>
      <c r="B22" s="7" t="s">
        <v>56</v>
      </c>
      <c r="C22" s="24">
        <f>IF(B22&lt;&gt;"",IFERROR(VLOOKUP(B22,'📦 Productos'!A:C,3,FALSE),IFERROR(VLOOKUP(B22&amp;"",'📦 Productos'!A:C,3,FALSE),IFERROR(VLOOKUP(VALUE(B22),'📦 Productos'!A:C,3,FALSE),""))),"")</f>
      </c>
      <c r="D22" s="7" t="s">
        <v>57</v>
      </c>
      <c r="E22" s="8" t="s">
        <v>746</v>
      </c>
      <c r="F22" s="12">
        <v>0</v>
      </c>
      <c r="G22" s="25">
        <v>240000</v>
      </c>
      <c r="H22" s="26"/>
      <c r="I22" s="14">
        <v>0</v>
      </c>
      <c r="J22" s="27" t="s">
        <v>29</v>
      </c>
      <c r="K22" s="12" t="s">
        <v>738</v>
      </c>
      <c r="L22" s="8" t="s">
        <v>26</v>
      </c>
    </row>
    <row r="23" ht="20" customHeight="1" spans="1:12" x14ac:dyDescent="0.25">
      <c r="A23" s="28" t="s">
        <v>773</v>
      </c>
      <c r="B23" s="28" t="s">
        <v>56</v>
      </c>
      <c r="C23" s="24">
        <f>IF(B23&lt;&gt;"",IFERROR(VLOOKUP(B23,'📦 Productos'!A:C,3,FALSE),IFERROR(VLOOKUP(B23&amp;"",'📦 Productos'!A:C,3,FALSE),IFERROR(VLOOKUP(VALUE(B23),'📦 Productos'!A:C,3,FALSE),""))),"")</f>
      </c>
      <c r="D23" s="28" t="s">
        <v>774</v>
      </c>
      <c r="E23" s="29" t="s">
        <v>743</v>
      </c>
      <c r="F23" s="30">
        <v>0</v>
      </c>
      <c r="G23" s="31">
        <v>130000</v>
      </c>
      <c r="H23" s="32"/>
      <c r="I23" s="14">
        <v>0</v>
      </c>
      <c r="J23" s="33" t="s">
        <v>29</v>
      </c>
      <c r="K23" s="30" t="s">
        <v>738</v>
      </c>
      <c r="L23" s="29" t="s">
        <v>26</v>
      </c>
    </row>
    <row r="24" ht="20" customHeight="1" spans="1:12" x14ac:dyDescent="0.25">
      <c r="A24" s="7" t="s">
        <v>775</v>
      </c>
      <c r="B24" s="7" t="s">
        <v>56</v>
      </c>
      <c r="C24" s="24">
        <f>IF(B24&lt;&gt;"",IFERROR(VLOOKUP(B24,'📦 Productos'!A:C,3,FALSE),IFERROR(VLOOKUP(B24&amp;"",'📦 Productos'!A:C,3,FALSE),IFERROR(VLOOKUP(VALUE(B24),'📦 Productos'!A:C,3,FALSE),""))),"")</f>
      </c>
      <c r="D24" s="7" t="s">
        <v>776</v>
      </c>
      <c r="E24" s="8" t="s">
        <v>749</v>
      </c>
      <c r="F24" s="12">
        <v>0</v>
      </c>
      <c r="G24" s="25">
        <v>183000</v>
      </c>
      <c r="H24" s="26"/>
      <c r="I24" s="14">
        <v>0</v>
      </c>
      <c r="J24" s="27" t="s">
        <v>29</v>
      </c>
      <c r="K24" s="12" t="s">
        <v>738</v>
      </c>
      <c r="L24" s="8" t="s">
        <v>26</v>
      </c>
    </row>
    <row r="25" ht="20" customHeight="1" spans="1:12" x14ac:dyDescent="0.25">
      <c r="A25" s="28" t="s">
        <v>777</v>
      </c>
      <c r="B25" s="28" t="s">
        <v>67</v>
      </c>
      <c r="C25" s="24">
        <f>IF(B25&lt;&gt;"",IFERROR(VLOOKUP(B25,'📦 Productos'!A:C,3,FALSE),IFERROR(VLOOKUP(B25&amp;"",'📦 Productos'!A:C,3,FALSE),IFERROR(VLOOKUP(VALUE(B25),'📦 Productos'!A:C,3,FALSE),""))),"")</f>
      </c>
      <c r="D25" s="28" t="s">
        <v>68</v>
      </c>
      <c r="E25" s="29" t="s">
        <v>778</v>
      </c>
      <c r="F25" s="30">
        <v>0</v>
      </c>
      <c r="G25" s="31">
        <v>299000</v>
      </c>
      <c r="H25" s="32"/>
      <c r="I25" s="14">
        <v>0</v>
      </c>
      <c r="J25" s="33" t="s">
        <v>29</v>
      </c>
      <c r="K25" s="30" t="s">
        <v>738</v>
      </c>
      <c r="L25" s="29" t="s">
        <v>26</v>
      </c>
    </row>
    <row r="26" ht="20" customHeight="1" spans="1:12" x14ac:dyDescent="0.25">
      <c r="A26" s="7" t="s">
        <v>779</v>
      </c>
      <c r="B26" s="7" t="s">
        <v>73</v>
      </c>
      <c r="C26" s="24">
        <f>IF(B26&lt;&gt;"",IFERROR(VLOOKUP(B26,'📦 Productos'!A:C,3,FALSE),IFERROR(VLOOKUP(B26&amp;"",'📦 Productos'!A:C,3,FALSE),IFERROR(VLOOKUP(VALUE(B26),'📦 Productos'!A:C,3,FALSE),""))),"")</f>
      </c>
      <c r="D26" s="7" t="s">
        <v>74</v>
      </c>
      <c r="E26" s="8" t="s">
        <v>749</v>
      </c>
      <c r="F26" s="12">
        <v>0</v>
      </c>
      <c r="G26" s="25">
        <v>230000</v>
      </c>
      <c r="H26" s="26"/>
      <c r="I26" s="14">
        <v>0</v>
      </c>
      <c r="J26" s="27" t="s">
        <v>29</v>
      </c>
      <c r="K26" s="12" t="s">
        <v>738</v>
      </c>
      <c r="L26" s="8" t="s">
        <v>26</v>
      </c>
    </row>
    <row r="27" ht="20" customHeight="1" spans="1:12" x14ac:dyDescent="0.25">
      <c r="A27" s="28" t="s">
        <v>780</v>
      </c>
      <c r="B27" s="28" t="s">
        <v>73</v>
      </c>
      <c r="C27" s="24">
        <f>IF(B27&lt;&gt;"",IFERROR(VLOOKUP(B27,'📦 Productos'!A:C,3,FALSE),IFERROR(VLOOKUP(B27&amp;"",'📦 Productos'!A:C,3,FALSE),IFERROR(VLOOKUP(VALUE(B27),'📦 Productos'!A:C,3,FALSE),""))),"")</f>
      </c>
      <c r="D27" s="28" t="s">
        <v>781</v>
      </c>
      <c r="E27" s="29" t="s">
        <v>743</v>
      </c>
      <c r="F27" s="30">
        <v>0</v>
      </c>
      <c r="G27" s="31">
        <v>162000</v>
      </c>
      <c r="H27" s="32"/>
      <c r="I27" s="14">
        <v>0</v>
      </c>
      <c r="J27" s="33" t="s">
        <v>29</v>
      </c>
      <c r="K27" s="30" t="s">
        <v>738</v>
      </c>
      <c r="L27" s="29" t="s">
        <v>26</v>
      </c>
    </row>
    <row r="28" ht="20" customHeight="1" spans="1:12" x14ac:dyDescent="0.25">
      <c r="A28" s="7" t="s">
        <v>782</v>
      </c>
      <c r="B28" s="7" t="s">
        <v>76</v>
      </c>
      <c r="C28" s="24">
        <f>IF(B28&lt;&gt;"",IFERROR(VLOOKUP(B28,'📦 Productos'!A:C,3,FALSE),IFERROR(VLOOKUP(B28&amp;"",'📦 Productos'!A:C,3,FALSE),IFERROR(VLOOKUP(VALUE(B28),'📦 Productos'!A:C,3,FALSE),""))),"")</f>
      </c>
      <c r="D28" s="7" t="s">
        <v>77</v>
      </c>
      <c r="E28" s="8" t="s">
        <v>778</v>
      </c>
      <c r="F28" s="12">
        <v>0</v>
      </c>
      <c r="G28" s="25">
        <v>230000</v>
      </c>
      <c r="H28" s="26"/>
      <c r="I28" s="14">
        <v>0</v>
      </c>
      <c r="J28" s="27" t="s">
        <v>29</v>
      </c>
      <c r="K28" s="12" t="s">
        <v>738</v>
      </c>
      <c r="L28" s="8" t="s">
        <v>26</v>
      </c>
    </row>
    <row r="29" ht="20" customHeight="1" spans="1:12" x14ac:dyDescent="0.25">
      <c r="A29" s="28" t="s">
        <v>783</v>
      </c>
      <c r="B29" s="28" t="s">
        <v>79</v>
      </c>
      <c r="C29" s="24">
        <f>IF(B29&lt;&gt;"",IFERROR(VLOOKUP(B29,'📦 Productos'!A:C,3,FALSE),IFERROR(VLOOKUP(B29&amp;"",'📦 Productos'!A:C,3,FALSE),IFERROR(VLOOKUP(VALUE(B29),'📦 Productos'!A:C,3,FALSE),""))),"")</f>
      </c>
      <c r="D29" s="28" t="s">
        <v>80</v>
      </c>
      <c r="E29" s="29" t="s">
        <v>746</v>
      </c>
      <c r="F29" s="30">
        <v>0</v>
      </c>
      <c r="G29" s="31">
        <v>194500</v>
      </c>
      <c r="H29" s="32">
        <v>155600</v>
      </c>
      <c r="I29" s="14">
        <v>20</v>
      </c>
      <c r="J29" s="33" t="s">
        <v>29</v>
      </c>
      <c r="K29" s="30" t="s">
        <v>738</v>
      </c>
      <c r="L29" s="29" t="s">
        <v>26</v>
      </c>
    </row>
    <row r="30" ht="20" customHeight="1" spans="1:12" x14ac:dyDescent="0.25">
      <c r="A30" s="7" t="s">
        <v>784</v>
      </c>
      <c r="B30" s="7" t="s">
        <v>79</v>
      </c>
      <c r="C30" s="24">
        <f>IF(B30&lt;&gt;"",IFERROR(VLOOKUP(B30,'📦 Productos'!A:C,3,FALSE),IFERROR(VLOOKUP(B30&amp;"",'📦 Productos'!A:C,3,FALSE),IFERROR(VLOOKUP(VALUE(B30),'📦 Productos'!A:C,3,FALSE),""))),"")</f>
      </c>
      <c r="D30" s="7" t="s">
        <v>785</v>
      </c>
      <c r="E30" s="8" t="s">
        <v>749</v>
      </c>
      <c r="F30" s="12">
        <v>0</v>
      </c>
      <c r="G30" s="25">
        <v>151500</v>
      </c>
      <c r="H30" s="26">
        <v>121200</v>
      </c>
      <c r="I30" s="14">
        <v>20</v>
      </c>
      <c r="J30" s="27" t="s">
        <v>29</v>
      </c>
      <c r="K30" s="12" t="s">
        <v>738</v>
      </c>
      <c r="L30" s="8" t="s">
        <v>26</v>
      </c>
    </row>
    <row r="31" ht="20" customHeight="1" spans="1:12" x14ac:dyDescent="0.25">
      <c r="A31" s="28" t="s">
        <v>786</v>
      </c>
      <c r="B31" s="28" t="s">
        <v>83</v>
      </c>
      <c r="C31" s="24">
        <f>IF(B31&lt;&gt;"",IFERROR(VLOOKUP(B31,'📦 Productos'!A:C,3,FALSE),IFERROR(VLOOKUP(B31&amp;"",'📦 Productos'!A:C,3,FALSE),IFERROR(VLOOKUP(VALUE(B31),'📦 Productos'!A:C,3,FALSE),""))),"")</f>
      </c>
      <c r="D31" s="28" t="s">
        <v>84</v>
      </c>
      <c r="E31" s="29" t="s">
        <v>787</v>
      </c>
      <c r="F31" s="30">
        <v>0</v>
      </c>
      <c r="G31" s="31">
        <v>210000</v>
      </c>
      <c r="H31" s="32"/>
      <c r="I31" s="14">
        <v>0</v>
      </c>
      <c r="J31" s="33" t="s">
        <v>29</v>
      </c>
      <c r="K31" s="30" t="s">
        <v>738</v>
      </c>
      <c r="L31" s="29" t="s">
        <v>26</v>
      </c>
    </row>
    <row r="32" ht="20" customHeight="1" spans="1:12" x14ac:dyDescent="0.25">
      <c r="A32" s="7" t="s">
        <v>788</v>
      </c>
      <c r="B32" s="7" t="s">
        <v>83</v>
      </c>
      <c r="C32" s="24">
        <f>IF(B32&lt;&gt;"",IFERROR(VLOOKUP(B32,'📦 Productos'!A:C,3,FALSE),IFERROR(VLOOKUP(B32&amp;"",'📦 Productos'!A:C,3,FALSE),IFERROR(VLOOKUP(VALUE(B32),'📦 Productos'!A:C,3,FALSE),""))),"")</f>
      </c>
      <c r="D32" s="7" t="s">
        <v>789</v>
      </c>
      <c r="E32" s="8" t="s">
        <v>790</v>
      </c>
      <c r="F32" s="12">
        <v>0</v>
      </c>
      <c r="G32" s="25">
        <v>257000</v>
      </c>
      <c r="H32" s="26"/>
      <c r="I32" s="14">
        <v>0</v>
      </c>
      <c r="J32" s="27" t="s">
        <v>29</v>
      </c>
      <c r="K32" s="12" t="s">
        <v>738</v>
      </c>
      <c r="L32" s="8" t="s">
        <v>26</v>
      </c>
    </row>
    <row r="33" ht="20" customHeight="1" spans="1:12" x14ac:dyDescent="0.25">
      <c r="A33" s="28" t="s">
        <v>791</v>
      </c>
      <c r="B33" s="28" t="s">
        <v>87</v>
      </c>
      <c r="C33" s="24">
        <f>IF(B33&lt;&gt;"",IFERROR(VLOOKUP(B33,'📦 Productos'!A:C,3,FALSE),IFERROR(VLOOKUP(B33&amp;"",'📦 Productos'!A:C,3,FALSE),IFERROR(VLOOKUP(VALUE(B33),'📦 Productos'!A:C,3,FALSE),""))),"")</f>
      </c>
      <c r="D33" s="28" t="s">
        <v>88</v>
      </c>
      <c r="E33" s="29" t="s">
        <v>787</v>
      </c>
      <c r="F33" s="30">
        <v>0</v>
      </c>
      <c r="G33" s="31">
        <v>210000</v>
      </c>
      <c r="H33" s="32">
        <v>144900</v>
      </c>
      <c r="I33" s="14">
        <v>31</v>
      </c>
      <c r="J33" s="33" t="s">
        <v>29</v>
      </c>
      <c r="K33" s="30" t="s">
        <v>738</v>
      </c>
      <c r="L33" s="29" t="s">
        <v>26</v>
      </c>
    </row>
    <row r="34" ht="20" customHeight="1" spans="1:12" x14ac:dyDescent="0.25">
      <c r="A34" s="7" t="s">
        <v>792</v>
      </c>
      <c r="B34" s="7" t="s">
        <v>87</v>
      </c>
      <c r="C34" s="24">
        <f>IF(B34&lt;&gt;"",IFERROR(VLOOKUP(B34,'📦 Productos'!A:C,3,FALSE),IFERROR(VLOOKUP(B34&amp;"",'📦 Productos'!A:C,3,FALSE),IFERROR(VLOOKUP(VALUE(B34),'📦 Productos'!A:C,3,FALSE),""))),"")</f>
      </c>
      <c r="D34" s="7" t="s">
        <v>793</v>
      </c>
      <c r="E34" s="8" t="s">
        <v>790</v>
      </c>
      <c r="F34" s="12">
        <v>0</v>
      </c>
      <c r="G34" s="25">
        <v>257000</v>
      </c>
      <c r="H34" s="26">
        <v>174760</v>
      </c>
      <c r="I34" s="14">
        <v>32</v>
      </c>
      <c r="J34" s="27" t="s">
        <v>29</v>
      </c>
      <c r="K34" s="12" t="s">
        <v>738</v>
      </c>
      <c r="L34" s="8" t="s">
        <v>26</v>
      </c>
    </row>
    <row r="35" ht="20" customHeight="1" spans="1:12" x14ac:dyDescent="0.25">
      <c r="A35" s="28" t="s">
        <v>794</v>
      </c>
      <c r="B35" s="28" t="s">
        <v>91</v>
      </c>
      <c r="C35" s="24">
        <f>IF(B35&lt;&gt;"",IFERROR(VLOOKUP(B35,'📦 Productos'!A:C,3,FALSE),IFERROR(VLOOKUP(B35&amp;"",'📦 Productos'!A:C,3,FALSE),IFERROR(VLOOKUP(VALUE(B35),'📦 Productos'!A:C,3,FALSE),""))),"")</f>
      </c>
      <c r="D35" s="28" t="s">
        <v>92</v>
      </c>
      <c r="E35" s="29" t="s">
        <v>778</v>
      </c>
      <c r="F35" s="30">
        <v>0</v>
      </c>
      <c r="G35" s="31">
        <v>257000</v>
      </c>
      <c r="H35" s="32"/>
      <c r="I35" s="14">
        <v>0</v>
      </c>
      <c r="J35" s="33" t="s">
        <v>29</v>
      </c>
      <c r="K35" s="30" t="s">
        <v>738</v>
      </c>
      <c r="L35" s="29" t="s">
        <v>26</v>
      </c>
    </row>
    <row r="36" ht="20" customHeight="1" spans="1:12" x14ac:dyDescent="0.25">
      <c r="A36" s="7" t="s">
        <v>795</v>
      </c>
      <c r="B36" s="7" t="s">
        <v>94</v>
      </c>
      <c r="C36" s="24">
        <f>IF(B36&lt;&gt;"",IFERROR(VLOOKUP(B36,'📦 Productos'!A:C,3,FALSE),IFERROR(VLOOKUP(B36&amp;"",'📦 Productos'!A:C,3,FALSE),IFERROR(VLOOKUP(VALUE(B36),'📦 Productos'!A:C,3,FALSE),""))),"")</f>
      </c>
      <c r="D36" s="7" t="s">
        <v>95</v>
      </c>
      <c r="E36" s="8" t="s">
        <v>778</v>
      </c>
      <c r="F36" s="12">
        <v>0</v>
      </c>
      <c r="G36" s="25">
        <v>257000</v>
      </c>
      <c r="H36" s="26"/>
      <c r="I36" s="14">
        <v>0</v>
      </c>
      <c r="J36" s="27" t="s">
        <v>29</v>
      </c>
      <c r="K36" s="12" t="s">
        <v>738</v>
      </c>
      <c r="L36" s="8" t="s">
        <v>26</v>
      </c>
    </row>
    <row r="37" ht="20" customHeight="1" spans="1:12" x14ac:dyDescent="0.25">
      <c r="A37" s="28" t="s">
        <v>796</v>
      </c>
      <c r="B37" s="28" t="s">
        <v>97</v>
      </c>
      <c r="C37" s="24">
        <f>IF(B37&lt;&gt;"",IFERROR(VLOOKUP(B37,'📦 Productos'!A:C,3,FALSE),IFERROR(VLOOKUP(B37&amp;"",'📦 Productos'!A:C,3,FALSE),IFERROR(VLOOKUP(VALUE(B37),'📦 Productos'!A:C,3,FALSE),""))),"")</f>
      </c>
      <c r="D37" s="28" t="s">
        <v>98</v>
      </c>
      <c r="E37" s="29" t="s">
        <v>787</v>
      </c>
      <c r="F37" s="30">
        <v>0</v>
      </c>
      <c r="G37" s="31">
        <v>210000</v>
      </c>
      <c r="H37" s="32">
        <v>117600</v>
      </c>
      <c r="I37" s="14">
        <v>44</v>
      </c>
      <c r="J37" s="33" t="s">
        <v>29</v>
      </c>
      <c r="K37" s="30" t="s">
        <v>738</v>
      </c>
      <c r="L37" s="29" t="s">
        <v>26</v>
      </c>
    </row>
    <row r="38" ht="20" customHeight="1" spans="1:12" x14ac:dyDescent="0.25">
      <c r="A38" s="7" t="s">
        <v>797</v>
      </c>
      <c r="B38" s="7" t="s">
        <v>97</v>
      </c>
      <c r="C38" s="24">
        <f>IF(B38&lt;&gt;"",IFERROR(VLOOKUP(B38,'📦 Productos'!A:C,3,FALSE),IFERROR(VLOOKUP(B38&amp;"",'📦 Productos'!A:C,3,FALSE),IFERROR(VLOOKUP(VALUE(B38),'📦 Productos'!A:C,3,FALSE),""))),"")</f>
      </c>
      <c r="D38" s="7" t="s">
        <v>798</v>
      </c>
      <c r="E38" s="8" t="s">
        <v>790</v>
      </c>
      <c r="F38" s="12">
        <v>0</v>
      </c>
      <c r="G38" s="25">
        <v>257000</v>
      </c>
      <c r="H38" s="26">
        <v>141350</v>
      </c>
      <c r="I38" s="14">
        <v>45</v>
      </c>
      <c r="J38" s="27" t="s">
        <v>29</v>
      </c>
      <c r="K38" s="12" t="s">
        <v>738</v>
      </c>
      <c r="L38" s="8" t="s">
        <v>26</v>
      </c>
    </row>
    <row r="39" ht="20" customHeight="1" spans="1:12" x14ac:dyDescent="0.25">
      <c r="A39" s="28" t="s">
        <v>799</v>
      </c>
      <c r="B39" s="28" t="s">
        <v>101</v>
      </c>
      <c r="C39" s="24">
        <f>IF(B39&lt;&gt;"",IFERROR(VLOOKUP(B39,'📦 Productos'!A:C,3,FALSE),IFERROR(VLOOKUP(B39&amp;"",'📦 Productos'!A:C,3,FALSE),IFERROR(VLOOKUP(VALUE(B39),'📦 Productos'!A:C,3,FALSE),""))),"")</f>
      </c>
      <c r="D39" s="28" t="s">
        <v>102</v>
      </c>
      <c r="E39" s="29" t="s">
        <v>787</v>
      </c>
      <c r="F39" s="30">
        <v>0</v>
      </c>
      <c r="G39" s="31">
        <v>165300</v>
      </c>
      <c r="H39" s="32">
        <v>132240</v>
      </c>
      <c r="I39" s="14">
        <v>20</v>
      </c>
      <c r="J39" s="33" t="s">
        <v>29</v>
      </c>
      <c r="K39" s="30" t="s">
        <v>738</v>
      </c>
      <c r="L39" s="29" t="s">
        <v>26</v>
      </c>
    </row>
    <row r="40" ht="20" customHeight="1" spans="1:12" x14ac:dyDescent="0.25">
      <c r="A40" s="7" t="s">
        <v>800</v>
      </c>
      <c r="B40" s="7" t="s">
        <v>101</v>
      </c>
      <c r="C40" s="24">
        <f>IF(B40&lt;&gt;"",IFERROR(VLOOKUP(B40,'📦 Productos'!A:C,3,FALSE),IFERROR(VLOOKUP(B40&amp;"",'📦 Productos'!A:C,3,FALSE),IFERROR(VLOOKUP(VALUE(B40),'📦 Productos'!A:C,3,FALSE),""))),"")</f>
      </c>
      <c r="D40" s="7" t="s">
        <v>801</v>
      </c>
      <c r="E40" s="8" t="s">
        <v>790</v>
      </c>
      <c r="F40" s="12">
        <v>0</v>
      </c>
      <c r="G40" s="25">
        <v>198500</v>
      </c>
      <c r="H40" s="26"/>
      <c r="I40" s="14">
        <v>0</v>
      </c>
      <c r="J40" s="27" t="s">
        <v>29</v>
      </c>
      <c r="K40" s="12" t="s">
        <v>738</v>
      </c>
      <c r="L40" s="8" t="s">
        <v>26</v>
      </c>
    </row>
    <row r="41" ht="20" customHeight="1" spans="1:12" x14ac:dyDescent="0.25">
      <c r="A41" s="28" t="s">
        <v>802</v>
      </c>
      <c r="B41" s="28" t="s">
        <v>105</v>
      </c>
      <c r="C41" s="24">
        <f>IF(B41&lt;&gt;"",IFERROR(VLOOKUP(B41,'📦 Productos'!A:C,3,FALSE),IFERROR(VLOOKUP(B41&amp;"",'📦 Productos'!A:C,3,FALSE),IFERROR(VLOOKUP(VALUE(B41),'📦 Productos'!A:C,3,FALSE),""))),"")</f>
      </c>
      <c r="D41" s="28" t="s">
        <v>106</v>
      </c>
      <c r="E41" s="29" t="s">
        <v>741</v>
      </c>
      <c r="F41" s="30">
        <v>0</v>
      </c>
      <c r="G41" s="31">
        <v>275000</v>
      </c>
      <c r="H41" s="32"/>
      <c r="I41" s="14">
        <v>0</v>
      </c>
      <c r="J41" s="33" t="s">
        <v>29</v>
      </c>
      <c r="K41" s="30" t="s">
        <v>738</v>
      </c>
      <c r="L41" s="29" t="s">
        <v>26</v>
      </c>
    </row>
    <row r="42" ht="20" customHeight="1" spans="1:12" x14ac:dyDescent="0.25">
      <c r="A42" s="7" t="s">
        <v>803</v>
      </c>
      <c r="B42" s="7" t="s">
        <v>105</v>
      </c>
      <c r="C42" s="24">
        <f>IF(B42&lt;&gt;"",IFERROR(VLOOKUP(B42,'📦 Productos'!A:C,3,FALSE),IFERROR(VLOOKUP(B42&amp;"",'📦 Productos'!A:C,3,FALSE),IFERROR(VLOOKUP(VALUE(B42),'📦 Productos'!A:C,3,FALSE),""))),"")</f>
      </c>
      <c r="D42" s="7" t="s">
        <v>804</v>
      </c>
      <c r="E42" s="8" t="s">
        <v>737</v>
      </c>
      <c r="F42" s="12">
        <v>0</v>
      </c>
      <c r="G42" s="25">
        <v>212000</v>
      </c>
      <c r="H42" s="26"/>
      <c r="I42" s="14">
        <v>0</v>
      </c>
      <c r="J42" s="27" t="s">
        <v>29</v>
      </c>
      <c r="K42" s="12" t="s">
        <v>738</v>
      </c>
      <c r="L42" s="8" t="s">
        <v>26</v>
      </c>
    </row>
    <row r="43" ht="20" customHeight="1" spans="1:12" x14ac:dyDescent="0.25">
      <c r="A43" s="28" t="s">
        <v>805</v>
      </c>
      <c r="B43" s="28" t="s">
        <v>108</v>
      </c>
      <c r="C43" s="24">
        <f>IF(B43&lt;&gt;"",IFERROR(VLOOKUP(B43,'📦 Productos'!A:C,3,FALSE),IFERROR(VLOOKUP(B43&amp;"",'📦 Productos'!A:C,3,FALSE),IFERROR(VLOOKUP(VALUE(B43),'📦 Productos'!A:C,3,FALSE),""))),"")</f>
      </c>
      <c r="D43" s="28" t="s">
        <v>109</v>
      </c>
      <c r="E43" s="29" t="s">
        <v>741</v>
      </c>
      <c r="F43" s="30">
        <v>0</v>
      </c>
      <c r="G43" s="31">
        <v>258000</v>
      </c>
      <c r="H43" s="32"/>
      <c r="I43" s="14">
        <v>0</v>
      </c>
      <c r="J43" s="33" t="s">
        <v>29</v>
      </c>
      <c r="K43" s="30" t="s">
        <v>738</v>
      </c>
      <c r="L43" s="29" t="s">
        <v>26</v>
      </c>
    </row>
    <row r="44" ht="20" customHeight="1" spans="1:12" x14ac:dyDescent="0.25">
      <c r="A44" s="7" t="s">
        <v>806</v>
      </c>
      <c r="B44" s="7" t="s">
        <v>108</v>
      </c>
      <c r="C44" s="24">
        <f>IF(B44&lt;&gt;"",IFERROR(VLOOKUP(B44,'📦 Productos'!A:C,3,FALSE),IFERROR(VLOOKUP(B44&amp;"",'📦 Productos'!A:C,3,FALSE),IFERROR(VLOOKUP(VALUE(B44),'📦 Productos'!A:C,3,FALSE),""))),"")</f>
      </c>
      <c r="D44" s="7" t="s">
        <v>807</v>
      </c>
      <c r="E44" s="8" t="s">
        <v>737</v>
      </c>
      <c r="F44" s="12">
        <v>0</v>
      </c>
      <c r="G44" s="25">
        <v>196000</v>
      </c>
      <c r="H44" s="26"/>
      <c r="I44" s="14">
        <v>0</v>
      </c>
      <c r="J44" s="27" t="s">
        <v>29</v>
      </c>
      <c r="K44" s="12" t="s">
        <v>738</v>
      </c>
      <c r="L44" s="8" t="s">
        <v>26</v>
      </c>
    </row>
    <row r="45" ht="20" customHeight="1" spans="1:12" x14ac:dyDescent="0.25">
      <c r="A45" s="28" t="s">
        <v>808</v>
      </c>
      <c r="B45" s="28" t="s">
        <v>108</v>
      </c>
      <c r="C45" s="24">
        <f>IF(B45&lt;&gt;"",IFERROR(VLOOKUP(B45,'📦 Productos'!A:C,3,FALSE),IFERROR(VLOOKUP(B45&amp;"",'📦 Productos'!A:C,3,FALSE),IFERROR(VLOOKUP(VALUE(B45),'📦 Productos'!A:C,3,FALSE),""))),"")</f>
      </c>
      <c r="D45" s="28" t="s">
        <v>809</v>
      </c>
      <c r="E45" s="29" t="s">
        <v>787</v>
      </c>
      <c r="F45" s="30">
        <v>0</v>
      </c>
      <c r="G45" s="31">
        <v>140000</v>
      </c>
      <c r="H45" s="32"/>
      <c r="I45" s="14">
        <v>0</v>
      </c>
      <c r="J45" s="33" t="s">
        <v>29</v>
      </c>
      <c r="K45" s="30" t="s">
        <v>738</v>
      </c>
      <c r="L45" s="29" t="s">
        <v>26</v>
      </c>
    </row>
    <row r="46" ht="20" customHeight="1" spans="1:12" x14ac:dyDescent="0.25">
      <c r="A46" s="7" t="s">
        <v>810</v>
      </c>
      <c r="B46" s="7" t="s">
        <v>112</v>
      </c>
      <c r="C46" s="24">
        <f>IF(B46&lt;&gt;"",IFERROR(VLOOKUP(B46,'📦 Productos'!A:C,3,FALSE),IFERROR(VLOOKUP(B46&amp;"",'📦 Productos'!A:C,3,FALSE),IFERROR(VLOOKUP(VALUE(B46),'📦 Productos'!A:C,3,FALSE),""))),"")</f>
      </c>
      <c r="D46" s="7" t="s">
        <v>113</v>
      </c>
      <c r="E46" s="8" t="s">
        <v>778</v>
      </c>
      <c r="F46" s="12">
        <v>0</v>
      </c>
      <c r="G46" s="25">
        <v>258000</v>
      </c>
      <c r="H46" s="26"/>
      <c r="I46" s="14">
        <v>0</v>
      </c>
      <c r="J46" s="27" t="s">
        <v>29</v>
      </c>
      <c r="K46" s="12" t="s">
        <v>738</v>
      </c>
      <c r="L46" s="8" t="s">
        <v>26</v>
      </c>
    </row>
    <row r="47" ht="20" customHeight="1" spans="1:12" x14ac:dyDescent="0.25">
      <c r="A47" s="28" t="s">
        <v>811</v>
      </c>
      <c r="B47" s="28" t="s">
        <v>112</v>
      </c>
      <c r="C47" s="24">
        <f>IF(B47&lt;&gt;"",IFERROR(VLOOKUP(B47,'📦 Productos'!A:C,3,FALSE),IFERROR(VLOOKUP(B47&amp;"",'📦 Productos'!A:C,3,FALSE),IFERROR(VLOOKUP(VALUE(B47),'📦 Productos'!A:C,3,FALSE),""))),"")</f>
      </c>
      <c r="D47" s="28" t="s">
        <v>812</v>
      </c>
      <c r="E47" s="29" t="s">
        <v>778</v>
      </c>
      <c r="F47" s="30">
        <v>0</v>
      </c>
      <c r="G47" s="31">
        <v>258000</v>
      </c>
      <c r="H47" s="32"/>
      <c r="I47" s="14">
        <v>0</v>
      </c>
      <c r="J47" s="33" t="s">
        <v>29</v>
      </c>
      <c r="K47" s="30" t="s">
        <v>738</v>
      </c>
      <c r="L47" s="29" t="s">
        <v>26</v>
      </c>
    </row>
    <row r="48" ht="20" customHeight="1" spans="1:12" x14ac:dyDescent="0.25">
      <c r="A48" s="7" t="s">
        <v>813</v>
      </c>
      <c r="B48" s="7" t="s">
        <v>115</v>
      </c>
      <c r="C48" s="24">
        <f>IF(B48&lt;&gt;"",IFERROR(VLOOKUP(B48,'📦 Productos'!A:C,3,FALSE),IFERROR(VLOOKUP(B48&amp;"",'📦 Productos'!A:C,3,FALSE),IFERROR(VLOOKUP(VALUE(B48),'📦 Productos'!A:C,3,FALSE),""))),"")</f>
      </c>
      <c r="D48" s="7" t="s">
        <v>116</v>
      </c>
      <c r="E48" s="8" t="s">
        <v>741</v>
      </c>
      <c r="F48" s="12">
        <v>0</v>
      </c>
      <c r="G48" s="25">
        <v>196000</v>
      </c>
      <c r="H48" s="26">
        <v>137200</v>
      </c>
      <c r="I48" s="14">
        <v>30</v>
      </c>
      <c r="J48" s="27" t="s">
        <v>29</v>
      </c>
      <c r="K48" s="12" t="s">
        <v>738</v>
      </c>
      <c r="L48" s="8" t="s">
        <v>26</v>
      </c>
    </row>
    <row r="49" ht="20" customHeight="1" spans="1:12" x14ac:dyDescent="0.25">
      <c r="A49" s="28" t="s">
        <v>814</v>
      </c>
      <c r="B49" s="28" t="s">
        <v>119</v>
      </c>
      <c r="C49" s="24">
        <f>IF(B49&lt;&gt;"",IFERROR(VLOOKUP(B49,'📦 Productos'!A:C,3,FALSE),IFERROR(VLOOKUP(B49&amp;"",'📦 Productos'!A:C,3,FALSE),IFERROR(VLOOKUP(VALUE(B49),'📦 Productos'!A:C,3,FALSE),""))),"")</f>
      </c>
      <c r="D49" s="28" t="s">
        <v>120</v>
      </c>
      <c r="E49" s="29" t="s">
        <v>746</v>
      </c>
      <c r="F49" s="30">
        <v>0</v>
      </c>
      <c r="G49" s="31">
        <v>278000</v>
      </c>
      <c r="H49" s="32"/>
      <c r="I49" s="14">
        <v>0</v>
      </c>
      <c r="J49" s="33" t="s">
        <v>29</v>
      </c>
      <c r="K49" s="30" t="s">
        <v>738</v>
      </c>
      <c r="L49" s="29" t="s">
        <v>26</v>
      </c>
    </row>
    <row r="50" ht="20" customHeight="1" spans="1:12" x14ac:dyDescent="0.25">
      <c r="A50" s="7" t="s">
        <v>815</v>
      </c>
      <c r="B50" s="7" t="s">
        <v>123</v>
      </c>
      <c r="C50" s="24">
        <f>IF(B50&lt;&gt;"",IFERROR(VLOOKUP(B50,'📦 Productos'!A:C,3,FALSE),IFERROR(VLOOKUP(B50&amp;"",'📦 Productos'!A:C,3,FALSE),IFERROR(VLOOKUP(VALUE(B50),'📦 Productos'!A:C,3,FALSE),""))),"")</f>
      </c>
      <c r="D50" s="7" t="s">
        <v>124</v>
      </c>
      <c r="E50" s="8" t="s">
        <v>746</v>
      </c>
      <c r="F50" s="12">
        <v>0</v>
      </c>
      <c r="G50" s="25">
        <v>218000</v>
      </c>
      <c r="H50" s="26"/>
      <c r="I50" s="14">
        <v>0</v>
      </c>
      <c r="J50" s="27" t="s">
        <v>29</v>
      </c>
      <c r="K50" s="12" t="s">
        <v>738</v>
      </c>
      <c r="L50" s="8" t="s">
        <v>26</v>
      </c>
    </row>
    <row r="51" ht="20" customHeight="1" spans="1:12" x14ac:dyDescent="0.25">
      <c r="A51" s="28" t="s">
        <v>816</v>
      </c>
      <c r="B51" s="28" t="s">
        <v>126</v>
      </c>
      <c r="C51" s="24">
        <f>IF(B51&lt;&gt;"",IFERROR(VLOOKUP(B51,'📦 Productos'!A:C,3,FALSE),IFERROR(VLOOKUP(B51&amp;"",'📦 Productos'!A:C,3,FALSE),IFERROR(VLOOKUP(VALUE(B51),'📦 Productos'!A:C,3,FALSE),""))),"")</f>
      </c>
      <c r="D51" s="28" t="s">
        <v>127</v>
      </c>
      <c r="E51" s="29" t="s">
        <v>817</v>
      </c>
      <c r="F51" s="30">
        <v>0</v>
      </c>
      <c r="G51" s="31">
        <v>299000</v>
      </c>
      <c r="H51" s="32"/>
      <c r="I51" s="14">
        <v>0</v>
      </c>
      <c r="J51" s="33" t="s">
        <v>29</v>
      </c>
      <c r="K51" s="30" t="s">
        <v>738</v>
      </c>
      <c r="L51" s="29" t="s">
        <v>26</v>
      </c>
    </row>
    <row r="52" ht="20" customHeight="1" spans="1:12" x14ac:dyDescent="0.25">
      <c r="A52" s="7" t="s">
        <v>818</v>
      </c>
      <c r="B52" s="7" t="s">
        <v>126</v>
      </c>
      <c r="C52" s="24">
        <f>IF(B52&lt;&gt;"",IFERROR(VLOOKUP(B52,'📦 Productos'!A:C,3,FALSE),IFERROR(VLOOKUP(B52&amp;"",'📦 Productos'!A:C,3,FALSE),IFERROR(VLOOKUP(VALUE(B52),'📦 Productos'!A:C,3,FALSE),""))),"")</f>
      </c>
      <c r="D52" s="7" t="s">
        <v>819</v>
      </c>
      <c r="E52" s="8" t="s">
        <v>743</v>
      </c>
      <c r="F52" s="12">
        <v>0</v>
      </c>
      <c r="G52" s="25">
        <v>162000</v>
      </c>
      <c r="H52" s="26"/>
      <c r="I52" s="14">
        <v>0</v>
      </c>
      <c r="J52" s="27" t="s">
        <v>29</v>
      </c>
      <c r="K52" s="12" t="s">
        <v>738</v>
      </c>
      <c r="L52" s="8" t="s">
        <v>26</v>
      </c>
    </row>
    <row r="53" ht="20" customHeight="1" spans="1:12" x14ac:dyDescent="0.25">
      <c r="A53" s="28" t="s">
        <v>820</v>
      </c>
      <c r="B53" s="28" t="s">
        <v>126</v>
      </c>
      <c r="C53" s="24">
        <f>IF(B53&lt;&gt;"",IFERROR(VLOOKUP(B53,'📦 Productos'!A:C,3,FALSE),IFERROR(VLOOKUP(B53&amp;"",'📦 Productos'!A:C,3,FALSE),IFERROR(VLOOKUP(VALUE(B53),'📦 Productos'!A:C,3,FALSE),""))),"")</f>
      </c>
      <c r="D53" s="28" t="s">
        <v>821</v>
      </c>
      <c r="E53" s="29" t="s">
        <v>749</v>
      </c>
      <c r="F53" s="30">
        <v>0</v>
      </c>
      <c r="G53" s="31">
        <v>230000</v>
      </c>
      <c r="H53" s="32"/>
      <c r="I53" s="14">
        <v>0</v>
      </c>
      <c r="J53" s="33" t="s">
        <v>29</v>
      </c>
      <c r="K53" s="30" t="s">
        <v>738</v>
      </c>
      <c r="L53" s="29" t="s">
        <v>26</v>
      </c>
    </row>
    <row r="54" ht="20" customHeight="1" spans="1:12" x14ac:dyDescent="0.25">
      <c r="A54" s="7" t="s">
        <v>822</v>
      </c>
      <c r="B54" s="7" t="s">
        <v>130</v>
      </c>
      <c r="C54" s="24">
        <f>IF(B54&lt;&gt;"",IFERROR(VLOOKUP(B54,'📦 Productos'!A:C,3,FALSE),IFERROR(VLOOKUP(B54&amp;"",'📦 Productos'!A:C,3,FALSE),IFERROR(VLOOKUP(VALUE(B54),'📦 Productos'!A:C,3,FALSE),""))),"")</f>
      </c>
      <c r="D54" s="7" t="s">
        <v>131</v>
      </c>
      <c r="E54" s="8" t="s">
        <v>778</v>
      </c>
      <c r="F54" s="12">
        <v>0</v>
      </c>
      <c r="G54" s="25">
        <v>258000</v>
      </c>
      <c r="H54" s="26"/>
      <c r="I54" s="14">
        <v>0</v>
      </c>
      <c r="J54" s="27" t="s">
        <v>29</v>
      </c>
      <c r="K54" s="12" t="s">
        <v>738</v>
      </c>
      <c r="L54" s="8" t="s">
        <v>26</v>
      </c>
    </row>
    <row r="55" ht="20" customHeight="1" spans="1:12" x14ac:dyDescent="0.25">
      <c r="A55" s="28" t="s">
        <v>823</v>
      </c>
      <c r="B55" s="28" t="s">
        <v>133</v>
      </c>
      <c r="C55" s="24">
        <f>IF(B55&lt;&gt;"",IFERROR(VLOOKUP(B55,'📦 Productos'!A:C,3,FALSE),IFERROR(VLOOKUP(B55&amp;"",'📦 Productos'!A:C,3,FALSE),IFERROR(VLOOKUP(VALUE(B55),'📦 Productos'!A:C,3,FALSE),""))),"")</f>
      </c>
      <c r="D55" s="28" t="s">
        <v>134</v>
      </c>
      <c r="E55" s="29" t="s">
        <v>737</v>
      </c>
      <c r="F55" s="30">
        <v>0</v>
      </c>
      <c r="G55" s="31">
        <v>186000</v>
      </c>
      <c r="H55" s="32"/>
      <c r="I55" s="14">
        <v>0</v>
      </c>
      <c r="J55" s="33" t="s">
        <v>29</v>
      </c>
      <c r="K55" s="30" t="s">
        <v>738</v>
      </c>
      <c r="L55" s="29" t="s">
        <v>26</v>
      </c>
    </row>
    <row r="56" ht="20" customHeight="1" spans="1:12" x14ac:dyDescent="0.25">
      <c r="A56" s="7" t="s">
        <v>824</v>
      </c>
      <c r="B56" s="7" t="s">
        <v>133</v>
      </c>
      <c r="C56" s="24">
        <f>IF(B56&lt;&gt;"",IFERROR(VLOOKUP(B56,'📦 Productos'!A:C,3,FALSE),IFERROR(VLOOKUP(B56&amp;"",'📦 Productos'!A:C,3,FALSE),IFERROR(VLOOKUP(VALUE(B56),'📦 Productos'!A:C,3,FALSE),""))),"")</f>
      </c>
      <c r="D56" s="7" t="s">
        <v>825</v>
      </c>
      <c r="E56" s="8" t="s">
        <v>741</v>
      </c>
      <c r="F56" s="12">
        <v>0</v>
      </c>
      <c r="G56" s="25">
        <v>245000</v>
      </c>
      <c r="H56" s="26">
        <v>154350</v>
      </c>
      <c r="I56" s="14">
        <v>37</v>
      </c>
      <c r="J56" s="27" t="s">
        <v>29</v>
      </c>
      <c r="K56" s="12" t="s">
        <v>738</v>
      </c>
      <c r="L56" s="8" t="s">
        <v>26</v>
      </c>
    </row>
    <row r="57" ht="20" customHeight="1" spans="1:12" x14ac:dyDescent="0.25">
      <c r="A57" s="28" t="s">
        <v>826</v>
      </c>
      <c r="B57" s="28" t="s">
        <v>133</v>
      </c>
      <c r="C57" s="24">
        <f>IF(B57&lt;&gt;"",IFERROR(VLOOKUP(B57,'📦 Productos'!A:C,3,FALSE),IFERROR(VLOOKUP(B57&amp;"",'📦 Productos'!A:C,3,FALSE),IFERROR(VLOOKUP(VALUE(B57),'📦 Productos'!A:C,3,FALSE),""))),"")</f>
      </c>
      <c r="D57" s="28" t="s">
        <v>827</v>
      </c>
      <c r="E57" s="29" t="s">
        <v>787</v>
      </c>
      <c r="F57" s="30">
        <v>0</v>
      </c>
      <c r="G57" s="31">
        <v>135000</v>
      </c>
      <c r="H57" s="32"/>
      <c r="I57" s="14">
        <v>0</v>
      </c>
      <c r="J57" s="33" t="s">
        <v>29</v>
      </c>
      <c r="K57" s="30" t="s">
        <v>738</v>
      </c>
      <c r="L57" s="29" t="s">
        <v>26</v>
      </c>
    </row>
    <row r="58" ht="20" customHeight="1" spans="1:12" x14ac:dyDescent="0.25">
      <c r="A58" s="7" t="s">
        <v>828</v>
      </c>
      <c r="B58" s="7" t="s">
        <v>137</v>
      </c>
      <c r="C58" s="24">
        <f>IF(B58&lt;&gt;"",IFERROR(VLOOKUP(B58,'📦 Productos'!A:C,3,FALSE),IFERROR(VLOOKUP(B58&amp;"",'📦 Productos'!A:C,3,FALSE),IFERROR(VLOOKUP(VALUE(B58),'📦 Productos'!A:C,3,FALSE),""))),"")</f>
      </c>
      <c r="D58" s="7" t="s">
        <v>138</v>
      </c>
      <c r="E58" s="8" t="s">
        <v>778</v>
      </c>
      <c r="F58" s="12">
        <v>0</v>
      </c>
      <c r="G58" s="25">
        <v>245000</v>
      </c>
      <c r="H58" s="26"/>
      <c r="I58" s="14">
        <v>0</v>
      </c>
      <c r="J58" s="27" t="s">
        <v>29</v>
      </c>
      <c r="K58" s="12" t="s">
        <v>738</v>
      </c>
      <c r="L58" s="8" t="s">
        <v>26</v>
      </c>
    </row>
    <row r="59" ht="20" customHeight="1" spans="1:12" x14ac:dyDescent="0.25">
      <c r="A59" s="28" t="s">
        <v>829</v>
      </c>
      <c r="B59" s="28" t="s">
        <v>137</v>
      </c>
      <c r="C59" s="24">
        <f>IF(B59&lt;&gt;"",IFERROR(VLOOKUP(B59,'📦 Productos'!A:C,3,FALSE),IFERROR(VLOOKUP(B59&amp;"",'📦 Productos'!A:C,3,FALSE),IFERROR(VLOOKUP(VALUE(B59),'📦 Productos'!A:C,3,FALSE),""))),"")</f>
      </c>
      <c r="D59" s="28" t="s">
        <v>830</v>
      </c>
      <c r="E59" s="29" t="s">
        <v>778</v>
      </c>
      <c r="F59" s="30">
        <v>0</v>
      </c>
      <c r="G59" s="31">
        <v>245000</v>
      </c>
      <c r="H59" s="32"/>
      <c r="I59" s="14">
        <v>0</v>
      </c>
      <c r="J59" s="33" t="s">
        <v>29</v>
      </c>
      <c r="K59" s="30" t="s">
        <v>738</v>
      </c>
      <c r="L59" s="29" t="s">
        <v>26</v>
      </c>
    </row>
    <row r="60" ht="20" customHeight="1" spans="1:12" x14ac:dyDescent="0.25">
      <c r="A60" s="7" t="s">
        <v>831</v>
      </c>
      <c r="B60" s="7" t="s">
        <v>140</v>
      </c>
      <c r="C60" s="24">
        <f>IF(B60&lt;&gt;"",IFERROR(VLOOKUP(B60,'📦 Productos'!A:C,3,FALSE),IFERROR(VLOOKUP(B60&amp;"",'📦 Productos'!A:C,3,FALSE),IFERROR(VLOOKUP(VALUE(B60),'📦 Productos'!A:C,3,FALSE),""))),"")</f>
      </c>
      <c r="D60" s="7" t="s">
        <v>141</v>
      </c>
      <c r="E60" s="8" t="s">
        <v>741</v>
      </c>
      <c r="F60" s="12">
        <v>0</v>
      </c>
      <c r="G60" s="25">
        <v>185900</v>
      </c>
      <c r="H60" s="26">
        <v>130130</v>
      </c>
      <c r="I60" s="14">
        <v>30</v>
      </c>
      <c r="J60" s="27" t="s">
        <v>29</v>
      </c>
      <c r="K60" s="12" t="s">
        <v>738</v>
      </c>
      <c r="L60" s="8" t="s">
        <v>26</v>
      </c>
    </row>
    <row r="61" ht="20" customHeight="1" spans="1:12" x14ac:dyDescent="0.25">
      <c r="A61" s="28" t="s">
        <v>832</v>
      </c>
      <c r="B61" s="28" t="s">
        <v>140</v>
      </c>
      <c r="C61" s="24">
        <f>IF(B61&lt;&gt;"",IFERROR(VLOOKUP(B61,'📦 Productos'!A:C,3,FALSE),IFERROR(VLOOKUP(B61&amp;"",'📦 Productos'!A:C,3,FALSE),IFERROR(VLOOKUP(VALUE(B61),'📦 Productos'!A:C,3,FALSE),""))),"")</f>
      </c>
      <c r="D61" s="28" t="s">
        <v>833</v>
      </c>
      <c r="E61" s="29" t="s">
        <v>737</v>
      </c>
      <c r="F61" s="30">
        <v>0</v>
      </c>
      <c r="G61" s="31">
        <v>143600</v>
      </c>
      <c r="H61" s="32">
        <v>100520</v>
      </c>
      <c r="I61" s="14">
        <v>30</v>
      </c>
      <c r="J61" s="33" t="s">
        <v>29</v>
      </c>
      <c r="K61" s="30" t="s">
        <v>738</v>
      </c>
      <c r="L61" s="29" t="s">
        <v>26</v>
      </c>
    </row>
    <row r="62" ht="20" customHeight="1" spans="1:12" x14ac:dyDescent="0.25">
      <c r="A62" s="7" t="s">
        <v>834</v>
      </c>
      <c r="B62" s="7" t="s">
        <v>144</v>
      </c>
      <c r="C62" s="24">
        <f>IF(B62&lt;&gt;"",IFERROR(VLOOKUP(B62,'📦 Productos'!A:C,3,FALSE),IFERROR(VLOOKUP(B62&amp;"",'📦 Productos'!A:C,3,FALSE),IFERROR(VLOOKUP(VALUE(B62),'📦 Productos'!A:C,3,FALSE),""))),"")</f>
      </c>
      <c r="D62" s="7" t="s">
        <v>145</v>
      </c>
      <c r="E62" s="8" t="s">
        <v>749</v>
      </c>
      <c r="F62" s="12">
        <v>0</v>
      </c>
      <c r="G62" s="25">
        <v>200000</v>
      </c>
      <c r="H62" s="26"/>
      <c r="I62" s="14">
        <v>0</v>
      </c>
      <c r="J62" s="27" t="s">
        <v>29</v>
      </c>
      <c r="K62" s="12" t="s">
        <v>738</v>
      </c>
      <c r="L62" s="8" t="s">
        <v>26</v>
      </c>
    </row>
    <row r="63" ht="20" customHeight="1" spans="1:12" x14ac:dyDescent="0.25">
      <c r="A63" s="28" t="s">
        <v>835</v>
      </c>
      <c r="B63" s="28" t="s">
        <v>144</v>
      </c>
      <c r="C63" s="24">
        <f>IF(B63&lt;&gt;"",IFERROR(VLOOKUP(B63,'📦 Productos'!A:C,3,FALSE),IFERROR(VLOOKUP(B63&amp;"",'📦 Productos'!A:C,3,FALSE),IFERROR(VLOOKUP(VALUE(B63),'📦 Productos'!A:C,3,FALSE),""))),"")</f>
      </c>
      <c r="D63" s="28" t="s">
        <v>836</v>
      </c>
      <c r="E63" s="29" t="s">
        <v>790</v>
      </c>
      <c r="F63" s="30">
        <v>0</v>
      </c>
      <c r="G63" s="31">
        <v>272000</v>
      </c>
      <c r="H63" s="32"/>
      <c r="I63" s="14">
        <v>0</v>
      </c>
      <c r="J63" s="33" t="s">
        <v>29</v>
      </c>
      <c r="K63" s="30" t="s">
        <v>738</v>
      </c>
      <c r="L63" s="29" t="s">
        <v>26</v>
      </c>
    </row>
    <row r="64" ht="20" customHeight="1" spans="1:12" x14ac:dyDescent="0.25">
      <c r="A64" s="7" t="s">
        <v>837</v>
      </c>
      <c r="B64" s="7" t="s">
        <v>151</v>
      </c>
      <c r="C64" s="24">
        <f>IF(B64&lt;&gt;"",IFERROR(VLOOKUP(B64,'📦 Productos'!A:C,3,FALSE),IFERROR(VLOOKUP(B64&amp;"",'📦 Productos'!A:C,3,FALSE),IFERROR(VLOOKUP(VALUE(B64),'📦 Productos'!A:C,3,FALSE),""))),"")</f>
      </c>
      <c r="D64" s="7" t="s">
        <v>152</v>
      </c>
      <c r="E64" s="8" t="s">
        <v>743</v>
      </c>
      <c r="F64" s="12">
        <v>0</v>
      </c>
      <c r="G64" s="25">
        <v>105000</v>
      </c>
      <c r="H64" s="26"/>
      <c r="I64" s="14">
        <v>0</v>
      </c>
      <c r="J64" s="27" t="s">
        <v>29</v>
      </c>
      <c r="K64" s="12" t="s">
        <v>738</v>
      </c>
      <c r="L64" s="8" t="s">
        <v>26</v>
      </c>
    </row>
    <row r="65" ht="20" customHeight="1" spans="1:12" x14ac:dyDescent="0.25">
      <c r="A65" s="28" t="s">
        <v>838</v>
      </c>
      <c r="B65" s="28" t="s">
        <v>151</v>
      </c>
      <c r="C65" s="24">
        <f>IF(B65&lt;&gt;"",IFERROR(VLOOKUP(B65,'📦 Productos'!A:C,3,FALSE),IFERROR(VLOOKUP(B65&amp;"",'📦 Productos'!A:C,3,FALSE),IFERROR(VLOOKUP(VALUE(B65),'📦 Productos'!A:C,3,FALSE),""))),"")</f>
      </c>
      <c r="D65" s="28" t="s">
        <v>839</v>
      </c>
      <c r="E65" s="29" t="s">
        <v>749</v>
      </c>
      <c r="F65" s="30">
        <v>0</v>
      </c>
      <c r="G65" s="31">
        <v>150000</v>
      </c>
      <c r="H65" s="32"/>
      <c r="I65" s="14">
        <v>0</v>
      </c>
      <c r="J65" s="33" t="s">
        <v>29</v>
      </c>
      <c r="K65" s="30" t="s">
        <v>738</v>
      </c>
      <c r="L65" s="29" t="s">
        <v>26</v>
      </c>
    </row>
    <row r="66" ht="20" customHeight="1" spans="1:12" x14ac:dyDescent="0.25">
      <c r="A66" s="7" t="s">
        <v>840</v>
      </c>
      <c r="B66" s="7" t="s">
        <v>151</v>
      </c>
      <c r="C66" s="24">
        <f>IF(B66&lt;&gt;"",IFERROR(VLOOKUP(B66,'📦 Productos'!A:C,3,FALSE),IFERROR(VLOOKUP(B66&amp;"",'📦 Productos'!A:C,3,FALSE),IFERROR(VLOOKUP(VALUE(B66),'📦 Productos'!A:C,3,FALSE),""))),"")</f>
      </c>
      <c r="D66" s="7" t="s">
        <v>841</v>
      </c>
      <c r="E66" s="8" t="s">
        <v>749</v>
      </c>
      <c r="F66" s="12">
        <v>0</v>
      </c>
      <c r="G66" s="25">
        <v>150000</v>
      </c>
      <c r="H66" s="26"/>
      <c r="I66" s="14">
        <v>0</v>
      </c>
      <c r="J66" s="27" t="s">
        <v>29</v>
      </c>
      <c r="K66" s="12" t="s">
        <v>738</v>
      </c>
      <c r="L66" s="8" t="s">
        <v>26</v>
      </c>
    </row>
    <row r="67" ht="20" customHeight="1" spans="1:12" x14ac:dyDescent="0.25">
      <c r="A67" s="28" t="s">
        <v>842</v>
      </c>
      <c r="B67" s="28" t="s">
        <v>151</v>
      </c>
      <c r="C67" s="24">
        <f>IF(B67&lt;&gt;"",IFERROR(VLOOKUP(B67,'📦 Productos'!A:C,3,FALSE),IFERROR(VLOOKUP(B67&amp;"",'📦 Productos'!A:C,3,FALSE),IFERROR(VLOOKUP(VALUE(B67),'📦 Productos'!A:C,3,FALSE),""))),"")</f>
      </c>
      <c r="D67" s="28" t="s">
        <v>843</v>
      </c>
      <c r="E67" s="29" t="s">
        <v>743</v>
      </c>
      <c r="F67" s="30">
        <v>0</v>
      </c>
      <c r="G67" s="31">
        <v>105000</v>
      </c>
      <c r="H67" s="32"/>
      <c r="I67" s="14">
        <v>0</v>
      </c>
      <c r="J67" s="33" t="s">
        <v>29</v>
      </c>
      <c r="K67" s="30" t="s">
        <v>738</v>
      </c>
      <c r="L67" s="29" t="s">
        <v>26</v>
      </c>
    </row>
    <row r="68" ht="20" customHeight="1" spans="1:12" x14ac:dyDescent="0.25">
      <c r="A68" s="7" t="s">
        <v>844</v>
      </c>
      <c r="B68" s="7" t="s">
        <v>151</v>
      </c>
      <c r="C68" s="24">
        <f>IF(B68&lt;&gt;"",IFERROR(VLOOKUP(B68,'📦 Productos'!A:C,3,FALSE),IFERROR(VLOOKUP(B68&amp;"",'📦 Productos'!A:C,3,FALSE),IFERROR(VLOOKUP(VALUE(B68),'📦 Productos'!A:C,3,FALSE),""))),"")</f>
      </c>
      <c r="D68" s="7" t="s">
        <v>845</v>
      </c>
      <c r="E68" s="8" t="s">
        <v>749</v>
      </c>
      <c r="F68" s="12">
        <v>0</v>
      </c>
      <c r="G68" s="25">
        <v>150000</v>
      </c>
      <c r="H68" s="26"/>
      <c r="I68" s="14">
        <v>0</v>
      </c>
      <c r="J68" s="27" t="s">
        <v>29</v>
      </c>
      <c r="K68" s="12" t="s">
        <v>738</v>
      </c>
      <c r="L68" s="8" t="s">
        <v>26</v>
      </c>
    </row>
    <row r="69" ht="20" customHeight="1" spans="1:12" x14ac:dyDescent="0.25">
      <c r="A69" s="28" t="s">
        <v>846</v>
      </c>
      <c r="B69" s="28" t="s">
        <v>155</v>
      </c>
      <c r="C69" s="24">
        <f>IF(B69&lt;&gt;"",IFERROR(VLOOKUP(B69,'📦 Productos'!A:C,3,FALSE),IFERROR(VLOOKUP(B69&amp;"",'📦 Productos'!A:C,3,FALSE),IFERROR(VLOOKUP(VALUE(B69),'📦 Productos'!A:C,3,FALSE),""))),"")</f>
      </c>
      <c r="D69" s="28" t="s">
        <v>156</v>
      </c>
      <c r="E69" s="29" t="s">
        <v>749</v>
      </c>
      <c r="F69" s="30">
        <v>0</v>
      </c>
      <c r="G69" s="31">
        <v>130200</v>
      </c>
      <c r="H69" s="32">
        <v>91140</v>
      </c>
      <c r="I69" s="14">
        <v>30</v>
      </c>
      <c r="J69" s="33" t="s">
        <v>29</v>
      </c>
      <c r="K69" s="30" t="s">
        <v>738</v>
      </c>
      <c r="L69" s="29" t="s">
        <v>26</v>
      </c>
    </row>
    <row r="70" ht="20" customHeight="1" spans="1:12" x14ac:dyDescent="0.25">
      <c r="A70" s="7" t="s">
        <v>847</v>
      </c>
      <c r="B70" s="7" t="s">
        <v>159</v>
      </c>
      <c r="C70" s="24">
        <f>IF(B70&lt;&gt;"",IFERROR(VLOOKUP(B70,'📦 Productos'!A:C,3,FALSE),IFERROR(VLOOKUP(B70&amp;"",'📦 Productos'!A:C,3,FALSE),IFERROR(VLOOKUP(VALUE(B70),'📦 Productos'!A:C,3,FALSE),""))),"")</f>
      </c>
      <c r="D70" s="7" t="s">
        <v>160</v>
      </c>
      <c r="E70" s="8" t="s">
        <v>749</v>
      </c>
      <c r="F70" s="12">
        <v>0</v>
      </c>
      <c r="G70" s="25">
        <v>130200</v>
      </c>
      <c r="H70" s="26">
        <v>91140</v>
      </c>
      <c r="I70" s="14">
        <v>30</v>
      </c>
      <c r="J70" s="27" t="s">
        <v>29</v>
      </c>
      <c r="K70" s="12" t="s">
        <v>738</v>
      </c>
      <c r="L70" s="8" t="s">
        <v>26</v>
      </c>
    </row>
    <row r="71" ht="20" customHeight="1" spans="1:12" x14ac:dyDescent="0.25">
      <c r="A71" s="28" t="s">
        <v>848</v>
      </c>
      <c r="B71" s="28" t="s">
        <v>163</v>
      </c>
      <c r="C71" s="24">
        <f>IF(B71&lt;&gt;"",IFERROR(VLOOKUP(B71,'📦 Productos'!A:C,3,FALSE),IFERROR(VLOOKUP(B71&amp;"",'📦 Productos'!A:C,3,FALSE),IFERROR(VLOOKUP(VALUE(B71),'📦 Productos'!A:C,3,FALSE),""))),"")</f>
      </c>
      <c r="D71" s="28" t="s">
        <v>164</v>
      </c>
      <c r="E71" s="29" t="s">
        <v>849</v>
      </c>
      <c r="F71" s="30">
        <v>0</v>
      </c>
      <c r="G71" s="31">
        <v>150000</v>
      </c>
      <c r="H71" s="32"/>
      <c r="I71" s="14">
        <v>0</v>
      </c>
      <c r="J71" s="33" t="s">
        <v>29</v>
      </c>
      <c r="K71" s="30" t="s">
        <v>738</v>
      </c>
      <c r="L71" s="29" t="s">
        <v>26</v>
      </c>
    </row>
    <row r="72" ht="20" customHeight="1" spans="1:12" x14ac:dyDescent="0.25">
      <c r="A72" s="7" t="s">
        <v>850</v>
      </c>
      <c r="B72" s="7" t="s">
        <v>163</v>
      </c>
      <c r="C72" s="24">
        <f>IF(B72&lt;&gt;"",IFERROR(VLOOKUP(B72,'📦 Productos'!A:C,3,FALSE),IFERROR(VLOOKUP(B72&amp;"",'📦 Productos'!A:C,3,FALSE),IFERROR(VLOOKUP(VALUE(B72),'📦 Productos'!A:C,3,FALSE),""))),"")</f>
      </c>
      <c r="D72" s="7" t="s">
        <v>851</v>
      </c>
      <c r="E72" s="8" t="s">
        <v>743</v>
      </c>
      <c r="F72" s="12">
        <v>0</v>
      </c>
      <c r="G72" s="25">
        <v>105000</v>
      </c>
      <c r="H72" s="26"/>
      <c r="I72" s="14">
        <v>0</v>
      </c>
      <c r="J72" s="27" t="s">
        <v>29</v>
      </c>
      <c r="K72" s="12" t="s">
        <v>738</v>
      </c>
      <c r="L72" s="8" t="s">
        <v>26</v>
      </c>
    </row>
    <row r="73" ht="20" customHeight="1" spans="1:12" x14ac:dyDescent="0.25">
      <c r="A73" s="28" t="s">
        <v>852</v>
      </c>
      <c r="B73" s="28" t="s">
        <v>166</v>
      </c>
      <c r="C73" s="24">
        <f>IF(B73&lt;&gt;"",IFERROR(VLOOKUP(B73,'📦 Productos'!A:C,3,FALSE),IFERROR(VLOOKUP(B73&amp;"",'📦 Productos'!A:C,3,FALSE),IFERROR(VLOOKUP(VALUE(B73),'📦 Productos'!A:C,3,FALSE),""))),"")</f>
      </c>
      <c r="D73" s="28" t="s">
        <v>167</v>
      </c>
      <c r="E73" s="29" t="s">
        <v>749</v>
      </c>
      <c r="F73" s="30">
        <v>0</v>
      </c>
      <c r="G73" s="31">
        <v>130200</v>
      </c>
      <c r="H73" s="32">
        <v>98952</v>
      </c>
      <c r="I73" s="14">
        <v>24</v>
      </c>
      <c r="J73" s="33" t="s">
        <v>29</v>
      </c>
      <c r="K73" s="30" t="s">
        <v>738</v>
      </c>
      <c r="L73" s="29" t="s">
        <v>26</v>
      </c>
    </row>
    <row r="74" ht="20" customHeight="1" spans="1:12" x14ac:dyDescent="0.25">
      <c r="A74" s="7" t="s">
        <v>853</v>
      </c>
      <c r="B74" s="7" t="s">
        <v>170</v>
      </c>
      <c r="C74" s="24">
        <f>IF(B74&lt;&gt;"",IFERROR(VLOOKUP(B74,'📦 Productos'!A:C,3,FALSE),IFERROR(VLOOKUP(B74&amp;"",'📦 Productos'!A:C,3,FALSE),IFERROR(VLOOKUP(VALUE(B74),'📦 Productos'!A:C,3,FALSE),""))),"")</f>
      </c>
      <c r="D74" s="7" t="s">
        <v>171</v>
      </c>
      <c r="E74" s="8" t="s">
        <v>749</v>
      </c>
      <c r="F74" s="12">
        <v>0</v>
      </c>
      <c r="G74" s="25">
        <v>130200</v>
      </c>
      <c r="H74" s="26">
        <v>98952</v>
      </c>
      <c r="I74" s="14">
        <v>24</v>
      </c>
      <c r="J74" s="27" t="s">
        <v>29</v>
      </c>
      <c r="K74" s="12" t="s">
        <v>738</v>
      </c>
      <c r="L74" s="8" t="s">
        <v>26</v>
      </c>
    </row>
    <row r="75" ht="20" customHeight="1" spans="1:12" x14ac:dyDescent="0.25">
      <c r="A75" s="28" t="s">
        <v>854</v>
      </c>
      <c r="B75" s="28" t="s">
        <v>174</v>
      </c>
      <c r="C75" s="24">
        <f>IF(B75&lt;&gt;"",IFERROR(VLOOKUP(B75,'📦 Productos'!A:C,3,FALSE),IFERROR(VLOOKUP(B75&amp;"",'📦 Productos'!A:C,3,FALSE),IFERROR(VLOOKUP(VALUE(B75),'📦 Productos'!A:C,3,FALSE),""))),"")</f>
      </c>
      <c r="D75" s="28" t="s">
        <v>175</v>
      </c>
      <c r="E75" s="29" t="s">
        <v>749</v>
      </c>
      <c r="F75" s="30">
        <v>0</v>
      </c>
      <c r="G75" s="31">
        <v>150000</v>
      </c>
      <c r="H75" s="32"/>
      <c r="I75" s="14">
        <v>0</v>
      </c>
      <c r="J75" s="33" t="s">
        <v>29</v>
      </c>
      <c r="K75" s="30" t="s">
        <v>738</v>
      </c>
      <c r="L75" s="29" t="s">
        <v>26</v>
      </c>
    </row>
    <row r="76" ht="20" customHeight="1" spans="1:12" x14ac:dyDescent="0.25">
      <c r="A76" s="7" t="s">
        <v>855</v>
      </c>
      <c r="B76" s="7" t="s">
        <v>178</v>
      </c>
      <c r="C76" s="24">
        <f>IF(B76&lt;&gt;"",IFERROR(VLOOKUP(B76,'📦 Productos'!A:C,3,FALSE),IFERROR(VLOOKUP(B76&amp;"",'📦 Productos'!A:C,3,FALSE),IFERROR(VLOOKUP(VALUE(B76),'📦 Productos'!A:C,3,FALSE),""))),"")</f>
      </c>
      <c r="D76" s="7" t="s">
        <v>179</v>
      </c>
      <c r="E76" s="8" t="s">
        <v>746</v>
      </c>
      <c r="F76" s="12">
        <v>0</v>
      </c>
      <c r="G76" s="25">
        <v>220000</v>
      </c>
      <c r="H76" s="26"/>
      <c r="I76" s="14">
        <v>0</v>
      </c>
      <c r="J76" s="27" t="s">
        <v>29</v>
      </c>
      <c r="K76" s="12" t="s">
        <v>738</v>
      </c>
      <c r="L76" s="8" t="s">
        <v>26</v>
      </c>
    </row>
    <row r="77" ht="20" customHeight="1" spans="1:12" x14ac:dyDescent="0.25">
      <c r="A77" s="28" t="s">
        <v>856</v>
      </c>
      <c r="B77" s="28" t="s">
        <v>178</v>
      </c>
      <c r="C77" s="24">
        <f>IF(B77&lt;&gt;"",IFERROR(VLOOKUP(B77,'📦 Productos'!A:C,3,FALSE),IFERROR(VLOOKUP(B77&amp;"",'📦 Productos'!A:C,3,FALSE),IFERROR(VLOOKUP(VALUE(B77),'📦 Productos'!A:C,3,FALSE),""))),"")</f>
      </c>
      <c r="D77" s="28" t="s">
        <v>857</v>
      </c>
      <c r="E77" s="29" t="s">
        <v>743</v>
      </c>
      <c r="F77" s="30">
        <v>0</v>
      </c>
      <c r="G77" s="31">
        <v>108000</v>
      </c>
      <c r="H77" s="32"/>
      <c r="I77" s="14">
        <v>0</v>
      </c>
      <c r="J77" s="33" t="s">
        <v>29</v>
      </c>
      <c r="K77" s="30" t="s">
        <v>738</v>
      </c>
      <c r="L77" s="29" t="s">
        <v>26</v>
      </c>
    </row>
    <row r="78" ht="20" customHeight="1" spans="1:12" x14ac:dyDescent="0.25">
      <c r="A78" s="7" t="s">
        <v>858</v>
      </c>
      <c r="B78" s="7" t="s">
        <v>178</v>
      </c>
      <c r="C78" s="24">
        <f>IF(B78&lt;&gt;"",IFERROR(VLOOKUP(B78,'📦 Productos'!A:C,3,FALSE),IFERROR(VLOOKUP(B78&amp;"",'📦 Productos'!A:C,3,FALSE),IFERROR(VLOOKUP(VALUE(B78),'📦 Productos'!A:C,3,FALSE),""))),"")</f>
      </c>
      <c r="D78" s="7" t="s">
        <v>859</v>
      </c>
      <c r="E78" s="8" t="s">
        <v>749</v>
      </c>
      <c r="F78" s="12">
        <v>0</v>
      </c>
      <c r="G78" s="25">
        <v>160000</v>
      </c>
      <c r="H78" s="26"/>
      <c r="I78" s="14">
        <v>0</v>
      </c>
      <c r="J78" s="27" t="s">
        <v>29</v>
      </c>
      <c r="K78" s="12" t="s">
        <v>738</v>
      </c>
      <c r="L78" s="8" t="s">
        <v>26</v>
      </c>
    </row>
    <row r="79" ht="20" customHeight="1" spans="1:12" x14ac:dyDescent="0.25">
      <c r="A79" s="28" t="s">
        <v>860</v>
      </c>
      <c r="B79" s="28" t="s">
        <v>182</v>
      </c>
      <c r="C79" s="24">
        <f>IF(B79&lt;&gt;"",IFERROR(VLOOKUP(B79,'📦 Productos'!A:C,3,FALSE),IFERROR(VLOOKUP(B79&amp;"",'📦 Productos'!A:C,3,FALSE),IFERROR(VLOOKUP(VALUE(B79),'📦 Productos'!A:C,3,FALSE),""))),"")</f>
      </c>
      <c r="D79" s="28" t="s">
        <v>183</v>
      </c>
      <c r="E79" s="29" t="s">
        <v>746</v>
      </c>
      <c r="F79" s="30">
        <v>0</v>
      </c>
      <c r="G79" s="31">
        <v>222000</v>
      </c>
      <c r="H79" s="32"/>
      <c r="I79" s="14">
        <v>0</v>
      </c>
      <c r="J79" s="33" t="s">
        <v>29</v>
      </c>
      <c r="K79" s="30" t="s">
        <v>738</v>
      </c>
      <c r="L79" s="29" t="s">
        <v>26</v>
      </c>
    </row>
    <row r="80" ht="20" customHeight="1" spans="1:12" x14ac:dyDescent="0.25">
      <c r="A80" s="7" t="s">
        <v>861</v>
      </c>
      <c r="B80" s="7" t="s">
        <v>182</v>
      </c>
      <c r="C80" s="24">
        <f>IF(B80&lt;&gt;"",IFERROR(VLOOKUP(B80,'📦 Productos'!A:C,3,FALSE),IFERROR(VLOOKUP(B80&amp;"",'📦 Productos'!A:C,3,FALSE),IFERROR(VLOOKUP(VALUE(B80),'📦 Productos'!A:C,3,FALSE),""))),"")</f>
      </c>
      <c r="D80" s="7" t="s">
        <v>862</v>
      </c>
      <c r="E80" s="8" t="s">
        <v>743</v>
      </c>
      <c r="F80" s="12">
        <v>0</v>
      </c>
      <c r="G80" s="25">
        <v>108000</v>
      </c>
      <c r="H80" s="26"/>
      <c r="I80" s="14">
        <v>0</v>
      </c>
      <c r="J80" s="27" t="s">
        <v>29</v>
      </c>
      <c r="K80" s="12" t="s">
        <v>738</v>
      </c>
      <c r="L80" s="8" t="s">
        <v>26</v>
      </c>
    </row>
    <row r="81" ht="20" customHeight="1" spans="1:12" x14ac:dyDescent="0.25">
      <c r="A81" s="28" t="s">
        <v>863</v>
      </c>
      <c r="B81" s="28" t="s">
        <v>182</v>
      </c>
      <c r="C81" s="24">
        <f>IF(B81&lt;&gt;"",IFERROR(VLOOKUP(B81,'📦 Productos'!A:C,3,FALSE),IFERROR(VLOOKUP(B81&amp;"",'📦 Productos'!A:C,3,FALSE),IFERROR(VLOOKUP(VALUE(B81),'📦 Productos'!A:C,3,FALSE),""))),"")</f>
      </c>
      <c r="D81" s="28" t="s">
        <v>864</v>
      </c>
      <c r="E81" s="29" t="s">
        <v>749</v>
      </c>
      <c r="F81" s="30">
        <v>0</v>
      </c>
      <c r="G81" s="31">
        <v>160000</v>
      </c>
      <c r="H81" s="32"/>
      <c r="I81" s="14">
        <v>0</v>
      </c>
      <c r="J81" s="33" t="s">
        <v>29</v>
      </c>
      <c r="K81" s="30" t="s">
        <v>738</v>
      </c>
      <c r="L81" s="29" t="s">
        <v>26</v>
      </c>
    </row>
    <row r="82" ht="20" customHeight="1" spans="1:12" x14ac:dyDescent="0.25">
      <c r="A82" s="7" t="s">
        <v>865</v>
      </c>
      <c r="B82" s="7" t="s">
        <v>186</v>
      </c>
      <c r="C82" s="24">
        <f>IF(B82&lt;&gt;"",IFERROR(VLOOKUP(B82,'📦 Productos'!A:C,3,FALSE),IFERROR(VLOOKUP(B82&amp;"",'📦 Productos'!A:C,3,FALSE),IFERROR(VLOOKUP(VALUE(B82),'📦 Productos'!A:C,3,FALSE),""))),"")</f>
      </c>
      <c r="D82" s="7" t="s">
        <v>187</v>
      </c>
      <c r="E82" s="8" t="s">
        <v>866</v>
      </c>
      <c r="F82" s="12">
        <v>0</v>
      </c>
      <c r="G82" s="25">
        <v>160000</v>
      </c>
      <c r="H82" s="26"/>
      <c r="I82" s="14">
        <v>0</v>
      </c>
      <c r="J82" s="27" t="s">
        <v>29</v>
      </c>
      <c r="K82" s="12" t="s">
        <v>738</v>
      </c>
      <c r="L82" s="8" t="s">
        <v>26</v>
      </c>
    </row>
    <row r="83" ht="20" customHeight="1" spans="1:12" x14ac:dyDescent="0.25">
      <c r="A83" s="28" t="s">
        <v>867</v>
      </c>
      <c r="B83" s="28" t="s">
        <v>189</v>
      </c>
      <c r="C83" s="24">
        <f>IF(B83&lt;&gt;"",IFERROR(VLOOKUP(B83,'📦 Productos'!A:C,3,FALSE),IFERROR(VLOOKUP(B83&amp;"",'📦 Productos'!A:C,3,FALSE),IFERROR(VLOOKUP(VALUE(B83),'📦 Productos'!A:C,3,FALSE),""))),"")</f>
      </c>
      <c r="D83" s="28" t="s">
        <v>190</v>
      </c>
      <c r="E83" s="29" t="s">
        <v>749</v>
      </c>
      <c r="F83" s="30">
        <v>0</v>
      </c>
      <c r="G83" s="31">
        <v>136600</v>
      </c>
      <c r="H83" s="32">
        <v>95620</v>
      </c>
      <c r="I83" s="14">
        <v>30</v>
      </c>
      <c r="J83" s="33" t="s">
        <v>29</v>
      </c>
      <c r="K83" s="30" t="s">
        <v>738</v>
      </c>
      <c r="L83" s="29" t="s">
        <v>26</v>
      </c>
    </row>
    <row r="84" ht="20" customHeight="1" spans="1:12" x14ac:dyDescent="0.25">
      <c r="A84" s="7" t="s">
        <v>868</v>
      </c>
      <c r="B84" s="7" t="s">
        <v>193</v>
      </c>
      <c r="C84" s="24">
        <f>IF(B84&lt;&gt;"",IFERROR(VLOOKUP(B84,'📦 Productos'!A:C,3,FALSE),IFERROR(VLOOKUP(B84&amp;"",'📦 Productos'!A:C,3,FALSE),IFERROR(VLOOKUP(VALUE(B84),'📦 Productos'!A:C,3,FALSE),""))),"")</f>
      </c>
      <c r="D84" s="7" t="s">
        <v>194</v>
      </c>
      <c r="E84" s="8" t="s">
        <v>749</v>
      </c>
      <c r="F84" s="12">
        <v>0</v>
      </c>
      <c r="G84" s="25">
        <v>136600</v>
      </c>
      <c r="H84" s="26">
        <v>95620</v>
      </c>
      <c r="I84" s="14">
        <v>30</v>
      </c>
      <c r="J84" s="27" t="s">
        <v>29</v>
      </c>
      <c r="K84" s="12" t="s">
        <v>738</v>
      </c>
      <c r="L84" s="8" t="s">
        <v>26</v>
      </c>
    </row>
    <row r="85" ht="20" customHeight="1" spans="1:12" x14ac:dyDescent="0.25">
      <c r="A85" s="28" t="s">
        <v>869</v>
      </c>
      <c r="B85" s="28" t="s">
        <v>211</v>
      </c>
      <c r="C85" s="24">
        <f>IF(B85&lt;&gt;"",IFERROR(VLOOKUP(B85,'📦 Productos'!A:C,3,FALSE),IFERROR(VLOOKUP(B85&amp;"",'📦 Productos'!A:C,3,FALSE),IFERROR(VLOOKUP(VALUE(B85),'📦 Productos'!A:C,3,FALSE),""))),"")</f>
      </c>
      <c r="D85" s="28" t="s">
        <v>212</v>
      </c>
      <c r="E85" s="29" t="s">
        <v>26</v>
      </c>
      <c r="F85" s="30">
        <v>0</v>
      </c>
      <c r="G85" s="31">
        <v>10500</v>
      </c>
      <c r="H85" s="32">
        <v>7350</v>
      </c>
      <c r="I85" s="14">
        <v>30</v>
      </c>
      <c r="J85" s="33" t="s">
        <v>29</v>
      </c>
      <c r="K85" s="30" t="s">
        <v>738</v>
      </c>
      <c r="L85" s="29" t="s">
        <v>26</v>
      </c>
    </row>
    <row r="86" ht="20" customHeight="1" spans="1:12" x14ac:dyDescent="0.25">
      <c r="A86" s="7" t="s">
        <v>870</v>
      </c>
      <c r="B86" s="7" t="s">
        <v>211</v>
      </c>
      <c r="C86" s="24">
        <f>IF(B86&lt;&gt;"",IFERROR(VLOOKUP(B86,'📦 Productos'!A:C,3,FALSE),IFERROR(VLOOKUP(B86&amp;"",'📦 Productos'!A:C,3,FALSE),IFERROR(VLOOKUP(VALUE(B86),'📦 Productos'!A:C,3,FALSE),""))),"")</f>
      </c>
      <c r="D86" s="7" t="s">
        <v>871</v>
      </c>
      <c r="E86" s="8" t="s">
        <v>26</v>
      </c>
      <c r="F86" s="12">
        <v>0</v>
      </c>
      <c r="G86" s="25">
        <v>10500</v>
      </c>
      <c r="H86" s="26">
        <v>5250</v>
      </c>
      <c r="I86" s="14">
        <v>50</v>
      </c>
      <c r="J86" s="27" t="s">
        <v>29</v>
      </c>
      <c r="K86" s="12" t="s">
        <v>738</v>
      </c>
      <c r="L86" s="8" t="s">
        <v>26</v>
      </c>
    </row>
    <row r="87" ht="20" customHeight="1" spans="1:12" x14ac:dyDescent="0.25">
      <c r="A87" s="28" t="s">
        <v>872</v>
      </c>
      <c r="B87" s="28" t="s">
        <v>211</v>
      </c>
      <c r="C87" s="24">
        <f>IF(B87&lt;&gt;"",IFERROR(VLOOKUP(B87,'📦 Productos'!A:C,3,FALSE),IFERROR(VLOOKUP(B87&amp;"",'📦 Productos'!A:C,3,FALSE),IFERROR(VLOOKUP(VALUE(B87),'📦 Productos'!A:C,3,FALSE),""))),"")</f>
      </c>
      <c r="D87" s="28" t="s">
        <v>873</v>
      </c>
      <c r="E87" s="29" t="s">
        <v>26</v>
      </c>
      <c r="F87" s="30">
        <v>0</v>
      </c>
      <c r="G87" s="31">
        <v>10500</v>
      </c>
      <c r="H87" s="32">
        <v>5250</v>
      </c>
      <c r="I87" s="14">
        <v>50</v>
      </c>
      <c r="J87" s="33" t="s">
        <v>29</v>
      </c>
      <c r="K87" s="30" t="s">
        <v>738</v>
      </c>
      <c r="L87" s="29" t="s">
        <v>26</v>
      </c>
    </row>
    <row r="88" ht="20" customHeight="1" spans="1:12" x14ac:dyDescent="0.25">
      <c r="A88" s="7" t="s">
        <v>874</v>
      </c>
      <c r="B88" s="7" t="s">
        <v>211</v>
      </c>
      <c r="C88" s="24">
        <f>IF(B88&lt;&gt;"",IFERROR(VLOOKUP(B88,'📦 Productos'!A:C,3,FALSE),IFERROR(VLOOKUP(B88&amp;"",'📦 Productos'!A:C,3,FALSE),IFERROR(VLOOKUP(VALUE(B88),'📦 Productos'!A:C,3,FALSE),""))),"")</f>
      </c>
      <c r="D88" s="7" t="s">
        <v>875</v>
      </c>
      <c r="E88" s="8" t="s">
        <v>26</v>
      </c>
      <c r="F88" s="12">
        <v>0</v>
      </c>
      <c r="G88" s="25">
        <v>10500</v>
      </c>
      <c r="H88" s="26">
        <v>5250</v>
      </c>
      <c r="I88" s="14">
        <v>50</v>
      </c>
      <c r="J88" s="27" t="s">
        <v>29</v>
      </c>
      <c r="K88" s="12" t="s">
        <v>738</v>
      </c>
      <c r="L88" s="8" t="s">
        <v>26</v>
      </c>
    </row>
    <row r="89" ht="20" customHeight="1" spans="1:12" x14ac:dyDescent="0.25">
      <c r="A89" s="28" t="s">
        <v>876</v>
      </c>
      <c r="B89" s="28" t="s">
        <v>211</v>
      </c>
      <c r="C89" s="24">
        <f>IF(B89&lt;&gt;"",IFERROR(VLOOKUP(B89,'📦 Productos'!A:C,3,FALSE),IFERROR(VLOOKUP(B89&amp;"",'📦 Productos'!A:C,3,FALSE),IFERROR(VLOOKUP(VALUE(B89),'📦 Productos'!A:C,3,FALSE),""))),"")</f>
      </c>
      <c r="D89" s="28" t="s">
        <v>877</v>
      </c>
      <c r="E89" s="29" t="s">
        <v>26</v>
      </c>
      <c r="F89" s="30">
        <v>0</v>
      </c>
      <c r="G89" s="31">
        <v>10500</v>
      </c>
      <c r="H89" s="32">
        <v>7350</v>
      </c>
      <c r="I89" s="14">
        <v>30</v>
      </c>
      <c r="J89" s="33" t="s">
        <v>29</v>
      </c>
      <c r="K89" s="30" t="s">
        <v>738</v>
      </c>
      <c r="L89" s="29" t="s">
        <v>26</v>
      </c>
    </row>
    <row r="90" ht="20" customHeight="1" spans="1:12" x14ac:dyDescent="0.25">
      <c r="A90" s="7" t="s">
        <v>878</v>
      </c>
      <c r="B90" s="7" t="s">
        <v>211</v>
      </c>
      <c r="C90" s="24">
        <f>IF(B90&lt;&gt;"",IFERROR(VLOOKUP(B90,'📦 Productos'!A:C,3,FALSE),IFERROR(VLOOKUP(B90&amp;"",'📦 Productos'!A:C,3,FALSE),IFERROR(VLOOKUP(VALUE(B90),'📦 Productos'!A:C,3,FALSE),""))),"")</f>
      </c>
      <c r="D90" s="7" t="s">
        <v>879</v>
      </c>
      <c r="E90" s="8" t="s">
        <v>26</v>
      </c>
      <c r="F90" s="12">
        <v>0</v>
      </c>
      <c r="G90" s="25">
        <v>10500</v>
      </c>
      <c r="H90" s="26">
        <v>7350</v>
      </c>
      <c r="I90" s="14">
        <v>30</v>
      </c>
      <c r="J90" s="27" t="s">
        <v>29</v>
      </c>
      <c r="K90" s="12" t="s">
        <v>738</v>
      </c>
      <c r="L90" s="8" t="s">
        <v>26</v>
      </c>
    </row>
    <row r="91" ht="20" customHeight="1" spans="1:12" x14ac:dyDescent="0.25">
      <c r="A91" s="28" t="s">
        <v>880</v>
      </c>
      <c r="B91" s="28" t="s">
        <v>211</v>
      </c>
      <c r="C91" s="24">
        <f>IF(B91&lt;&gt;"",IFERROR(VLOOKUP(B91,'📦 Productos'!A:C,3,FALSE),IFERROR(VLOOKUP(B91&amp;"",'📦 Productos'!A:C,3,FALSE),IFERROR(VLOOKUP(VALUE(B91),'📦 Productos'!A:C,3,FALSE),""))),"")</f>
      </c>
      <c r="D91" s="28" t="s">
        <v>881</v>
      </c>
      <c r="E91" s="29" t="s">
        <v>26</v>
      </c>
      <c r="F91" s="30">
        <v>0</v>
      </c>
      <c r="G91" s="31">
        <v>10500</v>
      </c>
      <c r="H91" s="32">
        <v>7350</v>
      </c>
      <c r="I91" s="14">
        <v>30</v>
      </c>
      <c r="J91" s="33" t="s">
        <v>29</v>
      </c>
      <c r="K91" s="30" t="s">
        <v>738</v>
      </c>
      <c r="L91" s="29" t="s">
        <v>26</v>
      </c>
    </row>
    <row r="92" ht="20" customHeight="1" spans="1:12" x14ac:dyDescent="0.25">
      <c r="A92" s="7" t="s">
        <v>882</v>
      </c>
      <c r="B92" s="7" t="s">
        <v>211</v>
      </c>
      <c r="C92" s="24">
        <f>IF(B92&lt;&gt;"",IFERROR(VLOOKUP(B92,'📦 Productos'!A:C,3,FALSE),IFERROR(VLOOKUP(B92&amp;"",'📦 Productos'!A:C,3,FALSE),IFERROR(VLOOKUP(VALUE(B92),'📦 Productos'!A:C,3,FALSE),""))),"")</f>
      </c>
      <c r="D92" s="7" t="s">
        <v>883</v>
      </c>
      <c r="E92" s="8" t="s">
        <v>26</v>
      </c>
      <c r="F92" s="12">
        <v>0</v>
      </c>
      <c r="G92" s="25">
        <v>10500</v>
      </c>
      <c r="H92" s="26">
        <v>7350</v>
      </c>
      <c r="I92" s="14">
        <v>30</v>
      </c>
      <c r="J92" s="27" t="s">
        <v>29</v>
      </c>
      <c r="K92" s="12" t="s">
        <v>738</v>
      </c>
      <c r="L92" s="8" t="s">
        <v>26</v>
      </c>
    </row>
    <row r="93" ht="20" customHeight="1" spans="1:12" x14ac:dyDescent="0.25">
      <c r="A93" s="28" t="s">
        <v>884</v>
      </c>
      <c r="B93" s="28" t="s">
        <v>211</v>
      </c>
      <c r="C93" s="24">
        <f>IF(B93&lt;&gt;"",IFERROR(VLOOKUP(B93,'📦 Productos'!A:C,3,FALSE),IFERROR(VLOOKUP(B93&amp;"",'📦 Productos'!A:C,3,FALSE),IFERROR(VLOOKUP(VALUE(B93),'📦 Productos'!A:C,3,FALSE),""))),"")</f>
      </c>
      <c r="D93" s="28" t="s">
        <v>885</v>
      </c>
      <c r="E93" s="29" t="s">
        <v>26</v>
      </c>
      <c r="F93" s="30">
        <v>0</v>
      </c>
      <c r="G93" s="31">
        <v>10500</v>
      </c>
      <c r="H93" s="32">
        <v>7350</v>
      </c>
      <c r="I93" s="14">
        <v>30</v>
      </c>
      <c r="J93" s="33" t="s">
        <v>29</v>
      </c>
      <c r="K93" s="30" t="s">
        <v>738</v>
      </c>
      <c r="L93" s="29" t="s">
        <v>26</v>
      </c>
    </row>
    <row r="94" ht="20" customHeight="1" spans="1:12" x14ac:dyDescent="0.25">
      <c r="A94" s="7" t="s">
        <v>886</v>
      </c>
      <c r="B94" s="7" t="s">
        <v>211</v>
      </c>
      <c r="C94" s="24">
        <f>IF(B94&lt;&gt;"",IFERROR(VLOOKUP(B94,'📦 Productos'!A:C,3,FALSE),IFERROR(VLOOKUP(B94&amp;"",'📦 Productos'!A:C,3,FALSE),IFERROR(VLOOKUP(VALUE(B94),'📦 Productos'!A:C,3,FALSE),""))),"")</f>
      </c>
      <c r="D94" s="7" t="s">
        <v>887</v>
      </c>
      <c r="E94" s="8" t="s">
        <v>26</v>
      </c>
      <c r="F94" s="12">
        <v>0</v>
      </c>
      <c r="G94" s="25">
        <v>10500</v>
      </c>
      <c r="H94" s="26">
        <v>7350</v>
      </c>
      <c r="I94" s="14">
        <v>30</v>
      </c>
      <c r="J94" s="27" t="s">
        <v>29</v>
      </c>
      <c r="K94" s="12" t="s">
        <v>738</v>
      </c>
      <c r="L94" s="8" t="s">
        <v>26</v>
      </c>
    </row>
    <row r="95" ht="20" customHeight="1" spans="1:12" x14ac:dyDescent="0.25">
      <c r="A95" s="28" t="s">
        <v>888</v>
      </c>
      <c r="B95" s="28" t="s">
        <v>214</v>
      </c>
      <c r="C95" s="24">
        <f>IF(B95&lt;&gt;"",IFERROR(VLOOKUP(B95,'📦 Productos'!A:C,3,FALSE),IFERROR(VLOOKUP(B95&amp;"",'📦 Productos'!A:C,3,FALSE),IFERROR(VLOOKUP(VALUE(B95),'📦 Productos'!A:C,3,FALSE),""))),"")</f>
      </c>
      <c r="D95" s="28" t="s">
        <v>215</v>
      </c>
      <c r="E95" s="29" t="s">
        <v>26</v>
      </c>
      <c r="F95" s="30">
        <v>0</v>
      </c>
      <c r="G95" s="31">
        <v>5300</v>
      </c>
      <c r="H95" s="32">
        <v>2650</v>
      </c>
      <c r="I95" s="14">
        <v>50</v>
      </c>
      <c r="J95" s="33" t="s">
        <v>29</v>
      </c>
      <c r="K95" s="30" t="s">
        <v>738</v>
      </c>
      <c r="L95" s="29" t="s">
        <v>26</v>
      </c>
    </row>
    <row r="96" ht="20" customHeight="1" spans="1:12" x14ac:dyDescent="0.25">
      <c r="A96" s="7" t="s">
        <v>889</v>
      </c>
      <c r="B96" s="7" t="s">
        <v>214</v>
      </c>
      <c r="C96" s="24">
        <f>IF(B96&lt;&gt;"",IFERROR(VLOOKUP(B96,'📦 Productos'!A:C,3,FALSE),IFERROR(VLOOKUP(B96&amp;"",'📦 Productos'!A:C,3,FALSE),IFERROR(VLOOKUP(VALUE(B96),'📦 Productos'!A:C,3,FALSE),""))),"")</f>
      </c>
      <c r="D96" s="7" t="s">
        <v>890</v>
      </c>
      <c r="E96" s="8" t="s">
        <v>26</v>
      </c>
      <c r="F96" s="12">
        <v>0</v>
      </c>
      <c r="G96" s="25">
        <v>5300</v>
      </c>
      <c r="H96" s="26">
        <v>2650</v>
      </c>
      <c r="I96" s="14">
        <v>50</v>
      </c>
      <c r="J96" s="27" t="s">
        <v>29</v>
      </c>
      <c r="K96" s="12" t="s">
        <v>738</v>
      </c>
      <c r="L96" s="8" t="s">
        <v>26</v>
      </c>
    </row>
    <row r="97" ht="20" customHeight="1" spans="1:12" x14ac:dyDescent="0.25">
      <c r="A97" s="28" t="s">
        <v>891</v>
      </c>
      <c r="B97" s="28" t="s">
        <v>214</v>
      </c>
      <c r="C97" s="24">
        <f>IF(B97&lt;&gt;"",IFERROR(VLOOKUP(B97,'📦 Productos'!A:C,3,FALSE),IFERROR(VLOOKUP(B97&amp;"",'📦 Productos'!A:C,3,FALSE),IFERROR(VLOOKUP(VALUE(B97),'📦 Productos'!A:C,3,FALSE),""))),"")</f>
      </c>
      <c r="D97" s="28" t="s">
        <v>892</v>
      </c>
      <c r="E97" s="29" t="s">
        <v>26</v>
      </c>
      <c r="F97" s="30">
        <v>0</v>
      </c>
      <c r="G97" s="31">
        <v>5300</v>
      </c>
      <c r="H97" s="32">
        <v>2650</v>
      </c>
      <c r="I97" s="14">
        <v>50</v>
      </c>
      <c r="J97" s="33" t="s">
        <v>29</v>
      </c>
      <c r="K97" s="30" t="s">
        <v>738</v>
      </c>
      <c r="L97" s="29" t="s">
        <v>26</v>
      </c>
    </row>
    <row r="98" ht="20" customHeight="1" spans="1:12" x14ac:dyDescent="0.25">
      <c r="A98" s="7" t="s">
        <v>893</v>
      </c>
      <c r="B98" s="7" t="s">
        <v>214</v>
      </c>
      <c r="C98" s="24">
        <f>IF(B98&lt;&gt;"",IFERROR(VLOOKUP(B98,'📦 Productos'!A:C,3,FALSE),IFERROR(VLOOKUP(B98&amp;"",'📦 Productos'!A:C,3,FALSE),IFERROR(VLOOKUP(VALUE(B98),'📦 Productos'!A:C,3,FALSE),""))),"")</f>
      </c>
      <c r="D98" s="7" t="s">
        <v>894</v>
      </c>
      <c r="E98" s="8" t="s">
        <v>26</v>
      </c>
      <c r="F98" s="12">
        <v>0</v>
      </c>
      <c r="G98" s="25">
        <v>5300</v>
      </c>
      <c r="H98" s="26">
        <v>2650</v>
      </c>
      <c r="I98" s="14">
        <v>50</v>
      </c>
      <c r="J98" s="27" t="s">
        <v>29</v>
      </c>
      <c r="K98" s="12" t="s">
        <v>738</v>
      </c>
      <c r="L98" s="8" t="s">
        <v>26</v>
      </c>
    </row>
    <row r="99" ht="20" customHeight="1" spans="1:12" x14ac:dyDescent="0.25">
      <c r="A99" s="28" t="s">
        <v>895</v>
      </c>
      <c r="B99" s="28" t="s">
        <v>214</v>
      </c>
      <c r="C99" s="24">
        <f>IF(B99&lt;&gt;"",IFERROR(VLOOKUP(B99,'📦 Productos'!A:C,3,FALSE),IFERROR(VLOOKUP(B99&amp;"",'📦 Productos'!A:C,3,FALSE),IFERROR(VLOOKUP(VALUE(B99),'📦 Productos'!A:C,3,FALSE),""))),"")</f>
      </c>
      <c r="D99" s="28" t="s">
        <v>896</v>
      </c>
      <c r="E99" s="29" t="s">
        <v>26</v>
      </c>
      <c r="F99" s="30">
        <v>0</v>
      </c>
      <c r="G99" s="31">
        <v>5300</v>
      </c>
      <c r="H99" s="32">
        <v>3710</v>
      </c>
      <c r="I99" s="14">
        <v>30</v>
      </c>
      <c r="J99" s="33" t="s">
        <v>29</v>
      </c>
      <c r="K99" s="30" t="s">
        <v>738</v>
      </c>
      <c r="L99" s="29" t="s">
        <v>26</v>
      </c>
    </row>
    <row r="100" ht="20" customHeight="1" spans="1:12" x14ac:dyDescent="0.25">
      <c r="A100" s="7" t="s">
        <v>897</v>
      </c>
      <c r="B100" s="7" t="s">
        <v>214</v>
      </c>
      <c r="C100" s="24">
        <f>IF(B100&lt;&gt;"",IFERROR(VLOOKUP(B100,'📦 Productos'!A:C,3,FALSE),IFERROR(VLOOKUP(B100&amp;"",'📦 Productos'!A:C,3,FALSE),IFERROR(VLOOKUP(VALUE(B100),'📦 Productos'!A:C,3,FALSE),""))),"")</f>
      </c>
      <c r="D100" s="7" t="s">
        <v>898</v>
      </c>
      <c r="E100" s="8" t="s">
        <v>26</v>
      </c>
      <c r="F100" s="12">
        <v>0</v>
      </c>
      <c r="G100" s="25">
        <v>5300</v>
      </c>
      <c r="H100" s="26">
        <v>2650</v>
      </c>
      <c r="I100" s="14">
        <v>50</v>
      </c>
      <c r="J100" s="27" t="s">
        <v>29</v>
      </c>
      <c r="K100" s="12" t="s">
        <v>738</v>
      </c>
      <c r="L100" s="8" t="s">
        <v>26</v>
      </c>
    </row>
    <row r="101" ht="20" customHeight="1" spans="1:12" x14ac:dyDescent="0.25">
      <c r="A101" s="28" t="s">
        <v>899</v>
      </c>
      <c r="B101" s="28" t="s">
        <v>214</v>
      </c>
      <c r="C101" s="24">
        <f>IF(B101&lt;&gt;"",IFERROR(VLOOKUP(B101,'📦 Productos'!A:C,3,FALSE),IFERROR(VLOOKUP(B101&amp;"",'📦 Productos'!A:C,3,FALSE),IFERROR(VLOOKUP(VALUE(B101),'📦 Productos'!A:C,3,FALSE),""))),"")</f>
      </c>
      <c r="D101" s="28" t="s">
        <v>900</v>
      </c>
      <c r="E101" s="29" t="s">
        <v>26</v>
      </c>
      <c r="F101" s="30">
        <v>0</v>
      </c>
      <c r="G101" s="31">
        <v>5300</v>
      </c>
      <c r="H101" s="32">
        <v>2650</v>
      </c>
      <c r="I101" s="14">
        <v>50</v>
      </c>
      <c r="J101" s="33" t="s">
        <v>29</v>
      </c>
      <c r="K101" s="30" t="s">
        <v>738</v>
      </c>
      <c r="L101" s="29" t="s">
        <v>26</v>
      </c>
    </row>
    <row r="102" ht="20" customHeight="1" spans="1:12" x14ac:dyDescent="0.25">
      <c r="A102" s="7" t="s">
        <v>901</v>
      </c>
      <c r="B102" s="7" t="s">
        <v>214</v>
      </c>
      <c r="C102" s="24">
        <f>IF(B102&lt;&gt;"",IFERROR(VLOOKUP(B102,'📦 Productos'!A:C,3,FALSE),IFERROR(VLOOKUP(B102&amp;"",'📦 Productos'!A:C,3,FALSE),IFERROR(VLOOKUP(VALUE(B102),'📦 Productos'!A:C,3,FALSE),""))),"")</f>
      </c>
      <c r="D102" s="7" t="s">
        <v>902</v>
      </c>
      <c r="E102" s="8" t="s">
        <v>26</v>
      </c>
      <c r="F102" s="12">
        <v>0</v>
      </c>
      <c r="G102" s="25">
        <v>5300</v>
      </c>
      <c r="H102" s="26">
        <v>3710</v>
      </c>
      <c r="I102" s="14">
        <v>30</v>
      </c>
      <c r="J102" s="27" t="s">
        <v>29</v>
      </c>
      <c r="K102" s="12" t="s">
        <v>738</v>
      </c>
      <c r="L102" s="8" t="s">
        <v>26</v>
      </c>
    </row>
    <row r="103" ht="20" customHeight="1" spans="1:12" x14ac:dyDescent="0.25">
      <c r="A103" s="28" t="s">
        <v>903</v>
      </c>
      <c r="B103" s="28" t="s">
        <v>214</v>
      </c>
      <c r="C103" s="24">
        <f>IF(B103&lt;&gt;"",IFERROR(VLOOKUP(B103,'📦 Productos'!A:C,3,FALSE),IFERROR(VLOOKUP(B103&amp;"",'📦 Productos'!A:C,3,FALSE),IFERROR(VLOOKUP(VALUE(B103),'📦 Productos'!A:C,3,FALSE),""))),"")</f>
      </c>
      <c r="D103" s="28" t="s">
        <v>904</v>
      </c>
      <c r="E103" s="29" t="s">
        <v>26</v>
      </c>
      <c r="F103" s="30">
        <v>0</v>
      </c>
      <c r="G103" s="31">
        <v>5300</v>
      </c>
      <c r="H103" s="32">
        <v>2650</v>
      </c>
      <c r="I103" s="14">
        <v>50</v>
      </c>
      <c r="J103" s="33" t="s">
        <v>29</v>
      </c>
      <c r="K103" s="30" t="s">
        <v>738</v>
      </c>
      <c r="L103" s="29" t="s">
        <v>26</v>
      </c>
    </row>
    <row r="104" ht="20" customHeight="1" spans="1:12" x14ac:dyDescent="0.25">
      <c r="A104" s="7" t="s">
        <v>905</v>
      </c>
      <c r="B104" s="7" t="s">
        <v>214</v>
      </c>
      <c r="C104" s="24">
        <f>IF(B104&lt;&gt;"",IFERROR(VLOOKUP(B104,'📦 Productos'!A:C,3,FALSE),IFERROR(VLOOKUP(B104&amp;"",'📦 Productos'!A:C,3,FALSE),IFERROR(VLOOKUP(VALUE(B104),'📦 Productos'!A:C,3,FALSE),""))),"")</f>
      </c>
      <c r="D104" s="7" t="s">
        <v>906</v>
      </c>
      <c r="E104" s="8" t="s">
        <v>26</v>
      </c>
      <c r="F104" s="12">
        <v>0</v>
      </c>
      <c r="G104" s="25">
        <v>5300</v>
      </c>
      <c r="H104" s="26">
        <v>2650</v>
      </c>
      <c r="I104" s="14">
        <v>50</v>
      </c>
      <c r="J104" s="27" t="s">
        <v>29</v>
      </c>
      <c r="K104" s="12" t="s">
        <v>738</v>
      </c>
      <c r="L104" s="8" t="s">
        <v>26</v>
      </c>
    </row>
    <row r="105" ht="20" customHeight="1" spans="1:12" x14ac:dyDescent="0.25">
      <c r="A105" s="28" t="s">
        <v>907</v>
      </c>
      <c r="B105" s="28" t="s">
        <v>214</v>
      </c>
      <c r="C105" s="24">
        <f>IF(B105&lt;&gt;"",IFERROR(VLOOKUP(B105,'📦 Productos'!A:C,3,FALSE),IFERROR(VLOOKUP(B105&amp;"",'📦 Productos'!A:C,3,FALSE),IFERROR(VLOOKUP(VALUE(B105),'📦 Productos'!A:C,3,FALSE),""))),"")</f>
      </c>
      <c r="D105" s="28" t="s">
        <v>908</v>
      </c>
      <c r="E105" s="29" t="s">
        <v>26</v>
      </c>
      <c r="F105" s="30">
        <v>0</v>
      </c>
      <c r="G105" s="31">
        <v>5300</v>
      </c>
      <c r="H105" s="32">
        <v>3710</v>
      </c>
      <c r="I105" s="14">
        <v>30</v>
      </c>
      <c r="J105" s="33" t="s">
        <v>29</v>
      </c>
      <c r="K105" s="30" t="s">
        <v>738</v>
      </c>
      <c r="L105" s="29" t="s">
        <v>26</v>
      </c>
    </row>
    <row r="106" ht="20" customHeight="1" spans="1:12" x14ac:dyDescent="0.25">
      <c r="A106" s="7" t="s">
        <v>909</v>
      </c>
      <c r="B106" s="7" t="s">
        <v>214</v>
      </c>
      <c r="C106" s="24">
        <f>IF(B106&lt;&gt;"",IFERROR(VLOOKUP(B106,'📦 Productos'!A:C,3,FALSE),IFERROR(VLOOKUP(B106&amp;"",'📦 Productos'!A:C,3,FALSE),IFERROR(VLOOKUP(VALUE(B106),'📦 Productos'!A:C,3,FALSE),""))),"")</f>
      </c>
      <c r="D106" s="7" t="s">
        <v>910</v>
      </c>
      <c r="E106" s="8" t="s">
        <v>26</v>
      </c>
      <c r="F106" s="12">
        <v>0</v>
      </c>
      <c r="G106" s="25">
        <v>5300</v>
      </c>
      <c r="H106" s="26">
        <v>2650</v>
      </c>
      <c r="I106" s="14">
        <v>50</v>
      </c>
      <c r="J106" s="27" t="s">
        <v>29</v>
      </c>
      <c r="K106" s="12" t="s">
        <v>738</v>
      </c>
      <c r="L106" s="8" t="s">
        <v>26</v>
      </c>
    </row>
    <row r="107" ht="20" customHeight="1" spans="1:12" x14ac:dyDescent="0.25">
      <c r="A107" s="28" t="s">
        <v>911</v>
      </c>
      <c r="B107" s="28" t="s">
        <v>214</v>
      </c>
      <c r="C107" s="24">
        <f>IF(B107&lt;&gt;"",IFERROR(VLOOKUP(B107,'📦 Productos'!A:C,3,FALSE),IFERROR(VLOOKUP(B107&amp;"",'📦 Productos'!A:C,3,FALSE),IFERROR(VLOOKUP(VALUE(B107),'📦 Productos'!A:C,3,FALSE),""))),"")</f>
      </c>
      <c r="D107" s="28" t="s">
        <v>912</v>
      </c>
      <c r="E107" s="29" t="s">
        <v>26</v>
      </c>
      <c r="F107" s="30">
        <v>0</v>
      </c>
      <c r="G107" s="31">
        <v>5300</v>
      </c>
      <c r="H107" s="32">
        <v>2650</v>
      </c>
      <c r="I107" s="14">
        <v>50</v>
      </c>
      <c r="J107" s="33" t="s">
        <v>29</v>
      </c>
      <c r="K107" s="30" t="s">
        <v>738</v>
      </c>
      <c r="L107" s="29" t="s">
        <v>26</v>
      </c>
    </row>
    <row r="108" ht="20" customHeight="1" spans="1:12" x14ac:dyDescent="0.25">
      <c r="A108" s="7" t="s">
        <v>913</v>
      </c>
      <c r="B108" s="7" t="s">
        <v>214</v>
      </c>
      <c r="C108" s="24">
        <f>IF(B108&lt;&gt;"",IFERROR(VLOOKUP(B108,'📦 Productos'!A:C,3,FALSE),IFERROR(VLOOKUP(B108&amp;"",'📦 Productos'!A:C,3,FALSE),IFERROR(VLOOKUP(VALUE(B108),'📦 Productos'!A:C,3,FALSE),""))),"")</f>
      </c>
      <c r="D108" s="7" t="s">
        <v>914</v>
      </c>
      <c r="E108" s="8" t="s">
        <v>26</v>
      </c>
      <c r="F108" s="12">
        <v>0</v>
      </c>
      <c r="G108" s="25">
        <v>5300</v>
      </c>
      <c r="H108" s="26">
        <v>2650</v>
      </c>
      <c r="I108" s="14">
        <v>50</v>
      </c>
      <c r="J108" s="27" t="s">
        <v>29</v>
      </c>
      <c r="K108" s="12" t="s">
        <v>738</v>
      </c>
      <c r="L108" s="8" t="s">
        <v>26</v>
      </c>
    </row>
    <row r="109" ht="20" customHeight="1" spans="1:12" x14ac:dyDescent="0.25">
      <c r="A109" s="28" t="s">
        <v>915</v>
      </c>
      <c r="B109" s="28" t="s">
        <v>214</v>
      </c>
      <c r="C109" s="24">
        <f>IF(B109&lt;&gt;"",IFERROR(VLOOKUP(B109,'📦 Productos'!A:C,3,FALSE),IFERROR(VLOOKUP(B109&amp;"",'📦 Productos'!A:C,3,FALSE),IFERROR(VLOOKUP(VALUE(B109),'📦 Productos'!A:C,3,FALSE),""))),"")</f>
      </c>
      <c r="D109" s="28" t="s">
        <v>916</v>
      </c>
      <c r="E109" s="29" t="s">
        <v>26</v>
      </c>
      <c r="F109" s="30">
        <v>0</v>
      </c>
      <c r="G109" s="31">
        <v>5300</v>
      </c>
      <c r="H109" s="32">
        <v>3710</v>
      </c>
      <c r="I109" s="14">
        <v>30</v>
      </c>
      <c r="J109" s="33" t="s">
        <v>29</v>
      </c>
      <c r="K109" s="30" t="s">
        <v>738</v>
      </c>
      <c r="L109" s="29" t="s">
        <v>26</v>
      </c>
    </row>
    <row r="110" ht="20" customHeight="1" spans="1:12" x14ac:dyDescent="0.25">
      <c r="A110" s="7" t="s">
        <v>917</v>
      </c>
      <c r="B110" s="7" t="s">
        <v>214</v>
      </c>
      <c r="C110" s="24">
        <f>IF(B110&lt;&gt;"",IFERROR(VLOOKUP(B110,'📦 Productos'!A:C,3,FALSE),IFERROR(VLOOKUP(B110&amp;"",'📦 Productos'!A:C,3,FALSE),IFERROR(VLOOKUP(VALUE(B110),'📦 Productos'!A:C,3,FALSE),""))),"")</f>
      </c>
      <c r="D110" s="7" t="s">
        <v>918</v>
      </c>
      <c r="E110" s="8" t="s">
        <v>26</v>
      </c>
      <c r="F110" s="12">
        <v>0</v>
      </c>
      <c r="G110" s="25">
        <v>5300</v>
      </c>
      <c r="H110" s="26">
        <v>3710</v>
      </c>
      <c r="I110" s="14">
        <v>30</v>
      </c>
      <c r="J110" s="27" t="s">
        <v>29</v>
      </c>
      <c r="K110" s="12" t="s">
        <v>738</v>
      </c>
      <c r="L110" s="8" t="s">
        <v>26</v>
      </c>
    </row>
    <row r="111" ht="20" customHeight="1" spans="1:12" x14ac:dyDescent="0.25">
      <c r="A111" s="28" t="s">
        <v>919</v>
      </c>
      <c r="B111" s="28" t="s">
        <v>214</v>
      </c>
      <c r="C111" s="24">
        <f>IF(B111&lt;&gt;"",IFERROR(VLOOKUP(B111,'📦 Productos'!A:C,3,FALSE),IFERROR(VLOOKUP(B111&amp;"",'📦 Productos'!A:C,3,FALSE),IFERROR(VLOOKUP(VALUE(B111),'📦 Productos'!A:C,3,FALSE),""))),"")</f>
      </c>
      <c r="D111" s="28" t="s">
        <v>920</v>
      </c>
      <c r="E111" s="29" t="s">
        <v>26</v>
      </c>
      <c r="F111" s="30">
        <v>0</v>
      </c>
      <c r="G111" s="31">
        <v>5500</v>
      </c>
      <c r="H111" s="32">
        <v>2750</v>
      </c>
      <c r="I111" s="14">
        <v>50</v>
      </c>
      <c r="J111" s="33" t="s">
        <v>29</v>
      </c>
      <c r="K111" s="30" t="s">
        <v>738</v>
      </c>
      <c r="L111" s="29" t="s">
        <v>26</v>
      </c>
    </row>
    <row r="112" ht="20" customHeight="1" spans="1:12" x14ac:dyDescent="0.25">
      <c r="A112" s="7" t="s">
        <v>921</v>
      </c>
      <c r="B112" s="7" t="s">
        <v>214</v>
      </c>
      <c r="C112" s="24">
        <f>IF(B112&lt;&gt;"",IFERROR(VLOOKUP(B112,'📦 Productos'!A:C,3,FALSE),IFERROR(VLOOKUP(B112&amp;"",'📦 Productos'!A:C,3,FALSE),IFERROR(VLOOKUP(VALUE(B112),'📦 Productos'!A:C,3,FALSE),""))),"")</f>
      </c>
      <c r="D112" s="7" t="s">
        <v>922</v>
      </c>
      <c r="E112" s="8" t="s">
        <v>26</v>
      </c>
      <c r="F112" s="12">
        <v>0</v>
      </c>
      <c r="G112" s="25">
        <v>5300</v>
      </c>
      <c r="H112" s="26">
        <v>3710</v>
      </c>
      <c r="I112" s="14">
        <v>30</v>
      </c>
      <c r="J112" s="27" t="s">
        <v>29</v>
      </c>
      <c r="K112" s="12" t="s">
        <v>738</v>
      </c>
      <c r="L112" s="8" t="s">
        <v>26</v>
      </c>
    </row>
    <row r="113" ht="20" customHeight="1" spans="1:12" x14ac:dyDescent="0.25">
      <c r="A113" s="28" t="s">
        <v>923</v>
      </c>
      <c r="B113" s="28" t="s">
        <v>214</v>
      </c>
      <c r="C113" s="24">
        <f>IF(B113&lt;&gt;"",IFERROR(VLOOKUP(B113,'📦 Productos'!A:C,3,FALSE),IFERROR(VLOOKUP(B113&amp;"",'📦 Productos'!A:C,3,FALSE),IFERROR(VLOOKUP(VALUE(B113),'📦 Productos'!A:C,3,FALSE),""))),"")</f>
      </c>
      <c r="D113" s="28" t="s">
        <v>924</v>
      </c>
      <c r="E113" s="29" t="s">
        <v>26</v>
      </c>
      <c r="F113" s="30">
        <v>0</v>
      </c>
      <c r="G113" s="31">
        <v>5500</v>
      </c>
      <c r="H113" s="32">
        <v>2750</v>
      </c>
      <c r="I113" s="14">
        <v>50</v>
      </c>
      <c r="J113" s="33" t="s">
        <v>29</v>
      </c>
      <c r="K113" s="30" t="s">
        <v>738</v>
      </c>
      <c r="L113" s="29" t="s">
        <v>26</v>
      </c>
    </row>
    <row r="114" ht="20" customHeight="1" spans="1:12" x14ac:dyDescent="0.25">
      <c r="A114" s="7" t="s">
        <v>925</v>
      </c>
      <c r="B114" s="7" t="s">
        <v>214</v>
      </c>
      <c r="C114" s="24">
        <f>IF(B114&lt;&gt;"",IFERROR(VLOOKUP(B114,'📦 Productos'!A:C,3,FALSE),IFERROR(VLOOKUP(B114&amp;"",'📦 Productos'!A:C,3,FALSE),IFERROR(VLOOKUP(VALUE(B114),'📦 Productos'!A:C,3,FALSE),""))),"")</f>
      </c>
      <c r="D114" s="7" t="s">
        <v>926</v>
      </c>
      <c r="E114" s="8" t="s">
        <v>26</v>
      </c>
      <c r="F114" s="12">
        <v>0</v>
      </c>
      <c r="G114" s="25">
        <v>5300</v>
      </c>
      <c r="H114" s="26">
        <v>2650</v>
      </c>
      <c r="I114" s="14">
        <v>50</v>
      </c>
      <c r="J114" s="27" t="s">
        <v>29</v>
      </c>
      <c r="K114" s="12" t="s">
        <v>738</v>
      </c>
      <c r="L114" s="8" t="s">
        <v>26</v>
      </c>
    </row>
    <row r="115" ht="20" customHeight="1" spans="1:12" x14ac:dyDescent="0.25">
      <c r="A115" s="28" t="s">
        <v>927</v>
      </c>
      <c r="B115" s="28" t="s">
        <v>214</v>
      </c>
      <c r="C115" s="24">
        <f>IF(B115&lt;&gt;"",IFERROR(VLOOKUP(B115,'📦 Productos'!A:C,3,FALSE),IFERROR(VLOOKUP(B115&amp;"",'📦 Productos'!A:C,3,FALSE),IFERROR(VLOOKUP(VALUE(B115),'📦 Productos'!A:C,3,FALSE),""))),"")</f>
      </c>
      <c r="D115" s="28" t="s">
        <v>928</v>
      </c>
      <c r="E115" s="29" t="s">
        <v>26</v>
      </c>
      <c r="F115" s="30">
        <v>0</v>
      </c>
      <c r="G115" s="31">
        <v>5300</v>
      </c>
      <c r="H115" s="32">
        <v>2650</v>
      </c>
      <c r="I115" s="14">
        <v>50</v>
      </c>
      <c r="J115" s="33" t="s">
        <v>29</v>
      </c>
      <c r="K115" s="30" t="s">
        <v>738</v>
      </c>
      <c r="L115" s="29" t="s">
        <v>26</v>
      </c>
    </row>
    <row r="116" ht="20" customHeight="1" spans="1:12" x14ac:dyDescent="0.25">
      <c r="A116" s="7" t="s">
        <v>929</v>
      </c>
      <c r="B116" s="7" t="s">
        <v>214</v>
      </c>
      <c r="C116" s="24">
        <f>IF(B116&lt;&gt;"",IFERROR(VLOOKUP(B116,'📦 Productos'!A:C,3,FALSE),IFERROR(VLOOKUP(B116&amp;"",'📦 Productos'!A:C,3,FALSE),IFERROR(VLOOKUP(VALUE(B116),'📦 Productos'!A:C,3,FALSE),""))),"")</f>
      </c>
      <c r="D116" s="7" t="s">
        <v>930</v>
      </c>
      <c r="E116" s="8" t="s">
        <v>26</v>
      </c>
      <c r="F116" s="12">
        <v>0</v>
      </c>
      <c r="G116" s="25">
        <v>5300</v>
      </c>
      <c r="H116" s="26">
        <v>3710</v>
      </c>
      <c r="I116" s="14">
        <v>30</v>
      </c>
      <c r="J116" s="27" t="s">
        <v>29</v>
      </c>
      <c r="K116" s="12" t="s">
        <v>738</v>
      </c>
      <c r="L116" s="8" t="s">
        <v>26</v>
      </c>
    </row>
    <row r="117" ht="20" customHeight="1" spans="1:12" x14ac:dyDescent="0.25">
      <c r="A117" s="28" t="s">
        <v>931</v>
      </c>
      <c r="B117" s="28" t="s">
        <v>214</v>
      </c>
      <c r="C117" s="24">
        <f>IF(B117&lt;&gt;"",IFERROR(VLOOKUP(B117,'📦 Productos'!A:C,3,FALSE),IFERROR(VLOOKUP(B117&amp;"",'📦 Productos'!A:C,3,FALSE),IFERROR(VLOOKUP(VALUE(B117),'📦 Productos'!A:C,3,FALSE),""))),"")</f>
      </c>
      <c r="D117" s="28" t="s">
        <v>932</v>
      </c>
      <c r="E117" s="29" t="s">
        <v>26</v>
      </c>
      <c r="F117" s="30">
        <v>0</v>
      </c>
      <c r="G117" s="31">
        <v>5300</v>
      </c>
      <c r="H117" s="32">
        <v>2650</v>
      </c>
      <c r="I117" s="14">
        <v>50</v>
      </c>
      <c r="J117" s="33" t="s">
        <v>29</v>
      </c>
      <c r="K117" s="30" t="s">
        <v>738</v>
      </c>
      <c r="L117" s="29" t="s">
        <v>26</v>
      </c>
    </row>
    <row r="118" ht="20" customHeight="1" spans="1:12" x14ac:dyDescent="0.25">
      <c r="A118" s="7" t="s">
        <v>933</v>
      </c>
      <c r="B118" s="7" t="s">
        <v>214</v>
      </c>
      <c r="C118" s="24">
        <f>IF(B118&lt;&gt;"",IFERROR(VLOOKUP(B118,'📦 Productos'!A:C,3,FALSE),IFERROR(VLOOKUP(B118&amp;"",'📦 Productos'!A:C,3,FALSE),IFERROR(VLOOKUP(VALUE(B118),'📦 Productos'!A:C,3,FALSE),""))),"")</f>
      </c>
      <c r="D118" s="7" t="s">
        <v>934</v>
      </c>
      <c r="E118" s="8" t="s">
        <v>26</v>
      </c>
      <c r="F118" s="12">
        <v>0</v>
      </c>
      <c r="G118" s="25">
        <v>5300</v>
      </c>
      <c r="H118" s="26">
        <v>2650</v>
      </c>
      <c r="I118" s="14">
        <v>50</v>
      </c>
      <c r="J118" s="27" t="s">
        <v>29</v>
      </c>
      <c r="K118" s="12" t="s">
        <v>738</v>
      </c>
      <c r="L118" s="8" t="s">
        <v>26</v>
      </c>
    </row>
    <row r="119" ht="20" customHeight="1" spans="1:12" x14ac:dyDescent="0.25">
      <c r="A119" s="28" t="s">
        <v>935</v>
      </c>
      <c r="B119" s="28" t="s">
        <v>214</v>
      </c>
      <c r="C119" s="24">
        <f>IF(B119&lt;&gt;"",IFERROR(VLOOKUP(B119,'📦 Productos'!A:C,3,FALSE),IFERROR(VLOOKUP(B119&amp;"",'📦 Productos'!A:C,3,FALSE),IFERROR(VLOOKUP(VALUE(B119),'📦 Productos'!A:C,3,FALSE),""))),"")</f>
      </c>
      <c r="D119" s="28" t="s">
        <v>936</v>
      </c>
      <c r="E119" s="29" t="s">
        <v>26</v>
      </c>
      <c r="F119" s="30">
        <v>0</v>
      </c>
      <c r="G119" s="31">
        <v>5300</v>
      </c>
      <c r="H119" s="32">
        <v>2650</v>
      </c>
      <c r="I119" s="14">
        <v>50</v>
      </c>
      <c r="J119" s="33" t="s">
        <v>29</v>
      </c>
      <c r="K119" s="30" t="s">
        <v>738</v>
      </c>
      <c r="L119" s="29" t="s">
        <v>26</v>
      </c>
    </row>
    <row r="120" ht="20" customHeight="1" spans="1:12" x14ac:dyDescent="0.25">
      <c r="A120" s="7" t="s">
        <v>937</v>
      </c>
      <c r="B120" s="7" t="s">
        <v>214</v>
      </c>
      <c r="C120" s="24">
        <f>IF(B120&lt;&gt;"",IFERROR(VLOOKUP(B120,'📦 Productos'!A:C,3,FALSE),IFERROR(VLOOKUP(B120&amp;"",'📦 Productos'!A:C,3,FALSE),IFERROR(VLOOKUP(VALUE(B120),'📦 Productos'!A:C,3,FALSE),""))),"")</f>
      </c>
      <c r="D120" s="7" t="s">
        <v>938</v>
      </c>
      <c r="E120" s="8" t="s">
        <v>26</v>
      </c>
      <c r="F120" s="12">
        <v>0</v>
      </c>
      <c r="G120" s="25">
        <v>5300</v>
      </c>
      <c r="H120" s="26">
        <v>2650</v>
      </c>
      <c r="I120" s="14">
        <v>50</v>
      </c>
      <c r="J120" s="27" t="s">
        <v>29</v>
      </c>
      <c r="K120" s="12" t="s">
        <v>738</v>
      </c>
      <c r="L120" s="8" t="s">
        <v>26</v>
      </c>
    </row>
    <row r="121" ht="20" customHeight="1" spans="1:12" x14ac:dyDescent="0.25">
      <c r="A121" s="28" t="s">
        <v>939</v>
      </c>
      <c r="B121" s="28" t="s">
        <v>214</v>
      </c>
      <c r="C121" s="24">
        <f>IF(B121&lt;&gt;"",IFERROR(VLOOKUP(B121,'📦 Productos'!A:C,3,FALSE),IFERROR(VLOOKUP(B121&amp;"",'📦 Productos'!A:C,3,FALSE),IFERROR(VLOOKUP(VALUE(B121),'📦 Productos'!A:C,3,FALSE),""))),"")</f>
      </c>
      <c r="D121" s="28" t="s">
        <v>940</v>
      </c>
      <c r="E121" s="29" t="s">
        <v>26</v>
      </c>
      <c r="F121" s="30">
        <v>0</v>
      </c>
      <c r="G121" s="31">
        <v>5300</v>
      </c>
      <c r="H121" s="32">
        <v>3710</v>
      </c>
      <c r="I121" s="14">
        <v>30</v>
      </c>
      <c r="J121" s="33" t="s">
        <v>29</v>
      </c>
      <c r="K121" s="30" t="s">
        <v>738</v>
      </c>
      <c r="L121" s="29" t="s">
        <v>26</v>
      </c>
    </row>
    <row r="122" ht="20" customHeight="1" spans="1:12" x14ac:dyDescent="0.25">
      <c r="A122" s="7" t="s">
        <v>941</v>
      </c>
      <c r="B122" s="7" t="s">
        <v>214</v>
      </c>
      <c r="C122" s="24">
        <f>IF(B122&lt;&gt;"",IFERROR(VLOOKUP(B122,'📦 Productos'!A:C,3,FALSE),IFERROR(VLOOKUP(B122&amp;"",'📦 Productos'!A:C,3,FALSE),IFERROR(VLOOKUP(VALUE(B122),'📦 Productos'!A:C,3,FALSE),""))),"")</f>
      </c>
      <c r="D122" s="7" t="s">
        <v>942</v>
      </c>
      <c r="E122" s="8" t="s">
        <v>26</v>
      </c>
      <c r="F122" s="12">
        <v>0</v>
      </c>
      <c r="G122" s="25">
        <v>5300</v>
      </c>
      <c r="H122" s="26">
        <v>2650</v>
      </c>
      <c r="I122" s="14">
        <v>50</v>
      </c>
      <c r="J122" s="27" t="s">
        <v>29</v>
      </c>
      <c r="K122" s="12" t="s">
        <v>738</v>
      </c>
      <c r="L122" s="8" t="s">
        <v>26</v>
      </c>
    </row>
    <row r="123" ht="20" customHeight="1" spans="1:12" x14ac:dyDescent="0.25">
      <c r="A123" s="28" t="s">
        <v>943</v>
      </c>
      <c r="B123" s="28" t="s">
        <v>214</v>
      </c>
      <c r="C123" s="24">
        <f>IF(B123&lt;&gt;"",IFERROR(VLOOKUP(B123,'📦 Productos'!A:C,3,FALSE),IFERROR(VLOOKUP(B123&amp;"",'📦 Productos'!A:C,3,FALSE),IFERROR(VLOOKUP(VALUE(B123),'📦 Productos'!A:C,3,FALSE),""))),"")</f>
      </c>
      <c r="D123" s="28" t="s">
        <v>944</v>
      </c>
      <c r="E123" s="29" t="s">
        <v>26</v>
      </c>
      <c r="F123" s="30">
        <v>0</v>
      </c>
      <c r="G123" s="31">
        <v>5300</v>
      </c>
      <c r="H123" s="32">
        <v>2650</v>
      </c>
      <c r="I123" s="14">
        <v>50</v>
      </c>
      <c r="J123" s="33" t="s">
        <v>29</v>
      </c>
      <c r="K123" s="30" t="s">
        <v>738</v>
      </c>
      <c r="L123" s="29" t="s">
        <v>26</v>
      </c>
    </row>
    <row r="124" ht="20" customHeight="1" spans="1:12" x14ac:dyDescent="0.25">
      <c r="A124" s="7" t="s">
        <v>945</v>
      </c>
      <c r="B124" s="7" t="s">
        <v>214</v>
      </c>
      <c r="C124" s="24">
        <f>IF(B124&lt;&gt;"",IFERROR(VLOOKUP(B124,'📦 Productos'!A:C,3,FALSE),IFERROR(VLOOKUP(B124&amp;"",'📦 Productos'!A:C,3,FALSE),IFERROR(VLOOKUP(VALUE(B124),'📦 Productos'!A:C,3,FALSE),""))),"")</f>
      </c>
      <c r="D124" s="7" t="s">
        <v>946</v>
      </c>
      <c r="E124" s="8" t="s">
        <v>26</v>
      </c>
      <c r="F124" s="12">
        <v>0</v>
      </c>
      <c r="G124" s="25">
        <v>5300</v>
      </c>
      <c r="H124" s="26">
        <v>3710</v>
      </c>
      <c r="I124" s="14">
        <v>30</v>
      </c>
      <c r="J124" s="27" t="s">
        <v>29</v>
      </c>
      <c r="K124" s="12" t="s">
        <v>738</v>
      </c>
      <c r="L124" s="8" t="s">
        <v>26</v>
      </c>
    </row>
    <row r="125" ht="20" customHeight="1" spans="1:12" x14ac:dyDescent="0.25">
      <c r="A125" s="28" t="s">
        <v>947</v>
      </c>
      <c r="B125" s="28" t="s">
        <v>214</v>
      </c>
      <c r="C125" s="24">
        <f>IF(B125&lt;&gt;"",IFERROR(VLOOKUP(B125,'📦 Productos'!A:C,3,FALSE),IFERROR(VLOOKUP(B125&amp;"",'📦 Productos'!A:C,3,FALSE),IFERROR(VLOOKUP(VALUE(B125),'📦 Productos'!A:C,3,FALSE),""))),"")</f>
      </c>
      <c r="D125" s="28" t="s">
        <v>948</v>
      </c>
      <c r="E125" s="29" t="s">
        <v>26</v>
      </c>
      <c r="F125" s="30">
        <v>0</v>
      </c>
      <c r="G125" s="31">
        <v>5300</v>
      </c>
      <c r="H125" s="32">
        <v>2650</v>
      </c>
      <c r="I125" s="14">
        <v>50</v>
      </c>
      <c r="J125" s="33" t="s">
        <v>29</v>
      </c>
      <c r="K125" s="30" t="s">
        <v>738</v>
      </c>
      <c r="L125" s="29" t="s">
        <v>26</v>
      </c>
    </row>
    <row r="126" ht="20" customHeight="1" spans="1:12" x14ac:dyDescent="0.25">
      <c r="A126" s="7" t="s">
        <v>949</v>
      </c>
      <c r="B126" s="7" t="s">
        <v>214</v>
      </c>
      <c r="C126" s="24">
        <f>IF(B126&lt;&gt;"",IFERROR(VLOOKUP(B126,'📦 Productos'!A:C,3,FALSE),IFERROR(VLOOKUP(B126&amp;"",'📦 Productos'!A:C,3,FALSE),IFERROR(VLOOKUP(VALUE(B126),'📦 Productos'!A:C,3,FALSE),""))),"")</f>
      </c>
      <c r="D126" s="7" t="s">
        <v>950</v>
      </c>
      <c r="E126" s="8" t="s">
        <v>26</v>
      </c>
      <c r="F126" s="12">
        <v>0</v>
      </c>
      <c r="G126" s="25">
        <v>5300</v>
      </c>
      <c r="H126" s="26">
        <v>2650</v>
      </c>
      <c r="I126" s="14">
        <v>50</v>
      </c>
      <c r="J126" s="27" t="s">
        <v>29</v>
      </c>
      <c r="K126" s="12" t="s">
        <v>738</v>
      </c>
      <c r="L126" s="8" t="s">
        <v>26</v>
      </c>
    </row>
    <row r="127" ht="20" customHeight="1" spans="1:12" x14ac:dyDescent="0.25">
      <c r="A127" s="28" t="s">
        <v>951</v>
      </c>
      <c r="B127" s="28" t="s">
        <v>214</v>
      </c>
      <c r="C127" s="24">
        <f>IF(B127&lt;&gt;"",IFERROR(VLOOKUP(B127,'📦 Productos'!A:C,3,FALSE),IFERROR(VLOOKUP(B127&amp;"",'📦 Productos'!A:C,3,FALSE),IFERROR(VLOOKUP(VALUE(B127),'📦 Productos'!A:C,3,FALSE),""))),"")</f>
      </c>
      <c r="D127" s="28" t="s">
        <v>952</v>
      </c>
      <c r="E127" s="29" t="s">
        <v>26</v>
      </c>
      <c r="F127" s="30">
        <v>0</v>
      </c>
      <c r="G127" s="31">
        <v>5300</v>
      </c>
      <c r="H127" s="32">
        <v>2650</v>
      </c>
      <c r="I127" s="14">
        <v>50</v>
      </c>
      <c r="J127" s="33" t="s">
        <v>29</v>
      </c>
      <c r="K127" s="30" t="s">
        <v>738</v>
      </c>
      <c r="L127" s="29" t="s">
        <v>26</v>
      </c>
    </row>
    <row r="128" ht="20" customHeight="1" spans="1:12" x14ac:dyDescent="0.25">
      <c r="A128" s="7" t="s">
        <v>953</v>
      </c>
      <c r="B128" s="7" t="s">
        <v>214</v>
      </c>
      <c r="C128" s="24">
        <f>IF(B128&lt;&gt;"",IFERROR(VLOOKUP(B128,'📦 Productos'!A:C,3,FALSE),IFERROR(VLOOKUP(B128&amp;"",'📦 Productos'!A:C,3,FALSE),IFERROR(VLOOKUP(VALUE(B128),'📦 Productos'!A:C,3,FALSE),""))),"")</f>
      </c>
      <c r="D128" s="7" t="s">
        <v>954</v>
      </c>
      <c r="E128" s="8" t="s">
        <v>26</v>
      </c>
      <c r="F128" s="12">
        <v>0</v>
      </c>
      <c r="G128" s="25">
        <v>5300</v>
      </c>
      <c r="H128" s="26">
        <v>3710</v>
      </c>
      <c r="I128" s="14">
        <v>30</v>
      </c>
      <c r="J128" s="27" t="s">
        <v>29</v>
      </c>
      <c r="K128" s="12" t="s">
        <v>738</v>
      </c>
      <c r="L128" s="8" t="s">
        <v>26</v>
      </c>
    </row>
    <row r="129" ht="20" customHeight="1" spans="1:12" x14ac:dyDescent="0.25">
      <c r="A129" s="28" t="s">
        <v>955</v>
      </c>
      <c r="B129" s="28" t="s">
        <v>214</v>
      </c>
      <c r="C129" s="24">
        <f>IF(B129&lt;&gt;"",IFERROR(VLOOKUP(B129,'📦 Productos'!A:C,3,FALSE),IFERROR(VLOOKUP(B129&amp;"",'📦 Productos'!A:C,3,FALSE),IFERROR(VLOOKUP(VALUE(B129),'📦 Productos'!A:C,3,FALSE),""))),"")</f>
      </c>
      <c r="D129" s="28" t="s">
        <v>956</v>
      </c>
      <c r="E129" s="29" t="s">
        <v>26</v>
      </c>
      <c r="F129" s="30">
        <v>0</v>
      </c>
      <c r="G129" s="31">
        <v>5300</v>
      </c>
      <c r="H129" s="32">
        <v>3710</v>
      </c>
      <c r="I129" s="14">
        <v>30</v>
      </c>
      <c r="J129" s="33" t="s">
        <v>29</v>
      </c>
      <c r="K129" s="30" t="s">
        <v>738</v>
      </c>
      <c r="L129" s="29" t="s">
        <v>26</v>
      </c>
    </row>
    <row r="130" ht="20" customHeight="1" spans="1:12" x14ac:dyDescent="0.25">
      <c r="A130" s="7" t="s">
        <v>957</v>
      </c>
      <c r="B130" s="7" t="s">
        <v>214</v>
      </c>
      <c r="C130" s="24">
        <f>IF(B130&lt;&gt;"",IFERROR(VLOOKUP(B130,'📦 Productos'!A:C,3,FALSE),IFERROR(VLOOKUP(B130&amp;"",'📦 Productos'!A:C,3,FALSE),IFERROR(VLOOKUP(VALUE(B130),'📦 Productos'!A:C,3,FALSE),""))),"")</f>
      </c>
      <c r="D130" s="7" t="s">
        <v>958</v>
      </c>
      <c r="E130" s="8" t="s">
        <v>26</v>
      </c>
      <c r="F130" s="12">
        <v>0</v>
      </c>
      <c r="G130" s="25">
        <v>5300</v>
      </c>
      <c r="H130" s="26">
        <v>2650</v>
      </c>
      <c r="I130" s="14">
        <v>50</v>
      </c>
      <c r="J130" s="27" t="s">
        <v>29</v>
      </c>
      <c r="K130" s="12" t="s">
        <v>738</v>
      </c>
      <c r="L130" s="8" t="s">
        <v>26</v>
      </c>
    </row>
    <row r="131" ht="20" customHeight="1" spans="1:12" x14ac:dyDescent="0.25">
      <c r="A131" s="28" t="s">
        <v>959</v>
      </c>
      <c r="B131" s="28" t="s">
        <v>214</v>
      </c>
      <c r="C131" s="24">
        <f>IF(B131&lt;&gt;"",IFERROR(VLOOKUP(B131,'📦 Productos'!A:C,3,FALSE),IFERROR(VLOOKUP(B131&amp;"",'📦 Productos'!A:C,3,FALSE),IFERROR(VLOOKUP(VALUE(B131),'📦 Productos'!A:C,3,FALSE),""))),"")</f>
      </c>
      <c r="D131" s="28" t="s">
        <v>960</v>
      </c>
      <c r="E131" s="29" t="s">
        <v>26</v>
      </c>
      <c r="F131" s="30">
        <v>0</v>
      </c>
      <c r="G131" s="31">
        <v>5300</v>
      </c>
      <c r="H131" s="32">
        <v>2650</v>
      </c>
      <c r="I131" s="14">
        <v>50</v>
      </c>
      <c r="J131" s="33" t="s">
        <v>29</v>
      </c>
      <c r="K131" s="30" t="s">
        <v>738</v>
      </c>
      <c r="L131" s="29" t="s">
        <v>26</v>
      </c>
    </row>
    <row r="132" ht="20" customHeight="1" spans="1:12" x14ac:dyDescent="0.25">
      <c r="A132" s="7" t="s">
        <v>961</v>
      </c>
      <c r="B132" s="7" t="s">
        <v>214</v>
      </c>
      <c r="C132" s="24">
        <f>IF(B132&lt;&gt;"",IFERROR(VLOOKUP(B132,'📦 Productos'!A:C,3,FALSE),IFERROR(VLOOKUP(B132&amp;"",'📦 Productos'!A:C,3,FALSE),IFERROR(VLOOKUP(VALUE(B132),'📦 Productos'!A:C,3,FALSE),""))),"")</f>
      </c>
      <c r="D132" s="7" t="s">
        <v>962</v>
      </c>
      <c r="E132" s="8" t="s">
        <v>26</v>
      </c>
      <c r="F132" s="12">
        <v>0</v>
      </c>
      <c r="G132" s="25">
        <v>5300</v>
      </c>
      <c r="H132" s="26">
        <v>2650</v>
      </c>
      <c r="I132" s="14">
        <v>50</v>
      </c>
      <c r="J132" s="27" t="s">
        <v>29</v>
      </c>
      <c r="K132" s="12" t="s">
        <v>738</v>
      </c>
      <c r="L132" s="8" t="s">
        <v>26</v>
      </c>
    </row>
    <row r="133" ht="20" customHeight="1" spans="1:12" x14ac:dyDescent="0.25">
      <c r="A133" s="28" t="s">
        <v>963</v>
      </c>
      <c r="B133" s="28" t="s">
        <v>214</v>
      </c>
      <c r="C133" s="24">
        <f>IF(B133&lt;&gt;"",IFERROR(VLOOKUP(B133,'📦 Productos'!A:C,3,FALSE),IFERROR(VLOOKUP(B133&amp;"",'📦 Productos'!A:C,3,FALSE),IFERROR(VLOOKUP(VALUE(B133),'📦 Productos'!A:C,3,FALSE),""))),"")</f>
      </c>
      <c r="D133" s="28" t="s">
        <v>964</v>
      </c>
      <c r="E133" s="29" t="s">
        <v>26</v>
      </c>
      <c r="F133" s="30">
        <v>0</v>
      </c>
      <c r="G133" s="31">
        <v>5300</v>
      </c>
      <c r="H133" s="32">
        <v>2650</v>
      </c>
      <c r="I133" s="14">
        <v>50</v>
      </c>
      <c r="J133" s="33" t="s">
        <v>29</v>
      </c>
      <c r="K133" s="30" t="s">
        <v>738</v>
      </c>
      <c r="L133" s="29" t="s">
        <v>26</v>
      </c>
    </row>
    <row r="134" ht="20" customHeight="1" spans="1:12" x14ac:dyDescent="0.25">
      <c r="A134" s="7" t="s">
        <v>965</v>
      </c>
      <c r="B134" s="7" t="s">
        <v>214</v>
      </c>
      <c r="C134" s="24">
        <f>IF(B134&lt;&gt;"",IFERROR(VLOOKUP(B134,'📦 Productos'!A:C,3,FALSE),IFERROR(VLOOKUP(B134&amp;"",'📦 Productos'!A:C,3,FALSE),IFERROR(VLOOKUP(VALUE(B134),'📦 Productos'!A:C,3,FALSE),""))),"")</f>
      </c>
      <c r="D134" s="7" t="s">
        <v>966</v>
      </c>
      <c r="E134" s="8" t="s">
        <v>26</v>
      </c>
      <c r="F134" s="12">
        <v>0</v>
      </c>
      <c r="G134" s="25">
        <v>5300</v>
      </c>
      <c r="H134" s="26">
        <v>2650</v>
      </c>
      <c r="I134" s="14">
        <v>50</v>
      </c>
      <c r="J134" s="27" t="s">
        <v>29</v>
      </c>
      <c r="K134" s="12" t="s">
        <v>738</v>
      </c>
      <c r="L134" s="8" t="s">
        <v>26</v>
      </c>
    </row>
    <row r="135" ht="20" customHeight="1" spans="1:12" x14ac:dyDescent="0.25">
      <c r="A135" s="28" t="s">
        <v>967</v>
      </c>
      <c r="B135" s="28" t="s">
        <v>214</v>
      </c>
      <c r="C135" s="24">
        <f>IF(B135&lt;&gt;"",IFERROR(VLOOKUP(B135,'📦 Productos'!A:C,3,FALSE),IFERROR(VLOOKUP(B135&amp;"",'📦 Productos'!A:C,3,FALSE),IFERROR(VLOOKUP(VALUE(B135),'📦 Productos'!A:C,3,FALSE),""))),"")</f>
      </c>
      <c r="D135" s="28" t="s">
        <v>968</v>
      </c>
      <c r="E135" s="29" t="s">
        <v>26</v>
      </c>
      <c r="F135" s="30">
        <v>0</v>
      </c>
      <c r="G135" s="31">
        <v>5300</v>
      </c>
      <c r="H135" s="32">
        <v>2650</v>
      </c>
      <c r="I135" s="14">
        <v>50</v>
      </c>
      <c r="J135" s="33" t="s">
        <v>29</v>
      </c>
      <c r="K135" s="30" t="s">
        <v>738</v>
      </c>
      <c r="L135" s="29" t="s">
        <v>26</v>
      </c>
    </row>
    <row r="136" ht="20" customHeight="1" spans="1:12" x14ac:dyDescent="0.25">
      <c r="A136" s="7" t="s">
        <v>969</v>
      </c>
      <c r="B136" s="7" t="s">
        <v>214</v>
      </c>
      <c r="C136" s="24">
        <f>IF(B136&lt;&gt;"",IFERROR(VLOOKUP(B136,'📦 Productos'!A:C,3,FALSE),IFERROR(VLOOKUP(B136&amp;"",'📦 Productos'!A:C,3,FALSE),IFERROR(VLOOKUP(VALUE(B136),'📦 Productos'!A:C,3,FALSE),""))),"")</f>
      </c>
      <c r="D136" s="7" t="s">
        <v>970</v>
      </c>
      <c r="E136" s="8" t="s">
        <v>26</v>
      </c>
      <c r="F136" s="12">
        <v>0</v>
      </c>
      <c r="G136" s="25">
        <v>5300</v>
      </c>
      <c r="H136" s="26">
        <v>2650</v>
      </c>
      <c r="I136" s="14">
        <v>50</v>
      </c>
      <c r="J136" s="27" t="s">
        <v>29</v>
      </c>
      <c r="K136" s="12" t="s">
        <v>738</v>
      </c>
      <c r="L136" s="8" t="s">
        <v>26</v>
      </c>
    </row>
    <row r="137" ht="20" customHeight="1" spans="1:12" x14ac:dyDescent="0.25">
      <c r="A137" s="28" t="s">
        <v>971</v>
      </c>
      <c r="B137" s="28" t="s">
        <v>214</v>
      </c>
      <c r="C137" s="24">
        <f>IF(B137&lt;&gt;"",IFERROR(VLOOKUP(B137,'📦 Productos'!A:C,3,FALSE),IFERROR(VLOOKUP(B137&amp;"",'📦 Productos'!A:C,3,FALSE),IFERROR(VLOOKUP(VALUE(B137),'📦 Productos'!A:C,3,FALSE),""))),"")</f>
      </c>
      <c r="D137" s="28" t="s">
        <v>972</v>
      </c>
      <c r="E137" s="29" t="s">
        <v>26</v>
      </c>
      <c r="F137" s="30">
        <v>0</v>
      </c>
      <c r="G137" s="31">
        <v>5300</v>
      </c>
      <c r="H137" s="32">
        <v>2650</v>
      </c>
      <c r="I137" s="14">
        <v>50</v>
      </c>
      <c r="J137" s="33" t="s">
        <v>29</v>
      </c>
      <c r="K137" s="30" t="s">
        <v>738</v>
      </c>
      <c r="L137" s="29" t="s">
        <v>26</v>
      </c>
    </row>
    <row r="138" ht="20" customHeight="1" spans="1:12" x14ac:dyDescent="0.25">
      <c r="A138" s="7" t="s">
        <v>973</v>
      </c>
      <c r="B138" s="7" t="s">
        <v>214</v>
      </c>
      <c r="C138" s="24">
        <f>IF(B138&lt;&gt;"",IFERROR(VLOOKUP(B138,'📦 Productos'!A:C,3,FALSE),IFERROR(VLOOKUP(B138&amp;"",'📦 Productos'!A:C,3,FALSE),IFERROR(VLOOKUP(VALUE(B138),'📦 Productos'!A:C,3,FALSE),""))),"")</f>
      </c>
      <c r="D138" s="7" t="s">
        <v>974</v>
      </c>
      <c r="E138" s="8" t="s">
        <v>26</v>
      </c>
      <c r="F138" s="12">
        <v>0</v>
      </c>
      <c r="G138" s="25">
        <v>5300</v>
      </c>
      <c r="H138" s="26">
        <v>3710</v>
      </c>
      <c r="I138" s="14">
        <v>30</v>
      </c>
      <c r="J138" s="27" t="s">
        <v>29</v>
      </c>
      <c r="K138" s="12" t="s">
        <v>738</v>
      </c>
      <c r="L138" s="8" t="s">
        <v>26</v>
      </c>
    </row>
    <row r="139" ht="20" customHeight="1" spans="1:12" x14ac:dyDescent="0.25">
      <c r="A139" s="28" t="s">
        <v>975</v>
      </c>
      <c r="B139" s="28" t="s">
        <v>214</v>
      </c>
      <c r="C139" s="24">
        <f>IF(B139&lt;&gt;"",IFERROR(VLOOKUP(B139,'📦 Productos'!A:C,3,FALSE),IFERROR(VLOOKUP(B139&amp;"",'📦 Productos'!A:C,3,FALSE),IFERROR(VLOOKUP(VALUE(B139),'📦 Productos'!A:C,3,FALSE),""))),"")</f>
      </c>
      <c r="D139" s="28" t="s">
        <v>976</v>
      </c>
      <c r="E139" s="29" t="s">
        <v>26</v>
      </c>
      <c r="F139" s="30">
        <v>0</v>
      </c>
      <c r="G139" s="31">
        <v>5300</v>
      </c>
      <c r="H139" s="32">
        <v>3710</v>
      </c>
      <c r="I139" s="14">
        <v>30</v>
      </c>
      <c r="J139" s="33" t="s">
        <v>29</v>
      </c>
      <c r="K139" s="30" t="s">
        <v>738</v>
      </c>
      <c r="L139" s="29" t="s">
        <v>26</v>
      </c>
    </row>
    <row r="140" ht="20" customHeight="1" spans="1:12" x14ac:dyDescent="0.25">
      <c r="A140" s="7" t="s">
        <v>977</v>
      </c>
      <c r="B140" s="7" t="s">
        <v>214</v>
      </c>
      <c r="C140" s="24">
        <f>IF(B140&lt;&gt;"",IFERROR(VLOOKUP(B140,'📦 Productos'!A:C,3,FALSE),IFERROR(VLOOKUP(B140&amp;"",'📦 Productos'!A:C,3,FALSE),IFERROR(VLOOKUP(VALUE(B140),'📦 Productos'!A:C,3,FALSE),""))),"")</f>
      </c>
      <c r="D140" s="7" t="s">
        <v>978</v>
      </c>
      <c r="E140" s="8" t="s">
        <v>26</v>
      </c>
      <c r="F140" s="12">
        <v>0</v>
      </c>
      <c r="G140" s="25">
        <v>5300</v>
      </c>
      <c r="H140" s="26">
        <v>3710</v>
      </c>
      <c r="I140" s="14">
        <v>30</v>
      </c>
      <c r="J140" s="27" t="s">
        <v>29</v>
      </c>
      <c r="K140" s="12" t="s">
        <v>738</v>
      </c>
      <c r="L140" s="8" t="s">
        <v>26</v>
      </c>
    </row>
    <row r="141" ht="20" customHeight="1" spans="1:12" x14ac:dyDescent="0.25">
      <c r="A141" s="28" t="s">
        <v>979</v>
      </c>
      <c r="B141" s="28" t="s">
        <v>214</v>
      </c>
      <c r="C141" s="24">
        <f>IF(B141&lt;&gt;"",IFERROR(VLOOKUP(B141,'📦 Productos'!A:C,3,FALSE),IFERROR(VLOOKUP(B141&amp;"",'📦 Productos'!A:C,3,FALSE),IFERROR(VLOOKUP(VALUE(B141),'📦 Productos'!A:C,3,FALSE),""))),"")</f>
      </c>
      <c r="D141" s="28" t="s">
        <v>980</v>
      </c>
      <c r="E141" s="29" t="s">
        <v>26</v>
      </c>
      <c r="F141" s="30">
        <v>0</v>
      </c>
      <c r="G141" s="31">
        <v>5300</v>
      </c>
      <c r="H141" s="32">
        <v>3710</v>
      </c>
      <c r="I141" s="14">
        <v>30</v>
      </c>
      <c r="J141" s="33" t="s">
        <v>29</v>
      </c>
      <c r="K141" s="30" t="s">
        <v>738</v>
      </c>
      <c r="L141" s="29" t="s">
        <v>26</v>
      </c>
    </row>
    <row r="142" ht="20" customHeight="1" spans="1:12" x14ac:dyDescent="0.25">
      <c r="A142" s="7" t="s">
        <v>981</v>
      </c>
      <c r="B142" s="7" t="s">
        <v>214</v>
      </c>
      <c r="C142" s="24">
        <f>IF(B142&lt;&gt;"",IFERROR(VLOOKUP(B142,'📦 Productos'!A:C,3,FALSE),IFERROR(VLOOKUP(B142&amp;"",'📦 Productos'!A:C,3,FALSE),IFERROR(VLOOKUP(VALUE(B142),'📦 Productos'!A:C,3,FALSE),""))),"")</f>
      </c>
      <c r="D142" s="7" t="s">
        <v>982</v>
      </c>
      <c r="E142" s="8" t="s">
        <v>26</v>
      </c>
      <c r="F142" s="12">
        <v>0</v>
      </c>
      <c r="G142" s="25">
        <v>5300</v>
      </c>
      <c r="H142" s="26">
        <v>3710</v>
      </c>
      <c r="I142" s="14">
        <v>30</v>
      </c>
      <c r="J142" s="27" t="s">
        <v>29</v>
      </c>
      <c r="K142" s="12" t="s">
        <v>738</v>
      </c>
      <c r="L142" s="8" t="s">
        <v>26</v>
      </c>
    </row>
    <row r="143" ht="20" customHeight="1" spans="1:12" x14ac:dyDescent="0.25">
      <c r="A143" s="28" t="s">
        <v>983</v>
      </c>
      <c r="B143" s="28" t="s">
        <v>214</v>
      </c>
      <c r="C143" s="24">
        <f>IF(B143&lt;&gt;"",IFERROR(VLOOKUP(B143,'📦 Productos'!A:C,3,FALSE),IFERROR(VLOOKUP(B143&amp;"",'📦 Productos'!A:C,3,FALSE),IFERROR(VLOOKUP(VALUE(B143),'📦 Productos'!A:C,3,FALSE),""))),"")</f>
      </c>
      <c r="D143" s="28" t="s">
        <v>984</v>
      </c>
      <c r="E143" s="29" t="s">
        <v>26</v>
      </c>
      <c r="F143" s="30">
        <v>0</v>
      </c>
      <c r="G143" s="31">
        <v>5300</v>
      </c>
      <c r="H143" s="32">
        <v>2650</v>
      </c>
      <c r="I143" s="14">
        <v>50</v>
      </c>
      <c r="J143" s="33" t="s">
        <v>29</v>
      </c>
      <c r="K143" s="30" t="s">
        <v>738</v>
      </c>
      <c r="L143" s="29" t="s">
        <v>26</v>
      </c>
    </row>
    <row r="144" ht="20" customHeight="1" spans="1:12" x14ac:dyDescent="0.25">
      <c r="A144" s="7" t="s">
        <v>985</v>
      </c>
      <c r="B144" s="7" t="s">
        <v>214</v>
      </c>
      <c r="C144" s="24">
        <f>IF(B144&lt;&gt;"",IFERROR(VLOOKUP(B144,'📦 Productos'!A:C,3,FALSE),IFERROR(VLOOKUP(B144&amp;"",'📦 Productos'!A:C,3,FALSE),IFERROR(VLOOKUP(VALUE(B144),'📦 Productos'!A:C,3,FALSE),""))),"")</f>
      </c>
      <c r="D144" s="7" t="s">
        <v>986</v>
      </c>
      <c r="E144" s="8" t="s">
        <v>26</v>
      </c>
      <c r="F144" s="12">
        <v>0</v>
      </c>
      <c r="G144" s="25">
        <v>5300</v>
      </c>
      <c r="H144" s="26">
        <v>3710</v>
      </c>
      <c r="I144" s="14">
        <v>30</v>
      </c>
      <c r="J144" s="27" t="s">
        <v>29</v>
      </c>
      <c r="K144" s="12" t="s">
        <v>738</v>
      </c>
      <c r="L144" s="8" t="s">
        <v>26</v>
      </c>
    </row>
    <row r="145" ht="20" customHeight="1" spans="1:12" x14ac:dyDescent="0.25">
      <c r="A145" s="28" t="s">
        <v>987</v>
      </c>
      <c r="B145" s="28" t="s">
        <v>214</v>
      </c>
      <c r="C145" s="24">
        <f>IF(B145&lt;&gt;"",IFERROR(VLOOKUP(B145,'📦 Productos'!A:C,3,FALSE),IFERROR(VLOOKUP(B145&amp;"",'📦 Productos'!A:C,3,FALSE),IFERROR(VLOOKUP(VALUE(B145),'📦 Productos'!A:C,3,FALSE),""))),"")</f>
      </c>
      <c r="D145" s="28" t="s">
        <v>988</v>
      </c>
      <c r="E145" s="29" t="s">
        <v>26</v>
      </c>
      <c r="F145" s="30">
        <v>0</v>
      </c>
      <c r="G145" s="31">
        <v>5300</v>
      </c>
      <c r="H145" s="32">
        <v>3710</v>
      </c>
      <c r="I145" s="14">
        <v>30</v>
      </c>
      <c r="J145" s="33" t="s">
        <v>29</v>
      </c>
      <c r="K145" s="30" t="s">
        <v>738</v>
      </c>
      <c r="L145" s="29" t="s">
        <v>26</v>
      </c>
    </row>
    <row r="146" ht="20" customHeight="1" spans="1:12" x14ac:dyDescent="0.25">
      <c r="A146" s="7" t="s">
        <v>989</v>
      </c>
      <c r="B146" s="7" t="s">
        <v>214</v>
      </c>
      <c r="C146" s="24">
        <f>IF(B146&lt;&gt;"",IFERROR(VLOOKUP(B146,'📦 Productos'!A:C,3,FALSE),IFERROR(VLOOKUP(B146&amp;"",'📦 Productos'!A:C,3,FALSE),IFERROR(VLOOKUP(VALUE(B146),'📦 Productos'!A:C,3,FALSE),""))),"")</f>
      </c>
      <c r="D146" s="7" t="s">
        <v>990</v>
      </c>
      <c r="E146" s="8" t="s">
        <v>26</v>
      </c>
      <c r="F146" s="12">
        <v>0</v>
      </c>
      <c r="G146" s="25">
        <v>5300</v>
      </c>
      <c r="H146" s="26">
        <v>3710</v>
      </c>
      <c r="I146" s="14">
        <v>30</v>
      </c>
      <c r="J146" s="27" t="s">
        <v>29</v>
      </c>
      <c r="K146" s="12" t="s">
        <v>738</v>
      </c>
      <c r="L146" s="8" t="s">
        <v>26</v>
      </c>
    </row>
    <row r="147" ht="20" customHeight="1" spans="1:12" x14ac:dyDescent="0.25">
      <c r="A147" s="28" t="s">
        <v>991</v>
      </c>
      <c r="B147" s="28" t="s">
        <v>214</v>
      </c>
      <c r="C147" s="24">
        <f>IF(B147&lt;&gt;"",IFERROR(VLOOKUP(B147,'📦 Productos'!A:C,3,FALSE),IFERROR(VLOOKUP(B147&amp;"",'📦 Productos'!A:C,3,FALSE),IFERROR(VLOOKUP(VALUE(B147),'📦 Productos'!A:C,3,FALSE),""))),"")</f>
      </c>
      <c r="D147" s="28" t="s">
        <v>992</v>
      </c>
      <c r="E147" s="29" t="s">
        <v>26</v>
      </c>
      <c r="F147" s="30">
        <v>0</v>
      </c>
      <c r="G147" s="31">
        <v>5300</v>
      </c>
      <c r="H147" s="32">
        <v>2650</v>
      </c>
      <c r="I147" s="14">
        <v>50</v>
      </c>
      <c r="J147" s="33" t="s">
        <v>29</v>
      </c>
      <c r="K147" s="30" t="s">
        <v>738</v>
      </c>
      <c r="L147" s="29" t="s">
        <v>26</v>
      </c>
    </row>
    <row r="148" ht="20" customHeight="1" spans="1:12" x14ac:dyDescent="0.25">
      <c r="A148" s="7" t="s">
        <v>993</v>
      </c>
      <c r="B148" s="7" t="s">
        <v>214</v>
      </c>
      <c r="C148" s="24">
        <f>IF(B148&lt;&gt;"",IFERROR(VLOOKUP(B148,'📦 Productos'!A:C,3,FALSE),IFERROR(VLOOKUP(B148&amp;"",'📦 Productos'!A:C,3,FALSE),IFERROR(VLOOKUP(VALUE(B148),'📦 Productos'!A:C,3,FALSE),""))),"")</f>
      </c>
      <c r="D148" s="7" t="s">
        <v>994</v>
      </c>
      <c r="E148" s="8" t="s">
        <v>26</v>
      </c>
      <c r="F148" s="12">
        <v>0</v>
      </c>
      <c r="G148" s="25">
        <v>5300</v>
      </c>
      <c r="H148" s="26">
        <v>3710</v>
      </c>
      <c r="I148" s="14">
        <v>30</v>
      </c>
      <c r="J148" s="27" t="s">
        <v>29</v>
      </c>
      <c r="K148" s="12" t="s">
        <v>738</v>
      </c>
      <c r="L148" s="8" t="s">
        <v>26</v>
      </c>
    </row>
    <row r="149" ht="20" customHeight="1" spans="1:12" x14ac:dyDescent="0.25">
      <c r="A149" s="28" t="s">
        <v>995</v>
      </c>
      <c r="B149" s="28" t="s">
        <v>214</v>
      </c>
      <c r="C149" s="24">
        <f>IF(B149&lt;&gt;"",IFERROR(VLOOKUP(B149,'📦 Productos'!A:C,3,FALSE),IFERROR(VLOOKUP(B149&amp;"",'📦 Productos'!A:C,3,FALSE),IFERROR(VLOOKUP(VALUE(B149),'📦 Productos'!A:C,3,FALSE),""))),"")</f>
      </c>
      <c r="D149" s="28" t="s">
        <v>996</v>
      </c>
      <c r="E149" s="29" t="s">
        <v>26</v>
      </c>
      <c r="F149" s="30">
        <v>0</v>
      </c>
      <c r="G149" s="31">
        <v>5300</v>
      </c>
      <c r="H149" s="32">
        <v>3710</v>
      </c>
      <c r="I149" s="14">
        <v>30</v>
      </c>
      <c r="J149" s="33" t="s">
        <v>29</v>
      </c>
      <c r="K149" s="30" t="s">
        <v>738</v>
      </c>
      <c r="L149" s="29" t="s">
        <v>26</v>
      </c>
    </row>
    <row r="150" ht="20" customHeight="1" spans="1:12" x14ac:dyDescent="0.25">
      <c r="A150" s="7" t="s">
        <v>997</v>
      </c>
      <c r="B150" s="7" t="s">
        <v>214</v>
      </c>
      <c r="C150" s="24">
        <f>IF(B150&lt;&gt;"",IFERROR(VLOOKUP(B150,'📦 Productos'!A:C,3,FALSE),IFERROR(VLOOKUP(B150&amp;"",'📦 Productos'!A:C,3,FALSE),IFERROR(VLOOKUP(VALUE(B150),'📦 Productos'!A:C,3,FALSE),""))),"")</f>
      </c>
      <c r="D150" s="7" t="s">
        <v>998</v>
      </c>
      <c r="E150" s="8" t="s">
        <v>26</v>
      </c>
      <c r="F150" s="12">
        <v>0</v>
      </c>
      <c r="G150" s="25">
        <v>5300</v>
      </c>
      <c r="H150" s="26">
        <v>3710</v>
      </c>
      <c r="I150" s="14">
        <v>30</v>
      </c>
      <c r="J150" s="27" t="s">
        <v>29</v>
      </c>
      <c r="K150" s="12" t="s">
        <v>738</v>
      </c>
      <c r="L150" s="8" t="s">
        <v>26</v>
      </c>
    </row>
    <row r="151" ht="20" customHeight="1" spans="1:12" x14ac:dyDescent="0.25">
      <c r="A151" s="28" t="s">
        <v>999</v>
      </c>
      <c r="B151" s="28" t="s">
        <v>214</v>
      </c>
      <c r="C151" s="24">
        <f>IF(B151&lt;&gt;"",IFERROR(VLOOKUP(B151,'📦 Productos'!A:C,3,FALSE),IFERROR(VLOOKUP(B151&amp;"",'📦 Productos'!A:C,3,FALSE),IFERROR(VLOOKUP(VALUE(B151),'📦 Productos'!A:C,3,FALSE),""))),"")</f>
      </c>
      <c r="D151" s="28" t="s">
        <v>1000</v>
      </c>
      <c r="E151" s="29" t="s">
        <v>26</v>
      </c>
      <c r="F151" s="30">
        <v>0</v>
      </c>
      <c r="G151" s="31">
        <v>5300</v>
      </c>
      <c r="H151" s="32">
        <v>2650</v>
      </c>
      <c r="I151" s="14">
        <v>50</v>
      </c>
      <c r="J151" s="33" t="s">
        <v>29</v>
      </c>
      <c r="K151" s="30" t="s">
        <v>738</v>
      </c>
      <c r="L151" s="29" t="s">
        <v>26</v>
      </c>
    </row>
    <row r="152" ht="20" customHeight="1" spans="1:12" x14ac:dyDescent="0.25">
      <c r="A152" s="7" t="s">
        <v>1001</v>
      </c>
      <c r="B152" s="7" t="s">
        <v>214</v>
      </c>
      <c r="C152" s="24">
        <f>IF(B152&lt;&gt;"",IFERROR(VLOOKUP(B152,'📦 Productos'!A:C,3,FALSE),IFERROR(VLOOKUP(B152&amp;"",'📦 Productos'!A:C,3,FALSE),IFERROR(VLOOKUP(VALUE(B152),'📦 Productos'!A:C,3,FALSE),""))),"")</f>
      </c>
      <c r="D152" s="7" t="s">
        <v>1002</v>
      </c>
      <c r="E152" s="8" t="s">
        <v>26</v>
      </c>
      <c r="F152" s="12">
        <v>0</v>
      </c>
      <c r="G152" s="25">
        <v>5300</v>
      </c>
      <c r="H152" s="26">
        <v>2650</v>
      </c>
      <c r="I152" s="14">
        <v>50</v>
      </c>
      <c r="J152" s="27" t="s">
        <v>29</v>
      </c>
      <c r="K152" s="12" t="s">
        <v>738</v>
      </c>
      <c r="L152" s="8" t="s">
        <v>26</v>
      </c>
    </row>
    <row r="153" ht="20" customHeight="1" spans="1:12" x14ac:dyDescent="0.25">
      <c r="A153" s="28" t="s">
        <v>1003</v>
      </c>
      <c r="B153" s="28" t="s">
        <v>214</v>
      </c>
      <c r="C153" s="24">
        <f>IF(B153&lt;&gt;"",IFERROR(VLOOKUP(B153,'📦 Productos'!A:C,3,FALSE),IFERROR(VLOOKUP(B153&amp;"",'📦 Productos'!A:C,3,FALSE),IFERROR(VLOOKUP(VALUE(B153),'📦 Productos'!A:C,3,FALSE),""))),"")</f>
      </c>
      <c r="D153" s="28" t="s">
        <v>1004</v>
      </c>
      <c r="E153" s="29" t="s">
        <v>26</v>
      </c>
      <c r="F153" s="30">
        <v>0</v>
      </c>
      <c r="G153" s="31">
        <v>5300</v>
      </c>
      <c r="H153" s="32">
        <v>3710</v>
      </c>
      <c r="I153" s="14">
        <v>30</v>
      </c>
      <c r="J153" s="33" t="s">
        <v>29</v>
      </c>
      <c r="K153" s="30" t="s">
        <v>738</v>
      </c>
      <c r="L153" s="29" t="s">
        <v>26</v>
      </c>
    </row>
    <row r="154" ht="20" customHeight="1" spans="1:12" x14ac:dyDescent="0.25">
      <c r="A154" s="7" t="s">
        <v>1005</v>
      </c>
      <c r="B154" s="7" t="s">
        <v>214</v>
      </c>
      <c r="C154" s="24">
        <f>IF(B154&lt;&gt;"",IFERROR(VLOOKUP(B154,'📦 Productos'!A:C,3,FALSE),IFERROR(VLOOKUP(B154&amp;"",'📦 Productos'!A:C,3,FALSE),IFERROR(VLOOKUP(VALUE(B154),'📦 Productos'!A:C,3,FALSE),""))),"")</f>
      </c>
      <c r="D154" s="7" t="s">
        <v>1006</v>
      </c>
      <c r="E154" s="8" t="s">
        <v>26</v>
      </c>
      <c r="F154" s="12">
        <v>0</v>
      </c>
      <c r="G154" s="25">
        <v>5300</v>
      </c>
      <c r="H154" s="26">
        <v>2650</v>
      </c>
      <c r="I154" s="14">
        <v>50</v>
      </c>
      <c r="J154" s="27" t="s">
        <v>29</v>
      </c>
      <c r="K154" s="12" t="s">
        <v>738</v>
      </c>
      <c r="L154" s="8" t="s">
        <v>26</v>
      </c>
    </row>
    <row r="155" ht="20" customHeight="1" spans="1:12" x14ac:dyDescent="0.25">
      <c r="A155" s="28" t="s">
        <v>1007</v>
      </c>
      <c r="B155" s="28" t="s">
        <v>214</v>
      </c>
      <c r="C155" s="24">
        <f>IF(B155&lt;&gt;"",IFERROR(VLOOKUP(B155,'📦 Productos'!A:C,3,FALSE),IFERROR(VLOOKUP(B155&amp;"",'📦 Productos'!A:C,3,FALSE),IFERROR(VLOOKUP(VALUE(B155),'📦 Productos'!A:C,3,FALSE),""))),"")</f>
      </c>
      <c r="D155" s="28" t="s">
        <v>1008</v>
      </c>
      <c r="E155" s="29" t="s">
        <v>26</v>
      </c>
      <c r="F155" s="30">
        <v>0</v>
      </c>
      <c r="G155" s="31">
        <v>5300</v>
      </c>
      <c r="H155" s="32">
        <v>3710</v>
      </c>
      <c r="I155" s="14">
        <v>30</v>
      </c>
      <c r="J155" s="33" t="s">
        <v>29</v>
      </c>
      <c r="K155" s="30" t="s">
        <v>738</v>
      </c>
      <c r="L155" s="29" t="s">
        <v>26</v>
      </c>
    </row>
    <row r="156" ht="20" customHeight="1" spans="1:12" x14ac:dyDescent="0.25">
      <c r="A156" s="7" t="s">
        <v>1009</v>
      </c>
      <c r="B156" s="7" t="s">
        <v>214</v>
      </c>
      <c r="C156" s="24">
        <f>IF(B156&lt;&gt;"",IFERROR(VLOOKUP(B156,'📦 Productos'!A:C,3,FALSE),IFERROR(VLOOKUP(B156&amp;"",'📦 Productos'!A:C,3,FALSE),IFERROR(VLOOKUP(VALUE(B156),'📦 Productos'!A:C,3,FALSE),""))),"")</f>
      </c>
      <c r="D156" s="7" t="s">
        <v>1010</v>
      </c>
      <c r="E156" s="8" t="s">
        <v>26</v>
      </c>
      <c r="F156" s="12">
        <v>0</v>
      </c>
      <c r="G156" s="25">
        <v>5300</v>
      </c>
      <c r="H156" s="26">
        <v>3710</v>
      </c>
      <c r="I156" s="14">
        <v>30</v>
      </c>
      <c r="J156" s="27" t="s">
        <v>29</v>
      </c>
      <c r="K156" s="12" t="s">
        <v>738</v>
      </c>
      <c r="L156" s="8" t="s">
        <v>26</v>
      </c>
    </row>
    <row r="157" ht="20" customHeight="1" spans="1:12" x14ac:dyDescent="0.25">
      <c r="A157" s="28" t="s">
        <v>1011</v>
      </c>
      <c r="B157" s="28" t="s">
        <v>214</v>
      </c>
      <c r="C157" s="24">
        <f>IF(B157&lt;&gt;"",IFERROR(VLOOKUP(B157,'📦 Productos'!A:C,3,FALSE),IFERROR(VLOOKUP(B157&amp;"",'📦 Productos'!A:C,3,FALSE),IFERROR(VLOOKUP(VALUE(B157),'📦 Productos'!A:C,3,FALSE),""))),"")</f>
      </c>
      <c r="D157" s="28" t="s">
        <v>1012</v>
      </c>
      <c r="E157" s="29" t="s">
        <v>26</v>
      </c>
      <c r="F157" s="30">
        <v>0</v>
      </c>
      <c r="G157" s="31">
        <v>5300</v>
      </c>
      <c r="H157" s="32">
        <v>3710</v>
      </c>
      <c r="I157" s="14">
        <v>30</v>
      </c>
      <c r="J157" s="33" t="s">
        <v>29</v>
      </c>
      <c r="K157" s="30" t="s">
        <v>738</v>
      </c>
      <c r="L157" s="29" t="s">
        <v>26</v>
      </c>
    </row>
    <row r="158" ht="20" customHeight="1" spans="1:12" x14ac:dyDescent="0.25">
      <c r="A158" s="7" t="s">
        <v>1013</v>
      </c>
      <c r="B158" s="7" t="s">
        <v>214</v>
      </c>
      <c r="C158" s="24">
        <f>IF(B158&lt;&gt;"",IFERROR(VLOOKUP(B158,'📦 Productos'!A:C,3,FALSE),IFERROR(VLOOKUP(B158&amp;"",'📦 Productos'!A:C,3,FALSE),IFERROR(VLOOKUP(VALUE(B158),'📦 Productos'!A:C,3,FALSE),""))),"")</f>
      </c>
      <c r="D158" s="7" t="s">
        <v>1014</v>
      </c>
      <c r="E158" s="8" t="s">
        <v>26</v>
      </c>
      <c r="F158" s="12">
        <v>0</v>
      </c>
      <c r="G158" s="25">
        <v>5300</v>
      </c>
      <c r="H158" s="26">
        <v>2650</v>
      </c>
      <c r="I158" s="14">
        <v>50</v>
      </c>
      <c r="J158" s="27" t="s">
        <v>29</v>
      </c>
      <c r="K158" s="12" t="s">
        <v>738</v>
      </c>
      <c r="L158" s="8" t="s">
        <v>26</v>
      </c>
    </row>
    <row r="159" ht="20" customHeight="1" spans="1:12" x14ac:dyDescent="0.25">
      <c r="A159" s="28" t="s">
        <v>1015</v>
      </c>
      <c r="B159" s="28" t="s">
        <v>214</v>
      </c>
      <c r="C159" s="24">
        <f>IF(B159&lt;&gt;"",IFERROR(VLOOKUP(B159,'📦 Productos'!A:C,3,FALSE),IFERROR(VLOOKUP(B159&amp;"",'📦 Productos'!A:C,3,FALSE),IFERROR(VLOOKUP(VALUE(B159),'📦 Productos'!A:C,3,FALSE),""))),"")</f>
      </c>
      <c r="D159" s="28" t="s">
        <v>1016</v>
      </c>
      <c r="E159" s="29" t="s">
        <v>26</v>
      </c>
      <c r="F159" s="30">
        <v>0</v>
      </c>
      <c r="G159" s="31">
        <v>5300</v>
      </c>
      <c r="H159" s="32">
        <v>2650</v>
      </c>
      <c r="I159" s="14">
        <v>50</v>
      </c>
      <c r="J159" s="33" t="s">
        <v>29</v>
      </c>
      <c r="K159" s="30" t="s">
        <v>738</v>
      </c>
      <c r="L159" s="29" t="s">
        <v>26</v>
      </c>
    </row>
    <row r="160" ht="20" customHeight="1" spans="1:12" x14ac:dyDescent="0.25">
      <c r="A160" s="7" t="s">
        <v>1017</v>
      </c>
      <c r="B160" s="7" t="s">
        <v>214</v>
      </c>
      <c r="C160" s="24">
        <f>IF(B160&lt;&gt;"",IFERROR(VLOOKUP(B160,'📦 Productos'!A:C,3,FALSE),IFERROR(VLOOKUP(B160&amp;"",'📦 Productos'!A:C,3,FALSE),IFERROR(VLOOKUP(VALUE(B160),'📦 Productos'!A:C,3,FALSE),""))),"")</f>
      </c>
      <c r="D160" s="7" t="s">
        <v>1018</v>
      </c>
      <c r="E160" s="8" t="s">
        <v>26</v>
      </c>
      <c r="F160" s="12">
        <v>0</v>
      </c>
      <c r="G160" s="25">
        <v>5300</v>
      </c>
      <c r="H160" s="26">
        <v>2650</v>
      </c>
      <c r="I160" s="14">
        <v>50</v>
      </c>
      <c r="J160" s="27" t="s">
        <v>29</v>
      </c>
      <c r="K160" s="12" t="s">
        <v>738</v>
      </c>
      <c r="L160" s="8" t="s">
        <v>26</v>
      </c>
    </row>
    <row r="161" ht="20" customHeight="1" spans="1:12" x14ac:dyDescent="0.25">
      <c r="A161" s="28" t="s">
        <v>1019</v>
      </c>
      <c r="B161" s="28" t="s">
        <v>214</v>
      </c>
      <c r="C161" s="24">
        <f>IF(B161&lt;&gt;"",IFERROR(VLOOKUP(B161,'📦 Productos'!A:C,3,FALSE),IFERROR(VLOOKUP(B161&amp;"",'📦 Productos'!A:C,3,FALSE),IFERROR(VLOOKUP(VALUE(B161),'📦 Productos'!A:C,3,FALSE),""))),"")</f>
      </c>
      <c r="D161" s="28" t="s">
        <v>1020</v>
      </c>
      <c r="E161" s="29" t="s">
        <v>26</v>
      </c>
      <c r="F161" s="30">
        <v>0</v>
      </c>
      <c r="G161" s="31">
        <v>5300</v>
      </c>
      <c r="H161" s="32">
        <v>2650</v>
      </c>
      <c r="I161" s="14">
        <v>50</v>
      </c>
      <c r="J161" s="33" t="s">
        <v>29</v>
      </c>
      <c r="K161" s="30" t="s">
        <v>738</v>
      </c>
      <c r="L161" s="29" t="s">
        <v>26</v>
      </c>
    </row>
    <row r="162" ht="20" customHeight="1" spans="1:12" x14ac:dyDescent="0.25">
      <c r="A162" s="7" t="s">
        <v>1021</v>
      </c>
      <c r="B162" s="7" t="s">
        <v>214</v>
      </c>
      <c r="C162" s="24">
        <f>IF(B162&lt;&gt;"",IFERROR(VLOOKUP(B162,'📦 Productos'!A:C,3,FALSE),IFERROR(VLOOKUP(B162&amp;"",'📦 Productos'!A:C,3,FALSE),IFERROR(VLOOKUP(VALUE(B162),'📦 Productos'!A:C,3,FALSE),""))),"")</f>
      </c>
      <c r="D162" s="7" t="s">
        <v>1022</v>
      </c>
      <c r="E162" s="8" t="s">
        <v>26</v>
      </c>
      <c r="F162" s="12">
        <v>0</v>
      </c>
      <c r="G162" s="25">
        <v>5300</v>
      </c>
      <c r="H162" s="26">
        <v>3710</v>
      </c>
      <c r="I162" s="14">
        <v>30</v>
      </c>
      <c r="J162" s="27" t="s">
        <v>29</v>
      </c>
      <c r="K162" s="12" t="s">
        <v>738</v>
      </c>
      <c r="L162" s="8" t="s">
        <v>26</v>
      </c>
    </row>
    <row r="163" ht="20" customHeight="1" spans="1:12" x14ac:dyDescent="0.25">
      <c r="A163" s="28" t="s">
        <v>1023</v>
      </c>
      <c r="B163" s="28" t="s">
        <v>214</v>
      </c>
      <c r="C163" s="24">
        <f>IF(B163&lt;&gt;"",IFERROR(VLOOKUP(B163,'📦 Productos'!A:C,3,FALSE),IFERROR(VLOOKUP(B163&amp;"",'📦 Productos'!A:C,3,FALSE),IFERROR(VLOOKUP(VALUE(B163),'📦 Productos'!A:C,3,FALSE),""))),"")</f>
      </c>
      <c r="D163" s="28" t="s">
        <v>1024</v>
      </c>
      <c r="E163" s="29" t="s">
        <v>26</v>
      </c>
      <c r="F163" s="30">
        <v>0</v>
      </c>
      <c r="G163" s="31">
        <v>5300</v>
      </c>
      <c r="H163" s="32">
        <v>3710</v>
      </c>
      <c r="I163" s="14">
        <v>30</v>
      </c>
      <c r="J163" s="33" t="s">
        <v>29</v>
      </c>
      <c r="K163" s="30" t="s">
        <v>738</v>
      </c>
      <c r="L163" s="29" t="s">
        <v>26</v>
      </c>
    </row>
    <row r="164" ht="20" customHeight="1" spans="1:12" x14ac:dyDescent="0.25">
      <c r="A164" s="7" t="s">
        <v>1025</v>
      </c>
      <c r="B164" s="7" t="s">
        <v>214</v>
      </c>
      <c r="C164" s="24">
        <f>IF(B164&lt;&gt;"",IFERROR(VLOOKUP(B164,'📦 Productos'!A:C,3,FALSE),IFERROR(VLOOKUP(B164&amp;"",'📦 Productos'!A:C,3,FALSE),IFERROR(VLOOKUP(VALUE(B164),'📦 Productos'!A:C,3,FALSE),""))),"")</f>
      </c>
      <c r="D164" s="7" t="s">
        <v>1026</v>
      </c>
      <c r="E164" s="8" t="s">
        <v>26</v>
      </c>
      <c r="F164" s="12">
        <v>0</v>
      </c>
      <c r="G164" s="25">
        <v>5300</v>
      </c>
      <c r="H164" s="26">
        <v>3710</v>
      </c>
      <c r="I164" s="14">
        <v>30</v>
      </c>
      <c r="J164" s="27" t="s">
        <v>29</v>
      </c>
      <c r="K164" s="12" t="s">
        <v>738</v>
      </c>
      <c r="L164" s="8" t="s">
        <v>26</v>
      </c>
    </row>
    <row r="165" ht="20" customHeight="1" spans="1:12" x14ac:dyDescent="0.25">
      <c r="A165" s="28" t="s">
        <v>1027</v>
      </c>
      <c r="B165" s="28" t="s">
        <v>214</v>
      </c>
      <c r="C165" s="24">
        <f>IF(B165&lt;&gt;"",IFERROR(VLOOKUP(B165,'📦 Productos'!A:C,3,FALSE),IFERROR(VLOOKUP(B165&amp;"",'📦 Productos'!A:C,3,FALSE),IFERROR(VLOOKUP(VALUE(B165),'📦 Productos'!A:C,3,FALSE),""))),"")</f>
      </c>
      <c r="D165" s="28" t="s">
        <v>1028</v>
      </c>
      <c r="E165" s="29" t="s">
        <v>26</v>
      </c>
      <c r="F165" s="30">
        <v>0</v>
      </c>
      <c r="G165" s="31">
        <v>5300</v>
      </c>
      <c r="H165" s="32">
        <v>3710</v>
      </c>
      <c r="I165" s="14">
        <v>30</v>
      </c>
      <c r="J165" s="33" t="s">
        <v>29</v>
      </c>
      <c r="K165" s="30" t="s">
        <v>738</v>
      </c>
      <c r="L165" s="29" t="s">
        <v>26</v>
      </c>
    </row>
    <row r="166" ht="20" customHeight="1" spans="1:12" x14ac:dyDescent="0.25">
      <c r="A166" s="7" t="s">
        <v>1029</v>
      </c>
      <c r="B166" s="7" t="s">
        <v>214</v>
      </c>
      <c r="C166" s="24">
        <f>IF(B166&lt;&gt;"",IFERROR(VLOOKUP(B166,'📦 Productos'!A:C,3,FALSE),IFERROR(VLOOKUP(B166&amp;"",'📦 Productos'!A:C,3,FALSE),IFERROR(VLOOKUP(VALUE(B166),'📦 Productos'!A:C,3,FALSE),""))),"")</f>
      </c>
      <c r="D166" s="7" t="s">
        <v>1030</v>
      </c>
      <c r="E166" s="8" t="s">
        <v>26</v>
      </c>
      <c r="F166" s="12">
        <v>0</v>
      </c>
      <c r="G166" s="25">
        <v>5300</v>
      </c>
      <c r="H166" s="26">
        <v>3710</v>
      </c>
      <c r="I166" s="14">
        <v>30</v>
      </c>
      <c r="J166" s="27" t="s">
        <v>29</v>
      </c>
      <c r="K166" s="12" t="s">
        <v>738</v>
      </c>
      <c r="L166" s="8" t="s">
        <v>26</v>
      </c>
    </row>
    <row r="167" ht="20" customHeight="1" spans="1:12" x14ac:dyDescent="0.25">
      <c r="A167" s="28" t="s">
        <v>1031</v>
      </c>
      <c r="B167" s="28" t="s">
        <v>214</v>
      </c>
      <c r="C167" s="24">
        <f>IF(B167&lt;&gt;"",IFERROR(VLOOKUP(B167,'📦 Productos'!A:C,3,FALSE),IFERROR(VLOOKUP(B167&amp;"",'📦 Productos'!A:C,3,FALSE),IFERROR(VLOOKUP(VALUE(B167),'📦 Productos'!A:C,3,FALSE),""))),"")</f>
      </c>
      <c r="D167" s="28" t="s">
        <v>1032</v>
      </c>
      <c r="E167" s="29" t="s">
        <v>26</v>
      </c>
      <c r="F167" s="30">
        <v>0</v>
      </c>
      <c r="G167" s="31">
        <v>5300</v>
      </c>
      <c r="H167" s="32">
        <v>3710</v>
      </c>
      <c r="I167" s="14">
        <v>30</v>
      </c>
      <c r="J167" s="33" t="s">
        <v>29</v>
      </c>
      <c r="K167" s="30" t="s">
        <v>738</v>
      </c>
      <c r="L167" s="29" t="s">
        <v>26</v>
      </c>
    </row>
    <row r="168" ht="20" customHeight="1" spans="1:12" x14ac:dyDescent="0.25">
      <c r="A168" s="7" t="s">
        <v>1033</v>
      </c>
      <c r="B168" s="7" t="s">
        <v>214</v>
      </c>
      <c r="C168" s="24">
        <f>IF(B168&lt;&gt;"",IFERROR(VLOOKUP(B168,'📦 Productos'!A:C,3,FALSE),IFERROR(VLOOKUP(B168&amp;"",'📦 Productos'!A:C,3,FALSE),IFERROR(VLOOKUP(VALUE(B168),'📦 Productos'!A:C,3,FALSE),""))),"")</f>
      </c>
      <c r="D168" s="7" t="s">
        <v>1034</v>
      </c>
      <c r="E168" s="8" t="s">
        <v>26</v>
      </c>
      <c r="F168" s="12">
        <v>0</v>
      </c>
      <c r="G168" s="25">
        <v>5300</v>
      </c>
      <c r="H168" s="26">
        <v>2650</v>
      </c>
      <c r="I168" s="14">
        <v>50</v>
      </c>
      <c r="J168" s="27" t="s">
        <v>29</v>
      </c>
      <c r="K168" s="12" t="s">
        <v>738</v>
      </c>
      <c r="L168" s="8" t="s">
        <v>26</v>
      </c>
    </row>
    <row r="169" ht="20" customHeight="1" spans="1:12" x14ac:dyDescent="0.25">
      <c r="A169" s="28" t="s">
        <v>1035</v>
      </c>
      <c r="B169" s="28" t="s">
        <v>214</v>
      </c>
      <c r="C169" s="24">
        <f>IF(B169&lt;&gt;"",IFERROR(VLOOKUP(B169,'📦 Productos'!A:C,3,FALSE),IFERROR(VLOOKUP(B169&amp;"",'📦 Productos'!A:C,3,FALSE),IFERROR(VLOOKUP(VALUE(B169),'📦 Productos'!A:C,3,FALSE),""))),"")</f>
      </c>
      <c r="D169" s="28" t="s">
        <v>1036</v>
      </c>
      <c r="E169" s="29" t="s">
        <v>26</v>
      </c>
      <c r="F169" s="30">
        <v>0</v>
      </c>
      <c r="G169" s="31">
        <v>5300</v>
      </c>
      <c r="H169" s="32">
        <v>2650</v>
      </c>
      <c r="I169" s="14">
        <v>50</v>
      </c>
      <c r="J169" s="33" t="s">
        <v>29</v>
      </c>
      <c r="K169" s="30" t="s">
        <v>738</v>
      </c>
      <c r="L169" s="29" t="s">
        <v>26</v>
      </c>
    </row>
    <row r="170" ht="20" customHeight="1" spans="1:12" x14ac:dyDescent="0.25">
      <c r="A170" s="7" t="s">
        <v>1037</v>
      </c>
      <c r="B170" s="7" t="s">
        <v>214</v>
      </c>
      <c r="C170" s="24">
        <f>IF(B170&lt;&gt;"",IFERROR(VLOOKUP(B170,'📦 Productos'!A:C,3,FALSE),IFERROR(VLOOKUP(B170&amp;"",'📦 Productos'!A:C,3,FALSE),IFERROR(VLOOKUP(VALUE(B170),'📦 Productos'!A:C,3,FALSE),""))),"")</f>
      </c>
      <c r="D170" s="7" t="s">
        <v>1038</v>
      </c>
      <c r="E170" s="8" t="s">
        <v>26</v>
      </c>
      <c r="F170" s="12">
        <v>0</v>
      </c>
      <c r="G170" s="25">
        <v>5300</v>
      </c>
      <c r="H170" s="26">
        <v>3710</v>
      </c>
      <c r="I170" s="14">
        <v>30</v>
      </c>
      <c r="J170" s="27" t="s">
        <v>29</v>
      </c>
      <c r="K170" s="12" t="s">
        <v>738</v>
      </c>
      <c r="L170" s="8" t="s">
        <v>26</v>
      </c>
    </row>
    <row r="171" ht="20" customHeight="1" spans="1:12" x14ac:dyDescent="0.25">
      <c r="A171" s="28" t="s">
        <v>1039</v>
      </c>
      <c r="B171" s="28" t="s">
        <v>214</v>
      </c>
      <c r="C171" s="24">
        <f>IF(B171&lt;&gt;"",IFERROR(VLOOKUP(B171,'📦 Productos'!A:C,3,FALSE),IFERROR(VLOOKUP(B171&amp;"",'📦 Productos'!A:C,3,FALSE),IFERROR(VLOOKUP(VALUE(B171),'📦 Productos'!A:C,3,FALSE),""))),"")</f>
      </c>
      <c r="D171" s="28" t="s">
        <v>1040</v>
      </c>
      <c r="E171" s="29" t="s">
        <v>26</v>
      </c>
      <c r="F171" s="30">
        <v>0</v>
      </c>
      <c r="G171" s="31">
        <v>5300</v>
      </c>
      <c r="H171" s="32">
        <v>2650</v>
      </c>
      <c r="I171" s="14">
        <v>50</v>
      </c>
      <c r="J171" s="33" t="s">
        <v>29</v>
      </c>
      <c r="K171" s="30" t="s">
        <v>738</v>
      </c>
      <c r="L171" s="29" t="s">
        <v>26</v>
      </c>
    </row>
    <row r="172" ht="20" customHeight="1" spans="1:12" x14ac:dyDescent="0.25">
      <c r="A172" s="7" t="s">
        <v>1041</v>
      </c>
      <c r="B172" s="7" t="s">
        <v>214</v>
      </c>
      <c r="C172" s="24">
        <f>IF(B172&lt;&gt;"",IFERROR(VLOOKUP(B172,'📦 Productos'!A:C,3,FALSE),IFERROR(VLOOKUP(B172&amp;"",'📦 Productos'!A:C,3,FALSE),IFERROR(VLOOKUP(VALUE(B172),'📦 Productos'!A:C,3,FALSE),""))),"")</f>
      </c>
      <c r="D172" s="7" t="s">
        <v>1042</v>
      </c>
      <c r="E172" s="8" t="s">
        <v>26</v>
      </c>
      <c r="F172" s="12">
        <v>0</v>
      </c>
      <c r="G172" s="25">
        <v>5300</v>
      </c>
      <c r="H172" s="26">
        <v>2650</v>
      </c>
      <c r="I172" s="14">
        <v>50</v>
      </c>
      <c r="J172" s="27" t="s">
        <v>29</v>
      </c>
      <c r="K172" s="12" t="s">
        <v>738</v>
      </c>
      <c r="L172" s="8" t="s">
        <v>26</v>
      </c>
    </row>
    <row r="173" ht="20" customHeight="1" spans="1:12" x14ac:dyDescent="0.25">
      <c r="A173" s="28" t="s">
        <v>1043</v>
      </c>
      <c r="B173" s="28" t="s">
        <v>214</v>
      </c>
      <c r="C173" s="24">
        <f>IF(B173&lt;&gt;"",IFERROR(VLOOKUP(B173,'📦 Productos'!A:C,3,FALSE),IFERROR(VLOOKUP(B173&amp;"",'📦 Productos'!A:C,3,FALSE),IFERROR(VLOOKUP(VALUE(B173),'📦 Productos'!A:C,3,FALSE),""))),"")</f>
      </c>
      <c r="D173" s="28" t="s">
        <v>1044</v>
      </c>
      <c r="E173" s="29" t="s">
        <v>26</v>
      </c>
      <c r="F173" s="30">
        <v>0</v>
      </c>
      <c r="G173" s="31">
        <v>5300</v>
      </c>
      <c r="H173" s="32">
        <v>2650</v>
      </c>
      <c r="I173" s="14">
        <v>50</v>
      </c>
      <c r="J173" s="33" t="s">
        <v>29</v>
      </c>
      <c r="K173" s="30" t="s">
        <v>738</v>
      </c>
      <c r="L173" s="29" t="s">
        <v>26</v>
      </c>
    </row>
    <row r="174" ht="20" customHeight="1" spans="1:12" x14ac:dyDescent="0.25">
      <c r="A174" s="7" t="s">
        <v>1045</v>
      </c>
      <c r="B174" s="7" t="s">
        <v>235</v>
      </c>
      <c r="C174" s="24">
        <f>IF(B174&lt;&gt;"",IFERROR(VLOOKUP(B174,'📦 Productos'!A:C,3,FALSE),IFERROR(VLOOKUP(B174&amp;"",'📦 Productos'!A:C,3,FALSE),IFERROR(VLOOKUP(VALUE(B174),'📦 Productos'!A:C,3,FALSE),""))),"")</f>
      </c>
      <c r="D174" s="7" t="s">
        <v>236</v>
      </c>
      <c r="E174" s="8" t="s">
        <v>26</v>
      </c>
      <c r="F174" s="12">
        <v>0</v>
      </c>
      <c r="G174" s="25">
        <v>45900</v>
      </c>
      <c r="H174" s="26">
        <v>29835</v>
      </c>
      <c r="I174" s="14">
        <v>35</v>
      </c>
      <c r="J174" s="27" t="s">
        <v>29</v>
      </c>
      <c r="K174" s="12" t="s">
        <v>738</v>
      </c>
      <c r="L174" s="8" t="s">
        <v>26</v>
      </c>
    </row>
    <row r="175" ht="20" customHeight="1" spans="1:12" x14ac:dyDescent="0.25">
      <c r="A175" s="28" t="s">
        <v>1046</v>
      </c>
      <c r="B175" s="28" t="s">
        <v>235</v>
      </c>
      <c r="C175" s="24">
        <f>IF(B175&lt;&gt;"",IFERROR(VLOOKUP(B175,'📦 Productos'!A:C,3,FALSE),IFERROR(VLOOKUP(B175&amp;"",'📦 Productos'!A:C,3,FALSE),IFERROR(VLOOKUP(VALUE(B175),'📦 Productos'!A:C,3,FALSE),""))),"")</f>
      </c>
      <c r="D175" s="28" t="s">
        <v>1047</v>
      </c>
      <c r="E175" s="29" t="s">
        <v>26</v>
      </c>
      <c r="F175" s="30">
        <v>0</v>
      </c>
      <c r="G175" s="31">
        <v>45900</v>
      </c>
      <c r="H175" s="32">
        <v>29835</v>
      </c>
      <c r="I175" s="14">
        <v>35</v>
      </c>
      <c r="J175" s="33" t="s">
        <v>29</v>
      </c>
      <c r="K175" s="30" t="s">
        <v>738</v>
      </c>
      <c r="L175" s="29" t="s">
        <v>26</v>
      </c>
    </row>
    <row r="176" ht="20" customHeight="1" spans="1:12" x14ac:dyDescent="0.25">
      <c r="A176" s="7" t="s">
        <v>1048</v>
      </c>
      <c r="B176" s="7" t="s">
        <v>235</v>
      </c>
      <c r="C176" s="24">
        <f>IF(B176&lt;&gt;"",IFERROR(VLOOKUP(B176,'📦 Productos'!A:C,3,FALSE),IFERROR(VLOOKUP(B176&amp;"",'📦 Productos'!A:C,3,FALSE),IFERROR(VLOOKUP(VALUE(B176),'📦 Productos'!A:C,3,FALSE),""))),"")</f>
      </c>
      <c r="D176" s="7" t="s">
        <v>1049</v>
      </c>
      <c r="E176" s="8" t="s">
        <v>26</v>
      </c>
      <c r="F176" s="12">
        <v>0</v>
      </c>
      <c r="G176" s="25">
        <v>45900</v>
      </c>
      <c r="H176" s="26">
        <v>29835</v>
      </c>
      <c r="I176" s="14">
        <v>35</v>
      </c>
      <c r="J176" s="27" t="s">
        <v>29</v>
      </c>
      <c r="K176" s="12" t="s">
        <v>738</v>
      </c>
      <c r="L176" s="8" t="s">
        <v>26</v>
      </c>
    </row>
    <row r="177" ht="20" customHeight="1" spans="1:12" x14ac:dyDescent="0.25">
      <c r="A177" s="28" t="s">
        <v>1050</v>
      </c>
      <c r="B177" s="28" t="s">
        <v>235</v>
      </c>
      <c r="C177" s="24">
        <f>IF(B177&lt;&gt;"",IFERROR(VLOOKUP(B177,'📦 Productos'!A:C,3,FALSE),IFERROR(VLOOKUP(B177&amp;"",'📦 Productos'!A:C,3,FALSE),IFERROR(VLOOKUP(VALUE(B177),'📦 Productos'!A:C,3,FALSE),""))),"")</f>
      </c>
      <c r="D177" s="28" t="s">
        <v>1051</v>
      </c>
      <c r="E177" s="29" t="s">
        <v>26</v>
      </c>
      <c r="F177" s="30">
        <v>0</v>
      </c>
      <c r="G177" s="31">
        <v>45900</v>
      </c>
      <c r="H177" s="32">
        <v>29835</v>
      </c>
      <c r="I177" s="14">
        <v>35</v>
      </c>
      <c r="J177" s="33" t="s">
        <v>29</v>
      </c>
      <c r="K177" s="30" t="s">
        <v>738</v>
      </c>
      <c r="L177" s="29" t="s">
        <v>26</v>
      </c>
    </row>
    <row r="178" ht="20" customHeight="1" spans="1:12" x14ac:dyDescent="0.25">
      <c r="A178" s="7" t="s">
        <v>1052</v>
      </c>
      <c r="B178" s="7" t="s">
        <v>235</v>
      </c>
      <c r="C178" s="24">
        <f>IF(B178&lt;&gt;"",IFERROR(VLOOKUP(B178,'📦 Productos'!A:C,3,FALSE),IFERROR(VLOOKUP(B178&amp;"",'📦 Productos'!A:C,3,FALSE),IFERROR(VLOOKUP(VALUE(B178),'📦 Productos'!A:C,3,FALSE),""))),"")</f>
      </c>
      <c r="D178" s="7" t="s">
        <v>1053</v>
      </c>
      <c r="E178" s="8" t="s">
        <v>26</v>
      </c>
      <c r="F178" s="12">
        <v>0</v>
      </c>
      <c r="G178" s="25">
        <v>45900</v>
      </c>
      <c r="H178" s="26">
        <v>29835</v>
      </c>
      <c r="I178" s="14">
        <v>35</v>
      </c>
      <c r="J178" s="27" t="s">
        <v>29</v>
      </c>
      <c r="K178" s="12" t="s">
        <v>738</v>
      </c>
      <c r="L178" s="8" t="s">
        <v>26</v>
      </c>
    </row>
    <row r="179" ht="20" customHeight="1" spans="1:12" x14ac:dyDescent="0.25">
      <c r="A179" s="28" t="s">
        <v>1054</v>
      </c>
      <c r="B179" s="28" t="s">
        <v>241</v>
      </c>
      <c r="C179" s="24">
        <f>IF(B179&lt;&gt;"",IFERROR(VLOOKUP(B179,'📦 Productos'!A:C,3,FALSE),IFERROR(VLOOKUP(B179&amp;"",'📦 Productos'!A:C,3,FALSE),IFERROR(VLOOKUP(VALUE(B179),'📦 Productos'!A:C,3,FALSE),""))),"")</f>
      </c>
      <c r="D179" s="28" t="s">
        <v>242</v>
      </c>
      <c r="E179" s="29" t="s">
        <v>26</v>
      </c>
      <c r="F179" s="30">
        <v>0</v>
      </c>
      <c r="G179" s="31">
        <v>41500</v>
      </c>
      <c r="H179" s="32">
        <v>26975</v>
      </c>
      <c r="I179" s="14">
        <v>35</v>
      </c>
      <c r="J179" s="33" t="s">
        <v>29</v>
      </c>
      <c r="K179" s="30" t="s">
        <v>738</v>
      </c>
      <c r="L179" s="29" t="s">
        <v>26</v>
      </c>
    </row>
    <row r="180" ht="20" customHeight="1" spans="1:12" x14ac:dyDescent="0.25">
      <c r="A180" s="7" t="s">
        <v>1055</v>
      </c>
      <c r="B180" s="7" t="s">
        <v>241</v>
      </c>
      <c r="C180" s="24">
        <f>IF(B180&lt;&gt;"",IFERROR(VLOOKUP(B180,'📦 Productos'!A:C,3,FALSE),IFERROR(VLOOKUP(B180&amp;"",'📦 Productos'!A:C,3,FALSE),IFERROR(VLOOKUP(VALUE(B180),'📦 Productos'!A:C,3,FALSE),""))),"")</f>
      </c>
      <c r="D180" s="7" t="s">
        <v>1056</v>
      </c>
      <c r="E180" s="8" t="s">
        <v>26</v>
      </c>
      <c r="F180" s="12">
        <v>0</v>
      </c>
      <c r="G180" s="25">
        <v>41500</v>
      </c>
      <c r="H180" s="26">
        <v>26975</v>
      </c>
      <c r="I180" s="14">
        <v>35</v>
      </c>
      <c r="J180" s="27" t="s">
        <v>29</v>
      </c>
      <c r="K180" s="12" t="s">
        <v>738</v>
      </c>
      <c r="L180" s="8" t="s">
        <v>26</v>
      </c>
    </row>
    <row r="181" ht="20" customHeight="1" spans="1:12" x14ac:dyDescent="0.25">
      <c r="A181" s="28" t="s">
        <v>1057</v>
      </c>
      <c r="B181" s="28" t="s">
        <v>241</v>
      </c>
      <c r="C181" s="24">
        <f>IF(B181&lt;&gt;"",IFERROR(VLOOKUP(B181,'📦 Productos'!A:C,3,FALSE),IFERROR(VLOOKUP(B181&amp;"",'📦 Productos'!A:C,3,FALSE),IFERROR(VLOOKUP(VALUE(B181),'📦 Productos'!A:C,3,FALSE),""))),"")</f>
      </c>
      <c r="D181" s="28" t="s">
        <v>1058</v>
      </c>
      <c r="E181" s="29" t="s">
        <v>26</v>
      </c>
      <c r="F181" s="30">
        <v>0</v>
      </c>
      <c r="G181" s="31">
        <v>41500</v>
      </c>
      <c r="H181" s="32">
        <v>26975</v>
      </c>
      <c r="I181" s="14">
        <v>35</v>
      </c>
      <c r="J181" s="33" t="s">
        <v>29</v>
      </c>
      <c r="K181" s="30" t="s">
        <v>738</v>
      </c>
      <c r="L181" s="29" t="s">
        <v>26</v>
      </c>
    </row>
    <row r="182" ht="20" customHeight="1" spans="1:12" x14ac:dyDescent="0.25">
      <c r="A182" s="7" t="s">
        <v>1059</v>
      </c>
      <c r="B182" s="7" t="s">
        <v>241</v>
      </c>
      <c r="C182" s="24">
        <f>IF(B182&lt;&gt;"",IFERROR(VLOOKUP(B182,'📦 Productos'!A:C,3,FALSE),IFERROR(VLOOKUP(B182&amp;"",'📦 Productos'!A:C,3,FALSE),IFERROR(VLOOKUP(VALUE(B182),'📦 Productos'!A:C,3,FALSE),""))),"")</f>
      </c>
      <c r="D182" s="7" t="s">
        <v>1060</v>
      </c>
      <c r="E182" s="8" t="s">
        <v>26</v>
      </c>
      <c r="F182" s="12">
        <v>0</v>
      </c>
      <c r="G182" s="25">
        <v>41500</v>
      </c>
      <c r="H182" s="26">
        <v>26975</v>
      </c>
      <c r="I182" s="14">
        <v>35</v>
      </c>
      <c r="J182" s="27" t="s">
        <v>29</v>
      </c>
      <c r="K182" s="12" t="s">
        <v>738</v>
      </c>
      <c r="L182" s="8" t="s">
        <v>26</v>
      </c>
    </row>
    <row r="183" ht="20" customHeight="1" spans="1:12" x14ac:dyDescent="0.25">
      <c r="A183" s="28" t="s">
        <v>1061</v>
      </c>
      <c r="B183" s="28" t="s">
        <v>241</v>
      </c>
      <c r="C183" s="24">
        <f>IF(B183&lt;&gt;"",IFERROR(VLOOKUP(B183,'📦 Productos'!A:C,3,FALSE),IFERROR(VLOOKUP(B183&amp;"",'📦 Productos'!A:C,3,FALSE),IFERROR(VLOOKUP(VALUE(B183),'📦 Productos'!A:C,3,FALSE),""))),"")</f>
      </c>
      <c r="D183" s="28" t="s">
        <v>1062</v>
      </c>
      <c r="E183" s="29" t="s">
        <v>26</v>
      </c>
      <c r="F183" s="30">
        <v>0</v>
      </c>
      <c r="G183" s="31">
        <v>41500</v>
      </c>
      <c r="H183" s="32">
        <v>26975</v>
      </c>
      <c r="I183" s="14">
        <v>35</v>
      </c>
      <c r="J183" s="33" t="s">
        <v>29</v>
      </c>
      <c r="K183" s="30" t="s">
        <v>738</v>
      </c>
      <c r="L183" s="29" t="s">
        <v>26</v>
      </c>
    </row>
    <row r="184" ht="20" customHeight="1" spans="1:12" x14ac:dyDescent="0.25">
      <c r="A184" s="7" t="s">
        <v>1063</v>
      </c>
      <c r="B184" s="7" t="s">
        <v>245</v>
      </c>
      <c r="C184" s="24">
        <f>IF(B184&lt;&gt;"",IFERROR(VLOOKUP(B184,'📦 Productos'!A:C,3,FALSE),IFERROR(VLOOKUP(B184&amp;"",'📦 Productos'!A:C,3,FALSE),IFERROR(VLOOKUP(VALUE(B184),'📦 Productos'!A:C,3,FALSE),""))),"")</f>
      </c>
      <c r="D184" s="7" t="s">
        <v>246</v>
      </c>
      <c r="E184" s="8" t="s">
        <v>26</v>
      </c>
      <c r="F184" s="12">
        <v>0</v>
      </c>
      <c r="G184" s="25">
        <v>41500</v>
      </c>
      <c r="H184" s="26">
        <v>26975</v>
      </c>
      <c r="I184" s="14">
        <v>35</v>
      </c>
      <c r="J184" s="27" t="s">
        <v>29</v>
      </c>
      <c r="K184" s="12" t="s">
        <v>738</v>
      </c>
      <c r="L184" s="8" t="s">
        <v>26</v>
      </c>
    </row>
    <row r="185" ht="20" customHeight="1" spans="1:12" x14ac:dyDescent="0.25">
      <c r="A185" s="28" t="s">
        <v>1064</v>
      </c>
      <c r="B185" s="28" t="s">
        <v>245</v>
      </c>
      <c r="C185" s="24">
        <f>IF(B185&lt;&gt;"",IFERROR(VLOOKUP(B185,'📦 Productos'!A:C,3,FALSE),IFERROR(VLOOKUP(B185&amp;"",'📦 Productos'!A:C,3,FALSE),IFERROR(VLOOKUP(VALUE(B185),'📦 Productos'!A:C,3,FALSE),""))),"")</f>
      </c>
      <c r="D185" s="28" t="s">
        <v>1065</v>
      </c>
      <c r="E185" s="29" t="s">
        <v>26</v>
      </c>
      <c r="F185" s="30">
        <v>0</v>
      </c>
      <c r="G185" s="31">
        <v>41500</v>
      </c>
      <c r="H185" s="32">
        <v>26975</v>
      </c>
      <c r="I185" s="14">
        <v>35</v>
      </c>
      <c r="J185" s="33" t="s">
        <v>29</v>
      </c>
      <c r="K185" s="30" t="s">
        <v>738</v>
      </c>
      <c r="L185" s="29" t="s">
        <v>26</v>
      </c>
    </row>
    <row r="186" ht="20" customHeight="1" spans="1:12" x14ac:dyDescent="0.25">
      <c r="A186" s="7" t="s">
        <v>1066</v>
      </c>
      <c r="B186" s="7" t="s">
        <v>245</v>
      </c>
      <c r="C186" s="24">
        <f>IF(B186&lt;&gt;"",IFERROR(VLOOKUP(B186,'📦 Productos'!A:C,3,FALSE),IFERROR(VLOOKUP(B186&amp;"",'📦 Productos'!A:C,3,FALSE),IFERROR(VLOOKUP(VALUE(B186),'📦 Productos'!A:C,3,FALSE),""))),"")</f>
      </c>
      <c r="D186" s="7" t="s">
        <v>1067</v>
      </c>
      <c r="E186" s="8" t="s">
        <v>26</v>
      </c>
      <c r="F186" s="12">
        <v>0</v>
      </c>
      <c r="G186" s="25">
        <v>41500</v>
      </c>
      <c r="H186" s="26">
        <v>26975</v>
      </c>
      <c r="I186" s="14">
        <v>35</v>
      </c>
      <c r="J186" s="27" t="s">
        <v>29</v>
      </c>
      <c r="K186" s="12" t="s">
        <v>738</v>
      </c>
      <c r="L186" s="8" t="s">
        <v>26</v>
      </c>
    </row>
    <row r="187" ht="20" customHeight="1" spans="1:12" x14ac:dyDescent="0.25">
      <c r="A187" s="28" t="s">
        <v>1068</v>
      </c>
      <c r="B187" s="28" t="s">
        <v>245</v>
      </c>
      <c r="C187" s="24">
        <f>IF(B187&lt;&gt;"",IFERROR(VLOOKUP(B187,'📦 Productos'!A:C,3,FALSE),IFERROR(VLOOKUP(B187&amp;"",'📦 Productos'!A:C,3,FALSE),IFERROR(VLOOKUP(VALUE(B187),'📦 Productos'!A:C,3,FALSE),""))),"")</f>
      </c>
      <c r="D187" s="28" t="s">
        <v>1069</v>
      </c>
      <c r="E187" s="29" t="s">
        <v>26</v>
      </c>
      <c r="F187" s="30">
        <v>0</v>
      </c>
      <c r="G187" s="31">
        <v>41500</v>
      </c>
      <c r="H187" s="32">
        <v>26975</v>
      </c>
      <c r="I187" s="14">
        <v>35</v>
      </c>
      <c r="J187" s="33" t="s">
        <v>29</v>
      </c>
      <c r="K187" s="30" t="s">
        <v>738</v>
      </c>
      <c r="L187" s="29" t="s">
        <v>26</v>
      </c>
    </row>
    <row r="188" ht="20" customHeight="1" spans="1:12" x14ac:dyDescent="0.25">
      <c r="A188" s="7" t="s">
        <v>1070</v>
      </c>
      <c r="B188" s="7" t="s">
        <v>245</v>
      </c>
      <c r="C188" s="24">
        <f>IF(B188&lt;&gt;"",IFERROR(VLOOKUP(B188,'📦 Productos'!A:C,3,FALSE),IFERROR(VLOOKUP(B188&amp;"",'📦 Productos'!A:C,3,FALSE),IFERROR(VLOOKUP(VALUE(B188),'📦 Productos'!A:C,3,FALSE),""))),"")</f>
      </c>
      <c r="D188" s="7" t="s">
        <v>1071</v>
      </c>
      <c r="E188" s="8" t="s">
        <v>26</v>
      </c>
      <c r="F188" s="12">
        <v>0</v>
      </c>
      <c r="G188" s="25">
        <v>41500</v>
      </c>
      <c r="H188" s="26">
        <v>26975</v>
      </c>
      <c r="I188" s="14">
        <v>35</v>
      </c>
      <c r="J188" s="27" t="s">
        <v>29</v>
      </c>
      <c r="K188" s="12" t="s">
        <v>738</v>
      </c>
      <c r="L188" s="8" t="s">
        <v>26</v>
      </c>
    </row>
    <row r="189" ht="20" customHeight="1" spans="1:12" x14ac:dyDescent="0.25">
      <c r="A189" s="28" t="s">
        <v>1072</v>
      </c>
      <c r="B189" s="28" t="s">
        <v>257</v>
      </c>
      <c r="C189" s="24">
        <f>IF(B189&lt;&gt;"",IFERROR(VLOOKUP(B189,'📦 Productos'!A:C,3,FALSE),IFERROR(VLOOKUP(B189&amp;"",'📦 Productos'!A:C,3,FALSE),IFERROR(VLOOKUP(VALUE(B189),'📦 Productos'!A:C,3,FALSE),""))),"")</f>
      </c>
      <c r="D189" s="28" t="s">
        <v>258</v>
      </c>
      <c r="E189" s="29" t="s">
        <v>26</v>
      </c>
      <c r="F189" s="30">
        <v>0</v>
      </c>
      <c r="G189" s="31">
        <v>32600</v>
      </c>
      <c r="H189" s="32">
        <v>21190</v>
      </c>
      <c r="I189" s="14">
        <v>35</v>
      </c>
      <c r="J189" s="33" t="s">
        <v>29</v>
      </c>
      <c r="K189" s="30" t="s">
        <v>738</v>
      </c>
      <c r="L189" s="29" t="s">
        <v>26</v>
      </c>
    </row>
    <row r="190" ht="20" customHeight="1" spans="1:12" x14ac:dyDescent="0.25">
      <c r="A190" s="7" t="s">
        <v>1073</v>
      </c>
      <c r="B190" s="7" t="s">
        <v>257</v>
      </c>
      <c r="C190" s="24">
        <f>IF(B190&lt;&gt;"",IFERROR(VLOOKUP(B190,'📦 Productos'!A:C,3,FALSE),IFERROR(VLOOKUP(B190&amp;"",'📦 Productos'!A:C,3,FALSE),IFERROR(VLOOKUP(VALUE(B190),'📦 Productos'!A:C,3,FALSE),""))),"")</f>
      </c>
      <c r="D190" s="7" t="s">
        <v>258</v>
      </c>
      <c r="E190" s="8" t="s">
        <v>26</v>
      </c>
      <c r="F190" s="12">
        <v>0</v>
      </c>
      <c r="G190" s="25">
        <v>32600</v>
      </c>
      <c r="H190" s="26">
        <v>21190</v>
      </c>
      <c r="I190" s="14">
        <v>35</v>
      </c>
      <c r="J190" s="27" t="s">
        <v>29</v>
      </c>
      <c r="K190" s="12" t="s">
        <v>738</v>
      </c>
      <c r="L190" s="8" t="s">
        <v>26</v>
      </c>
    </row>
    <row r="191" ht="20" customHeight="1" spans="1:12" x14ac:dyDescent="0.25">
      <c r="A191" s="28" t="s">
        <v>1074</v>
      </c>
      <c r="B191" s="28" t="s">
        <v>264</v>
      </c>
      <c r="C191" s="24">
        <f>IF(B191&lt;&gt;"",IFERROR(VLOOKUP(B191,'📦 Productos'!A:C,3,FALSE),IFERROR(VLOOKUP(B191&amp;"",'📦 Productos'!A:C,3,FALSE),IFERROR(VLOOKUP(VALUE(B191),'📦 Productos'!A:C,3,FALSE),""))),"")</f>
      </c>
      <c r="D191" s="28" t="s">
        <v>26</v>
      </c>
      <c r="E191" s="29" t="s">
        <v>26</v>
      </c>
      <c r="F191" s="30">
        <v>0</v>
      </c>
      <c r="G191" s="31">
        <v>31600</v>
      </c>
      <c r="H191" s="32">
        <v>15800</v>
      </c>
      <c r="I191" s="14">
        <v>50</v>
      </c>
      <c r="J191" s="33" t="s">
        <v>29</v>
      </c>
      <c r="K191" s="30" t="s">
        <v>738</v>
      </c>
      <c r="L191" s="29" t="s">
        <v>26</v>
      </c>
    </row>
    <row r="192" ht="20" customHeight="1" spans="1:12" x14ac:dyDescent="0.25">
      <c r="A192" s="7" t="s">
        <v>1075</v>
      </c>
      <c r="B192" s="7" t="s">
        <v>264</v>
      </c>
      <c r="C192" s="24">
        <f>IF(B192&lt;&gt;"",IFERROR(VLOOKUP(B192,'📦 Productos'!A:C,3,FALSE),IFERROR(VLOOKUP(B192&amp;"",'📦 Productos'!A:C,3,FALSE),IFERROR(VLOOKUP(VALUE(B192),'📦 Productos'!A:C,3,FALSE),""))),"")</f>
      </c>
      <c r="D192" s="7" t="s">
        <v>26</v>
      </c>
      <c r="E192" s="8" t="s">
        <v>26</v>
      </c>
      <c r="F192" s="12">
        <v>0</v>
      </c>
      <c r="G192" s="25">
        <v>31600</v>
      </c>
      <c r="H192" s="26">
        <v>15800</v>
      </c>
      <c r="I192" s="14">
        <v>50</v>
      </c>
      <c r="J192" s="27" t="s">
        <v>29</v>
      </c>
      <c r="K192" s="12" t="s">
        <v>738</v>
      </c>
      <c r="L192" s="8" t="s">
        <v>26</v>
      </c>
    </row>
    <row r="193" ht="20" customHeight="1" spans="1:12" x14ac:dyDescent="0.25">
      <c r="A193" s="28" t="s">
        <v>1076</v>
      </c>
      <c r="B193" s="28" t="s">
        <v>271</v>
      </c>
      <c r="C193" s="24">
        <f>IF(B193&lt;&gt;"",IFERROR(VLOOKUP(B193,'📦 Productos'!A:C,3,FALSE),IFERROR(VLOOKUP(B193&amp;"",'📦 Productos'!A:C,3,FALSE),IFERROR(VLOOKUP(VALUE(B193),'📦 Productos'!A:C,3,FALSE),""))),"")</f>
      </c>
      <c r="D193" s="28" t="s">
        <v>272</v>
      </c>
      <c r="E193" s="29" t="s">
        <v>26</v>
      </c>
      <c r="F193" s="30">
        <v>0</v>
      </c>
      <c r="G193" s="31">
        <v>28400</v>
      </c>
      <c r="H193" s="32"/>
      <c r="I193" s="14">
        <v>0</v>
      </c>
      <c r="J193" s="33" t="s">
        <v>29</v>
      </c>
      <c r="K193" s="30" t="s">
        <v>738</v>
      </c>
      <c r="L193" s="29" t="s">
        <v>26</v>
      </c>
    </row>
    <row r="194" ht="20" customHeight="1" spans="1:12" x14ac:dyDescent="0.25">
      <c r="A194" s="7" t="s">
        <v>1077</v>
      </c>
      <c r="B194" s="7" t="s">
        <v>271</v>
      </c>
      <c r="C194" s="24">
        <f>IF(B194&lt;&gt;"",IFERROR(VLOOKUP(B194,'📦 Productos'!A:C,3,FALSE),IFERROR(VLOOKUP(B194&amp;"",'📦 Productos'!A:C,3,FALSE),IFERROR(VLOOKUP(VALUE(B194),'📦 Productos'!A:C,3,FALSE),""))),"")</f>
      </c>
      <c r="D194" s="7" t="s">
        <v>1078</v>
      </c>
      <c r="E194" s="8" t="s">
        <v>26</v>
      </c>
      <c r="F194" s="12">
        <v>0</v>
      </c>
      <c r="G194" s="25">
        <v>28400</v>
      </c>
      <c r="H194" s="26"/>
      <c r="I194" s="14">
        <v>0</v>
      </c>
      <c r="J194" s="27" t="s">
        <v>29</v>
      </c>
      <c r="K194" s="12" t="s">
        <v>738</v>
      </c>
      <c r="L194" s="8" t="s">
        <v>26</v>
      </c>
    </row>
    <row r="195" ht="20" customHeight="1" spans="1:12" x14ac:dyDescent="0.25">
      <c r="A195" s="28" t="s">
        <v>1079</v>
      </c>
      <c r="B195" s="28" t="s">
        <v>271</v>
      </c>
      <c r="C195" s="24">
        <f>IF(B195&lt;&gt;"",IFERROR(VLOOKUP(B195,'📦 Productos'!A:C,3,FALSE),IFERROR(VLOOKUP(B195&amp;"",'📦 Productos'!A:C,3,FALSE),IFERROR(VLOOKUP(VALUE(B195),'📦 Productos'!A:C,3,FALSE),""))),"")</f>
      </c>
      <c r="D195" s="28" t="s">
        <v>1080</v>
      </c>
      <c r="E195" s="29" t="s">
        <v>26</v>
      </c>
      <c r="F195" s="30">
        <v>0</v>
      </c>
      <c r="G195" s="31">
        <v>28400</v>
      </c>
      <c r="H195" s="32">
        <v>14200</v>
      </c>
      <c r="I195" s="14">
        <v>50</v>
      </c>
      <c r="J195" s="33" t="s">
        <v>29</v>
      </c>
      <c r="K195" s="30" t="s">
        <v>738</v>
      </c>
      <c r="L195" s="29" t="s">
        <v>26</v>
      </c>
    </row>
    <row r="196" ht="20" customHeight="1" spans="1:12" x14ac:dyDescent="0.25">
      <c r="A196" s="7" t="s">
        <v>1081</v>
      </c>
      <c r="B196" s="7" t="s">
        <v>286</v>
      </c>
      <c r="C196" s="24">
        <f>IF(B196&lt;&gt;"",IFERROR(VLOOKUP(B196,'📦 Productos'!A:C,3,FALSE),IFERROR(VLOOKUP(B196&amp;"",'📦 Productos'!A:C,3,FALSE),IFERROR(VLOOKUP(VALUE(B196),'📦 Productos'!A:C,3,FALSE),""))),"")</f>
      </c>
      <c r="D196" s="7" t="s">
        <v>26</v>
      </c>
      <c r="E196" s="8" t="s">
        <v>26</v>
      </c>
      <c r="F196" s="12">
        <v>0</v>
      </c>
      <c r="G196" s="25">
        <v>30700</v>
      </c>
      <c r="H196" s="26"/>
      <c r="I196" s="14">
        <v>0</v>
      </c>
      <c r="J196" s="27" t="s">
        <v>29</v>
      </c>
      <c r="K196" s="12" t="s">
        <v>738</v>
      </c>
      <c r="L196" s="8" t="s">
        <v>26</v>
      </c>
    </row>
    <row r="197" ht="20" customHeight="1" spans="1:12" x14ac:dyDescent="0.25">
      <c r="A197" s="28" t="s">
        <v>1082</v>
      </c>
      <c r="B197" s="28" t="s">
        <v>286</v>
      </c>
      <c r="C197" s="24">
        <f>IF(B197&lt;&gt;"",IFERROR(VLOOKUP(B197,'📦 Productos'!A:C,3,FALSE),IFERROR(VLOOKUP(B197&amp;"",'📦 Productos'!A:C,3,FALSE),IFERROR(VLOOKUP(VALUE(B197),'📦 Productos'!A:C,3,FALSE),""))),"")</f>
      </c>
      <c r="D197" s="28" t="s">
        <v>26</v>
      </c>
      <c r="E197" s="29" t="s">
        <v>26</v>
      </c>
      <c r="F197" s="30">
        <v>0</v>
      </c>
      <c r="G197" s="31">
        <v>30700</v>
      </c>
      <c r="H197" s="32">
        <v>15350</v>
      </c>
      <c r="I197" s="14">
        <v>50</v>
      </c>
      <c r="J197" s="33" t="s">
        <v>29</v>
      </c>
      <c r="K197" s="30" t="s">
        <v>738</v>
      </c>
      <c r="L197" s="29" t="s">
        <v>26</v>
      </c>
    </row>
    <row r="198" ht="20" customHeight="1" spans="1:12" x14ac:dyDescent="0.25">
      <c r="A198" s="7" t="s">
        <v>1083</v>
      </c>
      <c r="B198" s="7" t="s">
        <v>288</v>
      </c>
      <c r="C198" s="24">
        <f>IF(B198&lt;&gt;"",IFERROR(VLOOKUP(B198,'📦 Productos'!A:C,3,FALSE),IFERROR(VLOOKUP(B198&amp;"",'📦 Productos'!A:C,3,FALSE),IFERROR(VLOOKUP(VALUE(B198),'📦 Productos'!A:C,3,FALSE),""))),"")</f>
      </c>
      <c r="D198" s="7" t="s">
        <v>289</v>
      </c>
      <c r="E198" s="8" t="s">
        <v>26</v>
      </c>
      <c r="F198" s="12">
        <v>0</v>
      </c>
      <c r="G198" s="25">
        <v>32500</v>
      </c>
      <c r="H198" s="26">
        <v>16250</v>
      </c>
      <c r="I198" s="14">
        <v>50</v>
      </c>
      <c r="J198" s="27" t="s">
        <v>29</v>
      </c>
      <c r="K198" s="12" t="s">
        <v>738</v>
      </c>
      <c r="L198" s="8" t="s">
        <v>26</v>
      </c>
    </row>
    <row r="199" ht="20" customHeight="1" spans="1:12" x14ac:dyDescent="0.25">
      <c r="A199" s="28" t="s">
        <v>1084</v>
      </c>
      <c r="B199" s="28" t="s">
        <v>288</v>
      </c>
      <c r="C199" s="24">
        <f>IF(B199&lt;&gt;"",IFERROR(VLOOKUP(B199,'📦 Productos'!A:C,3,FALSE),IFERROR(VLOOKUP(B199&amp;"",'📦 Productos'!A:C,3,FALSE),IFERROR(VLOOKUP(VALUE(B199),'📦 Productos'!A:C,3,FALSE),""))),"")</f>
      </c>
      <c r="D199" s="28" t="s">
        <v>1085</v>
      </c>
      <c r="E199" s="29" t="s">
        <v>26</v>
      </c>
      <c r="F199" s="30">
        <v>0</v>
      </c>
      <c r="G199" s="31">
        <v>31500</v>
      </c>
      <c r="H199" s="32">
        <v>20475</v>
      </c>
      <c r="I199" s="14">
        <v>35</v>
      </c>
      <c r="J199" s="33" t="s">
        <v>29</v>
      </c>
      <c r="K199" s="30" t="s">
        <v>738</v>
      </c>
      <c r="L199" s="29" t="s">
        <v>26</v>
      </c>
    </row>
    <row r="200" ht="20" customHeight="1" spans="1:12" x14ac:dyDescent="0.25">
      <c r="A200" s="7" t="s">
        <v>1086</v>
      </c>
      <c r="B200" s="7" t="s">
        <v>288</v>
      </c>
      <c r="C200" s="24">
        <f>IF(B200&lt;&gt;"",IFERROR(VLOOKUP(B200,'📦 Productos'!A:C,3,FALSE),IFERROR(VLOOKUP(B200&amp;"",'📦 Productos'!A:C,3,FALSE),IFERROR(VLOOKUP(VALUE(B200),'📦 Productos'!A:C,3,FALSE),""))),"")</f>
      </c>
      <c r="D200" s="7" t="s">
        <v>1087</v>
      </c>
      <c r="E200" s="8" t="s">
        <v>26</v>
      </c>
      <c r="F200" s="12">
        <v>0</v>
      </c>
      <c r="G200" s="25">
        <v>31500</v>
      </c>
      <c r="H200" s="26">
        <v>20475</v>
      </c>
      <c r="I200" s="14">
        <v>35</v>
      </c>
      <c r="J200" s="27" t="s">
        <v>29</v>
      </c>
      <c r="K200" s="12" t="s">
        <v>738</v>
      </c>
      <c r="L200" s="8" t="s">
        <v>26</v>
      </c>
    </row>
    <row r="201" ht="20" customHeight="1" spans="1:12" x14ac:dyDescent="0.25">
      <c r="A201" s="28" t="s">
        <v>1088</v>
      </c>
      <c r="B201" s="28" t="s">
        <v>288</v>
      </c>
      <c r="C201" s="24">
        <f>IF(B201&lt;&gt;"",IFERROR(VLOOKUP(B201,'📦 Productos'!A:C,3,FALSE),IFERROR(VLOOKUP(B201&amp;"",'📦 Productos'!A:C,3,FALSE),IFERROR(VLOOKUP(VALUE(B201),'📦 Productos'!A:C,3,FALSE),""))),"")</f>
      </c>
      <c r="D201" s="28" t="s">
        <v>1089</v>
      </c>
      <c r="E201" s="29" t="s">
        <v>26</v>
      </c>
      <c r="F201" s="30">
        <v>0</v>
      </c>
      <c r="G201" s="31">
        <v>31500</v>
      </c>
      <c r="H201" s="32">
        <v>20475</v>
      </c>
      <c r="I201" s="14">
        <v>35</v>
      </c>
      <c r="J201" s="33" t="s">
        <v>29</v>
      </c>
      <c r="K201" s="30" t="s">
        <v>738</v>
      </c>
      <c r="L201" s="29" t="s">
        <v>26</v>
      </c>
    </row>
    <row r="202" ht="20" customHeight="1" spans="1:12" x14ac:dyDescent="0.25">
      <c r="A202" s="7" t="s">
        <v>1090</v>
      </c>
      <c r="B202" s="7" t="s">
        <v>292</v>
      </c>
      <c r="C202" s="24">
        <f>IF(B202&lt;&gt;"",IFERROR(VLOOKUP(B202,'📦 Productos'!A:C,3,FALSE),IFERROR(VLOOKUP(B202&amp;"",'📦 Productos'!A:C,3,FALSE),IFERROR(VLOOKUP(VALUE(B202),'📦 Productos'!A:C,3,FALSE),""))),"")</f>
      </c>
      <c r="D202" s="7" t="s">
        <v>293</v>
      </c>
      <c r="E202" s="8" t="s">
        <v>26</v>
      </c>
      <c r="F202" s="12">
        <v>0</v>
      </c>
      <c r="G202" s="25">
        <v>26900</v>
      </c>
      <c r="H202" s="26">
        <v>17485</v>
      </c>
      <c r="I202" s="14">
        <v>35</v>
      </c>
      <c r="J202" s="27" t="s">
        <v>29</v>
      </c>
      <c r="K202" s="12" t="s">
        <v>738</v>
      </c>
      <c r="L202" s="8" t="s">
        <v>26</v>
      </c>
    </row>
    <row r="203" ht="20" customHeight="1" spans="1:12" x14ac:dyDescent="0.25">
      <c r="A203" s="28" t="s">
        <v>1091</v>
      </c>
      <c r="B203" s="28" t="s">
        <v>292</v>
      </c>
      <c r="C203" s="24">
        <f>IF(B203&lt;&gt;"",IFERROR(VLOOKUP(B203,'📦 Productos'!A:C,3,FALSE),IFERROR(VLOOKUP(B203&amp;"",'📦 Productos'!A:C,3,FALSE),IFERROR(VLOOKUP(VALUE(B203),'📦 Productos'!A:C,3,FALSE),""))),"")</f>
      </c>
      <c r="D203" s="28" t="s">
        <v>1092</v>
      </c>
      <c r="E203" s="29" t="s">
        <v>26</v>
      </c>
      <c r="F203" s="30">
        <v>0</v>
      </c>
      <c r="G203" s="31">
        <v>26900</v>
      </c>
      <c r="H203" s="32">
        <v>13450</v>
      </c>
      <c r="I203" s="14">
        <v>50</v>
      </c>
      <c r="J203" s="33" t="s">
        <v>29</v>
      </c>
      <c r="K203" s="30" t="s">
        <v>738</v>
      </c>
      <c r="L203" s="29" t="s">
        <v>26</v>
      </c>
    </row>
    <row r="204" ht="20" customHeight="1" spans="1:12" x14ac:dyDescent="0.25">
      <c r="A204" s="7" t="s">
        <v>1093</v>
      </c>
      <c r="B204" s="7" t="s">
        <v>292</v>
      </c>
      <c r="C204" s="24">
        <f>IF(B204&lt;&gt;"",IFERROR(VLOOKUP(B204,'📦 Productos'!A:C,3,FALSE),IFERROR(VLOOKUP(B204&amp;"",'📦 Productos'!A:C,3,FALSE),IFERROR(VLOOKUP(VALUE(B204),'📦 Productos'!A:C,3,FALSE),""))),"")</f>
      </c>
      <c r="D204" s="7" t="s">
        <v>1094</v>
      </c>
      <c r="E204" s="8" t="s">
        <v>26</v>
      </c>
      <c r="F204" s="12">
        <v>0</v>
      </c>
      <c r="G204" s="25">
        <v>26900</v>
      </c>
      <c r="H204" s="26">
        <v>13450</v>
      </c>
      <c r="I204" s="14">
        <v>50</v>
      </c>
      <c r="J204" s="27" t="s">
        <v>29</v>
      </c>
      <c r="K204" s="12" t="s">
        <v>738</v>
      </c>
      <c r="L204" s="8" t="s">
        <v>26</v>
      </c>
    </row>
    <row r="205" ht="20" customHeight="1" spans="1:12" x14ac:dyDescent="0.25">
      <c r="A205" s="28" t="s">
        <v>1095</v>
      </c>
      <c r="B205" s="28" t="s">
        <v>292</v>
      </c>
      <c r="C205" s="24">
        <f>IF(B205&lt;&gt;"",IFERROR(VLOOKUP(B205,'📦 Productos'!A:C,3,FALSE),IFERROR(VLOOKUP(B205&amp;"",'📦 Productos'!A:C,3,FALSE),IFERROR(VLOOKUP(VALUE(B205),'📦 Productos'!A:C,3,FALSE),""))),"")</f>
      </c>
      <c r="D205" s="28" t="s">
        <v>1096</v>
      </c>
      <c r="E205" s="29" t="s">
        <v>26</v>
      </c>
      <c r="F205" s="30">
        <v>0</v>
      </c>
      <c r="G205" s="31">
        <v>26900</v>
      </c>
      <c r="H205" s="32">
        <v>17485</v>
      </c>
      <c r="I205" s="14">
        <v>35</v>
      </c>
      <c r="J205" s="33" t="s">
        <v>29</v>
      </c>
      <c r="K205" s="30" t="s">
        <v>738</v>
      </c>
      <c r="L205" s="29" t="s">
        <v>26</v>
      </c>
    </row>
    <row r="206" ht="20" customHeight="1" spans="1:12" x14ac:dyDescent="0.25">
      <c r="A206" s="7" t="s">
        <v>1097</v>
      </c>
      <c r="B206" s="7" t="s">
        <v>292</v>
      </c>
      <c r="C206" s="24">
        <f>IF(B206&lt;&gt;"",IFERROR(VLOOKUP(B206,'📦 Productos'!A:C,3,FALSE),IFERROR(VLOOKUP(B206&amp;"",'📦 Productos'!A:C,3,FALSE),IFERROR(VLOOKUP(VALUE(B206),'📦 Productos'!A:C,3,FALSE),""))),"")</f>
      </c>
      <c r="D206" s="7" t="s">
        <v>1098</v>
      </c>
      <c r="E206" s="8" t="s">
        <v>26</v>
      </c>
      <c r="F206" s="12">
        <v>0</v>
      </c>
      <c r="G206" s="25">
        <v>26900</v>
      </c>
      <c r="H206" s="26">
        <v>17485</v>
      </c>
      <c r="I206" s="14">
        <v>35</v>
      </c>
      <c r="J206" s="27" t="s">
        <v>29</v>
      </c>
      <c r="K206" s="12" t="s">
        <v>738</v>
      </c>
      <c r="L206" s="8" t="s">
        <v>26</v>
      </c>
    </row>
    <row r="207" ht="20" customHeight="1" spans="1:12" x14ac:dyDescent="0.25">
      <c r="A207" s="28" t="s">
        <v>1099</v>
      </c>
      <c r="B207" s="28" t="s">
        <v>292</v>
      </c>
      <c r="C207" s="24">
        <f>IF(B207&lt;&gt;"",IFERROR(VLOOKUP(B207,'📦 Productos'!A:C,3,FALSE),IFERROR(VLOOKUP(B207&amp;"",'📦 Productos'!A:C,3,FALSE),IFERROR(VLOOKUP(VALUE(B207),'📦 Productos'!A:C,3,FALSE),""))),"")</f>
      </c>
      <c r="D207" s="28" t="s">
        <v>1100</v>
      </c>
      <c r="E207" s="29" t="s">
        <v>26</v>
      </c>
      <c r="F207" s="30">
        <v>0</v>
      </c>
      <c r="G207" s="31">
        <v>26900</v>
      </c>
      <c r="H207" s="32">
        <v>17485</v>
      </c>
      <c r="I207" s="14">
        <v>35</v>
      </c>
      <c r="J207" s="33" t="s">
        <v>29</v>
      </c>
      <c r="K207" s="30" t="s">
        <v>738</v>
      </c>
      <c r="L207" s="29" t="s">
        <v>26</v>
      </c>
    </row>
    <row r="208" ht="20" customHeight="1" spans="1:12" x14ac:dyDescent="0.25">
      <c r="A208" s="7" t="s">
        <v>1101</v>
      </c>
      <c r="B208" s="7" t="s">
        <v>292</v>
      </c>
      <c r="C208" s="24">
        <f>IF(B208&lt;&gt;"",IFERROR(VLOOKUP(B208,'📦 Productos'!A:C,3,FALSE),IFERROR(VLOOKUP(B208&amp;"",'📦 Productos'!A:C,3,FALSE),IFERROR(VLOOKUP(VALUE(B208),'📦 Productos'!A:C,3,FALSE),""))),"")</f>
      </c>
      <c r="D208" s="7" t="s">
        <v>1102</v>
      </c>
      <c r="E208" s="8" t="s">
        <v>26</v>
      </c>
      <c r="F208" s="12">
        <v>0</v>
      </c>
      <c r="G208" s="25">
        <v>26900</v>
      </c>
      <c r="H208" s="26">
        <v>17485</v>
      </c>
      <c r="I208" s="14">
        <v>35</v>
      </c>
      <c r="J208" s="27" t="s">
        <v>29</v>
      </c>
      <c r="K208" s="12" t="s">
        <v>738</v>
      </c>
      <c r="L208" s="8" t="s">
        <v>26</v>
      </c>
    </row>
    <row r="209" ht="20" customHeight="1" spans="1:12" x14ac:dyDescent="0.25">
      <c r="A209" s="28" t="s">
        <v>1103</v>
      </c>
      <c r="B209" s="28" t="s">
        <v>292</v>
      </c>
      <c r="C209" s="24">
        <f>IF(B209&lt;&gt;"",IFERROR(VLOOKUP(B209,'📦 Productos'!A:C,3,FALSE),IFERROR(VLOOKUP(B209&amp;"",'📦 Productos'!A:C,3,FALSE),IFERROR(VLOOKUP(VALUE(B209),'📦 Productos'!A:C,3,FALSE),""))),"")</f>
      </c>
      <c r="D209" s="28" t="s">
        <v>1104</v>
      </c>
      <c r="E209" s="29" t="s">
        <v>26</v>
      </c>
      <c r="F209" s="30">
        <v>0</v>
      </c>
      <c r="G209" s="31">
        <v>26900</v>
      </c>
      <c r="H209" s="32">
        <v>17485</v>
      </c>
      <c r="I209" s="14">
        <v>35</v>
      </c>
      <c r="J209" s="33" t="s">
        <v>29</v>
      </c>
      <c r="K209" s="30" t="s">
        <v>738</v>
      </c>
      <c r="L209" s="29" t="s">
        <v>26</v>
      </c>
    </row>
    <row r="210" ht="20" customHeight="1" spans="1:12" x14ac:dyDescent="0.25">
      <c r="A210" s="7" t="s">
        <v>1105</v>
      </c>
      <c r="B210" s="7" t="s">
        <v>292</v>
      </c>
      <c r="C210" s="24">
        <f>IF(B210&lt;&gt;"",IFERROR(VLOOKUP(B210,'📦 Productos'!A:C,3,FALSE),IFERROR(VLOOKUP(B210&amp;"",'📦 Productos'!A:C,3,FALSE),IFERROR(VLOOKUP(VALUE(B210),'📦 Productos'!A:C,3,FALSE),""))),"")</f>
      </c>
      <c r="D210" s="7" t="s">
        <v>1106</v>
      </c>
      <c r="E210" s="8" t="s">
        <v>26</v>
      </c>
      <c r="F210" s="12">
        <v>0</v>
      </c>
      <c r="G210" s="25">
        <v>26900</v>
      </c>
      <c r="H210" s="26">
        <v>17485</v>
      </c>
      <c r="I210" s="14">
        <v>35</v>
      </c>
      <c r="J210" s="27" t="s">
        <v>29</v>
      </c>
      <c r="K210" s="12" t="s">
        <v>738</v>
      </c>
      <c r="L210" s="8" t="s">
        <v>26</v>
      </c>
    </row>
    <row r="211" ht="20" customHeight="1" spans="1:12" x14ac:dyDescent="0.25">
      <c r="A211" s="28" t="s">
        <v>1107</v>
      </c>
      <c r="B211" s="28" t="s">
        <v>292</v>
      </c>
      <c r="C211" s="24">
        <f>IF(B211&lt;&gt;"",IFERROR(VLOOKUP(B211,'📦 Productos'!A:C,3,FALSE),IFERROR(VLOOKUP(B211&amp;"",'📦 Productos'!A:C,3,FALSE),IFERROR(VLOOKUP(VALUE(B211),'📦 Productos'!A:C,3,FALSE),""))),"")</f>
      </c>
      <c r="D211" s="28" t="s">
        <v>1108</v>
      </c>
      <c r="E211" s="29" t="s">
        <v>26</v>
      </c>
      <c r="F211" s="30">
        <v>0</v>
      </c>
      <c r="G211" s="31">
        <v>26900</v>
      </c>
      <c r="H211" s="32">
        <v>17485</v>
      </c>
      <c r="I211" s="14">
        <v>35</v>
      </c>
      <c r="J211" s="33" t="s">
        <v>29</v>
      </c>
      <c r="K211" s="30" t="s">
        <v>738</v>
      </c>
      <c r="L211" s="29" t="s">
        <v>26</v>
      </c>
    </row>
    <row r="212" ht="20" customHeight="1" spans="1:12" x14ac:dyDescent="0.25">
      <c r="A212" s="7" t="s">
        <v>1109</v>
      </c>
      <c r="B212" s="7" t="s">
        <v>292</v>
      </c>
      <c r="C212" s="24">
        <f>IF(B212&lt;&gt;"",IFERROR(VLOOKUP(B212,'📦 Productos'!A:C,3,FALSE),IFERROR(VLOOKUP(B212&amp;"",'📦 Productos'!A:C,3,FALSE),IFERROR(VLOOKUP(VALUE(B212),'📦 Productos'!A:C,3,FALSE),""))),"")</f>
      </c>
      <c r="D212" s="7" t="s">
        <v>1110</v>
      </c>
      <c r="E212" s="8" t="s">
        <v>26</v>
      </c>
      <c r="F212" s="12">
        <v>0</v>
      </c>
      <c r="G212" s="25">
        <v>26900</v>
      </c>
      <c r="H212" s="26">
        <v>17485</v>
      </c>
      <c r="I212" s="14">
        <v>35</v>
      </c>
      <c r="J212" s="27" t="s">
        <v>29</v>
      </c>
      <c r="K212" s="12" t="s">
        <v>738</v>
      </c>
      <c r="L212" s="8" t="s">
        <v>26</v>
      </c>
    </row>
    <row r="213" ht="20" customHeight="1" spans="1:12" x14ac:dyDescent="0.25">
      <c r="A213" s="28" t="s">
        <v>1111</v>
      </c>
      <c r="B213" s="28" t="s">
        <v>292</v>
      </c>
      <c r="C213" s="24">
        <f>IF(B213&lt;&gt;"",IFERROR(VLOOKUP(B213,'📦 Productos'!A:C,3,FALSE),IFERROR(VLOOKUP(B213&amp;"",'📦 Productos'!A:C,3,FALSE),IFERROR(VLOOKUP(VALUE(B213),'📦 Productos'!A:C,3,FALSE),""))),"")</f>
      </c>
      <c r="D213" s="28" t="s">
        <v>1112</v>
      </c>
      <c r="E213" s="29" t="s">
        <v>26</v>
      </c>
      <c r="F213" s="30">
        <v>0</v>
      </c>
      <c r="G213" s="31">
        <v>26900</v>
      </c>
      <c r="H213" s="32">
        <v>17485</v>
      </c>
      <c r="I213" s="14">
        <v>35</v>
      </c>
      <c r="J213" s="33" t="s">
        <v>29</v>
      </c>
      <c r="K213" s="30" t="s">
        <v>738</v>
      </c>
      <c r="L213" s="29" t="s">
        <v>26</v>
      </c>
    </row>
    <row r="214" ht="20" customHeight="1" spans="1:12" x14ac:dyDescent="0.25">
      <c r="A214" s="7" t="s">
        <v>1113</v>
      </c>
      <c r="B214" s="7" t="s">
        <v>292</v>
      </c>
      <c r="C214" s="24">
        <f>IF(B214&lt;&gt;"",IFERROR(VLOOKUP(B214,'📦 Productos'!A:C,3,FALSE),IFERROR(VLOOKUP(B214&amp;"",'📦 Productos'!A:C,3,FALSE),IFERROR(VLOOKUP(VALUE(B214),'📦 Productos'!A:C,3,FALSE),""))),"")</f>
      </c>
      <c r="D214" s="7" t="s">
        <v>1114</v>
      </c>
      <c r="E214" s="8" t="s">
        <v>26</v>
      </c>
      <c r="F214" s="12">
        <v>0</v>
      </c>
      <c r="G214" s="25">
        <v>26900</v>
      </c>
      <c r="H214" s="26">
        <v>13450</v>
      </c>
      <c r="I214" s="14">
        <v>50</v>
      </c>
      <c r="J214" s="27" t="s">
        <v>29</v>
      </c>
      <c r="K214" s="12" t="s">
        <v>738</v>
      </c>
      <c r="L214" s="8" t="s">
        <v>26</v>
      </c>
    </row>
    <row r="215" ht="20" customHeight="1" spans="1:12" x14ac:dyDescent="0.25">
      <c r="A215" s="28" t="s">
        <v>1115</v>
      </c>
      <c r="B215" s="28" t="s">
        <v>292</v>
      </c>
      <c r="C215" s="24">
        <f>IF(B215&lt;&gt;"",IFERROR(VLOOKUP(B215,'📦 Productos'!A:C,3,FALSE),IFERROR(VLOOKUP(B215&amp;"",'📦 Productos'!A:C,3,FALSE),IFERROR(VLOOKUP(VALUE(B215),'📦 Productos'!A:C,3,FALSE),""))),"")</f>
      </c>
      <c r="D215" s="28" t="s">
        <v>1116</v>
      </c>
      <c r="E215" s="29" t="s">
        <v>26</v>
      </c>
      <c r="F215" s="30">
        <v>0</v>
      </c>
      <c r="G215" s="31">
        <v>26900</v>
      </c>
      <c r="H215" s="32">
        <v>17485</v>
      </c>
      <c r="I215" s="14">
        <v>35</v>
      </c>
      <c r="J215" s="33" t="s">
        <v>29</v>
      </c>
      <c r="K215" s="30" t="s">
        <v>738</v>
      </c>
      <c r="L215" s="29" t="s">
        <v>26</v>
      </c>
    </row>
    <row r="216" ht="20" customHeight="1" spans="1:12" x14ac:dyDescent="0.25">
      <c r="A216" s="7" t="s">
        <v>1117</v>
      </c>
      <c r="B216" s="7" t="s">
        <v>292</v>
      </c>
      <c r="C216" s="24">
        <f>IF(B216&lt;&gt;"",IFERROR(VLOOKUP(B216,'📦 Productos'!A:C,3,FALSE),IFERROR(VLOOKUP(B216&amp;"",'📦 Productos'!A:C,3,FALSE),IFERROR(VLOOKUP(VALUE(B216),'📦 Productos'!A:C,3,FALSE),""))),"")</f>
      </c>
      <c r="D216" s="7" t="s">
        <v>1118</v>
      </c>
      <c r="E216" s="8" t="s">
        <v>26</v>
      </c>
      <c r="F216" s="12">
        <v>0</v>
      </c>
      <c r="G216" s="25">
        <v>26900</v>
      </c>
      <c r="H216" s="26">
        <v>17485</v>
      </c>
      <c r="I216" s="14">
        <v>35</v>
      </c>
      <c r="J216" s="27" t="s">
        <v>29</v>
      </c>
      <c r="K216" s="12" t="s">
        <v>738</v>
      </c>
      <c r="L216" s="8" t="s">
        <v>26</v>
      </c>
    </row>
    <row r="217" ht="20" customHeight="1" spans="1:12" x14ac:dyDescent="0.25">
      <c r="A217" s="28" t="s">
        <v>1119</v>
      </c>
      <c r="B217" s="28" t="s">
        <v>292</v>
      </c>
      <c r="C217" s="24">
        <f>IF(B217&lt;&gt;"",IFERROR(VLOOKUP(B217,'📦 Productos'!A:C,3,FALSE),IFERROR(VLOOKUP(B217&amp;"",'📦 Productos'!A:C,3,FALSE),IFERROR(VLOOKUP(VALUE(B217),'📦 Productos'!A:C,3,FALSE),""))),"")</f>
      </c>
      <c r="D217" s="28" t="s">
        <v>1120</v>
      </c>
      <c r="E217" s="29" t="s">
        <v>26</v>
      </c>
      <c r="F217" s="30">
        <v>0</v>
      </c>
      <c r="G217" s="31">
        <v>26900</v>
      </c>
      <c r="H217" s="32">
        <v>13450</v>
      </c>
      <c r="I217" s="14">
        <v>50</v>
      </c>
      <c r="J217" s="33" t="s">
        <v>29</v>
      </c>
      <c r="K217" s="30" t="s">
        <v>738</v>
      </c>
      <c r="L217" s="29" t="s">
        <v>26</v>
      </c>
    </row>
    <row r="218" ht="20" customHeight="1" spans="1:12" x14ac:dyDescent="0.25">
      <c r="A218" s="7" t="s">
        <v>1121</v>
      </c>
      <c r="B218" s="7" t="s">
        <v>296</v>
      </c>
      <c r="C218" s="24">
        <f>IF(B218&lt;&gt;"",IFERROR(VLOOKUP(B218,'📦 Productos'!A:C,3,FALSE),IFERROR(VLOOKUP(B218&amp;"",'📦 Productos'!A:C,3,FALSE),IFERROR(VLOOKUP(VALUE(B218),'📦 Productos'!A:C,3,FALSE),""))),"")</f>
      </c>
      <c r="D218" s="7" t="s">
        <v>297</v>
      </c>
      <c r="E218" s="8" t="s">
        <v>26</v>
      </c>
      <c r="F218" s="12">
        <v>0</v>
      </c>
      <c r="G218" s="25">
        <v>31600</v>
      </c>
      <c r="H218" s="26">
        <v>20540</v>
      </c>
      <c r="I218" s="14">
        <v>35</v>
      </c>
      <c r="J218" s="27" t="s">
        <v>29</v>
      </c>
      <c r="K218" s="12" t="s">
        <v>738</v>
      </c>
      <c r="L218" s="8" t="s">
        <v>26</v>
      </c>
    </row>
    <row r="219" ht="20" customHeight="1" spans="1:12" x14ac:dyDescent="0.25">
      <c r="A219" s="28" t="s">
        <v>1122</v>
      </c>
      <c r="B219" s="28" t="s">
        <v>296</v>
      </c>
      <c r="C219" s="24">
        <f>IF(B219&lt;&gt;"",IFERROR(VLOOKUP(B219,'📦 Productos'!A:C,3,FALSE),IFERROR(VLOOKUP(B219&amp;"",'📦 Productos'!A:C,3,FALSE),IFERROR(VLOOKUP(VALUE(B219),'📦 Productos'!A:C,3,FALSE),""))),"")</f>
      </c>
      <c r="D219" s="28" t="s">
        <v>1123</v>
      </c>
      <c r="E219" s="29" t="s">
        <v>26</v>
      </c>
      <c r="F219" s="30">
        <v>0</v>
      </c>
      <c r="G219" s="31">
        <v>31600</v>
      </c>
      <c r="H219" s="32">
        <v>20540</v>
      </c>
      <c r="I219" s="14">
        <v>35</v>
      </c>
      <c r="J219" s="33" t="s">
        <v>29</v>
      </c>
      <c r="K219" s="30" t="s">
        <v>738</v>
      </c>
      <c r="L219" s="29" t="s">
        <v>26</v>
      </c>
    </row>
    <row r="220" ht="20" customHeight="1" spans="1:12" x14ac:dyDescent="0.25">
      <c r="A220" s="7" t="s">
        <v>1124</v>
      </c>
      <c r="B220" s="7" t="s">
        <v>296</v>
      </c>
      <c r="C220" s="24">
        <f>IF(B220&lt;&gt;"",IFERROR(VLOOKUP(B220,'📦 Productos'!A:C,3,FALSE),IFERROR(VLOOKUP(B220&amp;"",'📦 Productos'!A:C,3,FALSE),IFERROR(VLOOKUP(VALUE(B220),'📦 Productos'!A:C,3,FALSE),""))),"")</f>
      </c>
      <c r="D220" s="7" t="s">
        <v>1125</v>
      </c>
      <c r="E220" s="8" t="s">
        <v>26</v>
      </c>
      <c r="F220" s="12">
        <v>0</v>
      </c>
      <c r="G220" s="25">
        <v>31600</v>
      </c>
      <c r="H220" s="26">
        <v>20540</v>
      </c>
      <c r="I220" s="14">
        <v>35</v>
      </c>
      <c r="J220" s="27" t="s">
        <v>29</v>
      </c>
      <c r="K220" s="12" t="s">
        <v>738</v>
      </c>
      <c r="L220" s="8" t="s">
        <v>26</v>
      </c>
    </row>
    <row r="221" ht="20" customHeight="1" spans="1:12" x14ac:dyDescent="0.25">
      <c r="A221" s="28" t="s">
        <v>1126</v>
      </c>
      <c r="B221" s="28" t="s">
        <v>296</v>
      </c>
      <c r="C221" s="24">
        <f>IF(B221&lt;&gt;"",IFERROR(VLOOKUP(B221,'📦 Productos'!A:C,3,FALSE),IFERROR(VLOOKUP(B221&amp;"",'📦 Productos'!A:C,3,FALSE),IFERROR(VLOOKUP(VALUE(B221),'📦 Productos'!A:C,3,FALSE),""))),"")</f>
      </c>
      <c r="D221" s="28" t="s">
        <v>1127</v>
      </c>
      <c r="E221" s="29" t="s">
        <v>26</v>
      </c>
      <c r="F221" s="30">
        <v>0</v>
      </c>
      <c r="G221" s="31">
        <v>31600</v>
      </c>
      <c r="H221" s="32">
        <v>15800</v>
      </c>
      <c r="I221" s="14">
        <v>50</v>
      </c>
      <c r="J221" s="33" t="s">
        <v>29</v>
      </c>
      <c r="K221" s="30" t="s">
        <v>738</v>
      </c>
      <c r="L221" s="29" t="s">
        <v>26</v>
      </c>
    </row>
    <row r="222" ht="20" customHeight="1" spans="1:12" x14ac:dyDescent="0.25">
      <c r="A222" s="7" t="s">
        <v>1128</v>
      </c>
      <c r="B222" s="7" t="s">
        <v>296</v>
      </c>
      <c r="C222" s="24">
        <f>IF(B222&lt;&gt;"",IFERROR(VLOOKUP(B222,'📦 Productos'!A:C,3,FALSE),IFERROR(VLOOKUP(B222&amp;"",'📦 Productos'!A:C,3,FALSE),IFERROR(VLOOKUP(VALUE(B222),'📦 Productos'!A:C,3,FALSE),""))),"")</f>
      </c>
      <c r="D222" s="7" t="s">
        <v>1129</v>
      </c>
      <c r="E222" s="8" t="s">
        <v>26</v>
      </c>
      <c r="F222" s="12">
        <v>0</v>
      </c>
      <c r="G222" s="25">
        <v>31600</v>
      </c>
      <c r="H222" s="26">
        <v>15800</v>
      </c>
      <c r="I222" s="14">
        <v>50</v>
      </c>
      <c r="J222" s="27" t="s">
        <v>29</v>
      </c>
      <c r="K222" s="12" t="s">
        <v>738</v>
      </c>
      <c r="L222" s="8" t="s">
        <v>26</v>
      </c>
    </row>
    <row r="223" ht="20" customHeight="1" spans="1:12" x14ac:dyDescent="0.25">
      <c r="A223" s="28" t="s">
        <v>1130</v>
      </c>
      <c r="B223" s="28" t="s">
        <v>302</v>
      </c>
      <c r="C223" s="24">
        <f>IF(B223&lt;&gt;"",IFERROR(VLOOKUP(B223,'📦 Productos'!A:C,3,FALSE),IFERROR(VLOOKUP(B223&amp;"",'📦 Productos'!A:C,3,FALSE),IFERROR(VLOOKUP(VALUE(B223),'📦 Productos'!A:C,3,FALSE),""))),"")</f>
      </c>
      <c r="D223" s="28" t="s">
        <v>303</v>
      </c>
      <c r="E223" s="29" t="s">
        <v>26</v>
      </c>
      <c r="F223" s="30">
        <v>0</v>
      </c>
      <c r="G223" s="31">
        <v>26900</v>
      </c>
      <c r="H223" s="32">
        <v>13450</v>
      </c>
      <c r="I223" s="14">
        <v>50</v>
      </c>
      <c r="J223" s="33" t="s">
        <v>29</v>
      </c>
      <c r="K223" s="30" t="s">
        <v>738</v>
      </c>
      <c r="L223" s="29" t="s">
        <v>26</v>
      </c>
    </row>
    <row r="224" ht="20" customHeight="1" spans="1:12" x14ac:dyDescent="0.25">
      <c r="A224" s="7" t="s">
        <v>1131</v>
      </c>
      <c r="B224" s="7" t="s">
        <v>302</v>
      </c>
      <c r="C224" s="24">
        <f>IF(B224&lt;&gt;"",IFERROR(VLOOKUP(B224,'📦 Productos'!A:C,3,FALSE),IFERROR(VLOOKUP(B224&amp;"",'📦 Productos'!A:C,3,FALSE),IFERROR(VLOOKUP(VALUE(B224),'📦 Productos'!A:C,3,FALSE),""))),"")</f>
      </c>
      <c r="D224" s="7" t="s">
        <v>1132</v>
      </c>
      <c r="E224" s="8" t="s">
        <v>26</v>
      </c>
      <c r="F224" s="12">
        <v>0</v>
      </c>
      <c r="G224" s="25">
        <v>26900</v>
      </c>
      <c r="H224" s="26">
        <v>13450</v>
      </c>
      <c r="I224" s="14">
        <v>50</v>
      </c>
      <c r="J224" s="27" t="s">
        <v>29</v>
      </c>
      <c r="K224" s="12" t="s">
        <v>738</v>
      </c>
      <c r="L224" s="8" t="s">
        <v>26</v>
      </c>
    </row>
    <row r="225" ht="20" customHeight="1" spans="1:12" x14ac:dyDescent="0.25">
      <c r="A225" s="28" t="s">
        <v>1133</v>
      </c>
      <c r="B225" s="28" t="s">
        <v>302</v>
      </c>
      <c r="C225" s="24">
        <f>IF(B225&lt;&gt;"",IFERROR(VLOOKUP(B225,'📦 Productos'!A:C,3,FALSE),IFERROR(VLOOKUP(B225&amp;"",'📦 Productos'!A:C,3,FALSE),IFERROR(VLOOKUP(VALUE(B225),'📦 Productos'!A:C,3,FALSE),""))),"")</f>
      </c>
      <c r="D225" s="28" t="s">
        <v>1134</v>
      </c>
      <c r="E225" s="29" t="s">
        <v>26</v>
      </c>
      <c r="F225" s="30">
        <v>0</v>
      </c>
      <c r="G225" s="31">
        <v>26900</v>
      </c>
      <c r="H225" s="32">
        <v>13450</v>
      </c>
      <c r="I225" s="14">
        <v>50</v>
      </c>
      <c r="J225" s="33" t="s">
        <v>29</v>
      </c>
      <c r="K225" s="30" t="s">
        <v>738</v>
      </c>
      <c r="L225" s="29" t="s">
        <v>26</v>
      </c>
    </row>
    <row r="226" ht="20" customHeight="1" spans="1:12" x14ac:dyDescent="0.25">
      <c r="A226" s="7" t="s">
        <v>1135</v>
      </c>
      <c r="B226" s="7" t="s">
        <v>302</v>
      </c>
      <c r="C226" s="24">
        <f>IF(B226&lt;&gt;"",IFERROR(VLOOKUP(B226,'📦 Productos'!A:C,3,FALSE),IFERROR(VLOOKUP(B226&amp;"",'📦 Productos'!A:C,3,FALSE),IFERROR(VLOOKUP(VALUE(B226),'📦 Productos'!A:C,3,FALSE),""))),"")</f>
      </c>
      <c r="D226" s="7" t="s">
        <v>1136</v>
      </c>
      <c r="E226" s="8" t="s">
        <v>26</v>
      </c>
      <c r="F226" s="12">
        <v>0</v>
      </c>
      <c r="G226" s="25">
        <v>26900</v>
      </c>
      <c r="H226" s="26">
        <v>13450</v>
      </c>
      <c r="I226" s="14">
        <v>50</v>
      </c>
      <c r="J226" s="27" t="s">
        <v>29</v>
      </c>
      <c r="K226" s="12" t="s">
        <v>738</v>
      </c>
      <c r="L226" s="8" t="s">
        <v>26</v>
      </c>
    </row>
    <row r="227" ht="20" customHeight="1" spans="1:12" x14ac:dyDescent="0.25">
      <c r="A227" s="28" t="s">
        <v>1137</v>
      </c>
      <c r="B227" s="28" t="s">
        <v>312</v>
      </c>
      <c r="C227" s="24">
        <f>IF(B227&lt;&gt;"",IFERROR(VLOOKUP(B227,'📦 Productos'!A:C,3,FALSE),IFERROR(VLOOKUP(B227&amp;"",'📦 Productos'!A:C,3,FALSE),IFERROR(VLOOKUP(VALUE(B227),'📦 Productos'!A:C,3,FALSE),""))),"")</f>
      </c>
      <c r="D227" s="28" t="s">
        <v>313</v>
      </c>
      <c r="E227" s="29" t="s">
        <v>26</v>
      </c>
      <c r="F227" s="30">
        <v>0</v>
      </c>
      <c r="G227" s="31">
        <v>30700</v>
      </c>
      <c r="H227" s="32">
        <v>15350</v>
      </c>
      <c r="I227" s="14">
        <v>50</v>
      </c>
      <c r="J227" s="33" t="s">
        <v>29</v>
      </c>
      <c r="K227" s="30" t="s">
        <v>738</v>
      </c>
      <c r="L227" s="29" t="s">
        <v>26</v>
      </c>
    </row>
    <row r="228" ht="20" customHeight="1" spans="1:12" x14ac:dyDescent="0.25">
      <c r="A228" s="7" t="s">
        <v>1138</v>
      </c>
      <c r="B228" s="7" t="s">
        <v>312</v>
      </c>
      <c r="C228" s="24">
        <f>IF(B228&lt;&gt;"",IFERROR(VLOOKUP(B228,'📦 Productos'!A:C,3,FALSE),IFERROR(VLOOKUP(B228&amp;"",'📦 Productos'!A:C,3,FALSE),IFERROR(VLOOKUP(VALUE(B228),'📦 Productos'!A:C,3,FALSE),""))),"")</f>
      </c>
      <c r="D228" s="7" t="s">
        <v>1139</v>
      </c>
      <c r="E228" s="8" t="s">
        <v>26</v>
      </c>
      <c r="F228" s="12">
        <v>0</v>
      </c>
      <c r="G228" s="25">
        <v>30700</v>
      </c>
      <c r="H228" s="26"/>
      <c r="I228" s="14">
        <v>0</v>
      </c>
      <c r="J228" s="27" t="s">
        <v>29</v>
      </c>
      <c r="K228" s="12" t="s">
        <v>738</v>
      </c>
      <c r="L228" s="8" t="s">
        <v>26</v>
      </c>
    </row>
    <row r="229" ht="20" customHeight="1" spans="1:12" x14ac:dyDescent="0.25">
      <c r="A229" s="28" t="s">
        <v>1140</v>
      </c>
      <c r="B229" s="28" t="s">
        <v>312</v>
      </c>
      <c r="C229" s="24">
        <f>IF(B229&lt;&gt;"",IFERROR(VLOOKUP(B229,'📦 Productos'!A:C,3,FALSE),IFERROR(VLOOKUP(B229&amp;"",'📦 Productos'!A:C,3,FALSE),IFERROR(VLOOKUP(VALUE(B229),'📦 Productos'!A:C,3,FALSE),""))),"")</f>
      </c>
      <c r="D229" s="28" t="s">
        <v>1141</v>
      </c>
      <c r="E229" s="29" t="s">
        <v>26</v>
      </c>
      <c r="F229" s="30">
        <v>0</v>
      </c>
      <c r="G229" s="31">
        <v>30700</v>
      </c>
      <c r="H229" s="32"/>
      <c r="I229" s="14">
        <v>0</v>
      </c>
      <c r="J229" s="33" t="s">
        <v>29</v>
      </c>
      <c r="K229" s="30" t="s">
        <v>738</v>
      </c>
      <c r="L229" s="29" t="s">
        <v>26</v>
      </c>
    </row>
    <row r="230" ht="20" customHeight="1" spans="1:12" x14ac:dyDescent="0.25">
      <c r="A230" s="7" t="s">
        <v>1142</v>
      </c>
      <c r="B230" s="7" t="s">
        <v>312</v>
      </c>
      <c r="C230" s="24">
        <f>IF(B230&lt;&gt;"",IFERROR(VLOOKUP(B230,'📦 Productos'!A:C,3,FALSE),IFERROR(VLOOKUP(B230&amp;"",'📦 Productos'!A:C,3,FALSE),IFERROR(VLOOKUP(VALUE(B230),'📦 Productos'!A:C,3,FALSE),""))),"")</f>
      </c>
      <c r="D230" s="7" t="s">
        <v>1143</v>
      </c>
      <c r="E230" s="8" t="s">
        <v>26</v>
      </c>
      <c r="F230" s="12">
        <v>0</v>
      </c>
      <c r="G230" s="25">
        <v>30700</v>
      </c>
      <c r="H230" s="26"/>
      <c r="I230" s="14">
        <v>0</v>
      </c>
      <c r="J230" s="27" t="s">
        <v>29</v>
      </c>
      <c r="K230" s="12" t="s">
        <v>738</v>
      </c>
      <c r="L230" s="8" t="s">
        <v>26</v>
      </c>
    </row>
    <row r="231" ht="20" customHeight="1" spans="1:12" x14ac:dyDescent="0.25">
      <c r="A231" s="28" t="s">
        <v>1144</v>
      </c>
      <c r="B231" s="28" t="s">
        <v>312</v>
      </c>
      <c r="C231" s="24">
        <f>IF(B231&lt;&gt;"",IFERROR(VLOOKUP(B231,'📦 Productos'!A:C,3,FALSE),IFERROR(VLOOKUP(B231&amp;"",'📦 Productos'!A:C,3,FALSE),IFERROR(VLOOKUP(VALUE(B231),'📦 Productos'!A:C,3,FALSE),""))),"")</f>
      </c>
      <c r="D231" s="28" t="s">
        <v>1145</v>
      </c>
      <c r="E231" s="29" t="s">
        <v>26</v>
      </c>
      <c r="F231" s="30">
        <v>0</v>
      </c>
      <c r="G231" s="31">
        <v>30700</v>
      </c>
      <c r="H231" s="32">
        <v>15350</v>
      </c>
      <c r="I231" s="14">
        <v>50</v>
      </c>
      <c r="J231" s="33" t="s">
        <v>29</v>
      </c>
      <c r="K231" s="30" t="s">
        <v>738</v>
      </c>
      <c r="L231" s="29" t="s">
        <v>26</v>
      </c>
    </row>
    <row r="232" ht="20" customHeight="1" spans="1:12" x14ac:dyDescent="0.25">
      <c r="A232" s="7" t="s">
        <v>1146</v>
      </c>
      <c r="B232" s="7" t="s">
        <v>312</v>
      </c>
      <c r="C232" s="24">
        <f>IF(B232&lt;&gt;"",IFERROR(VLOOKUP(B232,'📦 Productos'!A:C,3,FALSE),IFERROR(VLOOKUP(B232&amp;"",'📦 Productos'!A:C,3,FALSE),IFERROR(VLOOKUP(VALUE(B232),'📦 Productos'!A:C,3,FALSE),""))),"")</f>
      </c>
      <c r="D232" s="7" t="s">
        <v>1147</v>
      </c>
      <c r="E232" s="8" t="s">
        <v>26</v>
      </c>
      <c r="F232" s="12">
        <v>0</v>
      </c>
      <c r="G232" s="25">
        <v>30700</v>
      </c>
      <c r="H232" s="26">
        <v>15350</v>
      </c>
      <c r="I232" s="14">
        <v>50</v>
      </c>
      <c r="J232" s="27" t="s">
        <v>29</v>
      </c>
      <c r="K232" s="12" t="s">
        <v>738</v>
      </c>
      <c r="L232" s="8" t="s">
        <v>26</v>
      </c>
    </row>
    <row r="233" ht="20" customHeight="1" spans="1:12" x14ac:dyDescent="0.25">
      <c r="A233" s="28" t="s">
        <v>1148</v>
      </c>
      <c r="B233" s="28" t="s">
        <v>390</v>
      </c>
      <c r="C233" s="24">
        <f>IF(B233&lt;&gt;"",IFERROR(VLOOKUP(B233,'📦 Productos'!A:C,3,FALSE),IFERROR(VLOOKUP(B233&amp;"",'📦 Productos'!A:C,3,FALSE),IFERROR(VLOOKUP(VALUE(B233),'📦 Productos'!A:C,3,FALSE),""))),"")</f>
      </c>
      <c r="D233" s="28" t="s">
        <v>26</v>
      </c>
      <c r="E233" s="29" t="s">
        <v>26</v>
      </c>
      <c r="F233" s="30">
        <v>0</v>
      </c>
      <c r="G233" s="31">
        <v>12700</v>
      </c>
      <c r="H233" s="32">
        <v>6350</v>
      </c>
      <c r="I233" s="14">
        <v>50</v>
      </c>
      <c r="J233" s="33" t="s">
        <v>29</v>
      </c>
      <c r="K233" s="30" t="s">
        <v>738</v>
      </c>
      <c r="L233" s="29" t="s">
        <v>26</v>
      </c>
    </row>
    <row r="234" ht="20" customHeight="1" spans="1:12" x14ac:dyDescent="0.25">
      <c r="A234" s="7" t="s">
        <v>1149</v>
      </c>
      <c r="B234" s="7" t="s">
        <v>390</v>
      </c>
      <c r="C234" s="24">
        <f>IF(B234&lt;&gt;"",IFERROR(VLOOKUP(B234,'📦 Productos'!A:C,3,FALSE),IFERROR(VLOOKUP(B234&amp;"",'📦 Productos'!A:C,3,FALSE),IFERROR(VLOOKUP(VALUE(B234),'📦 Productos'!A:C,3,FALSE),""))),"")</f>
      </c>
      <c r="D234" s="7" t="s">
        <v>26</v>
      </c>
      <c r="E234" s="8" t="s">
        <v>26</v>
      </c>
      <c r="F234" s="12">
        <v>0</v>
      </c>
      <c r="G234" s="25">
        <v>12700</v>
      </c>
      <c r="H234" s="26">
        <v>6350</v>
      </c>
      <c r="I234" s="14">
        <v>50</v>
      </c>
      <c r="J234" s="27" t="s">
        <v>29</v>
      </c>
      <c r="K234" s="12" t="s">
        <v>738</v>
      </c>
      <c r="L234" s="8" t="s">
        <v>26</v>
      </c>
    </row>
    <row r="235" ht="20" customHeight="1" spans="1:12" x14ac:dyDescent="0.25">
      <c r="A235" s="28" t="s">
        <v>1150</v>
      </c>
      <c r="B235" s="28" t="s">
        <v>390</v>
      </c>
      <c r="C235" s="24">
        <f>IF(B235&lt;&gt;"",IFERROR(VLOOKUP(B235,'📦 Productos'!A:C,3,FALSE),IFERROR(VLOOKUP(B235&amp;"",'📦 Productos'!A:C,3,FALSE),IFERROR(VLOOKUP(VALUE(B235),'📦 Productos'!A:C,3,FALSE),""))),"")</f>
      </c>
      <c r="D235" s="28" t="s">
        <v>26</v>
      </c>
      <c r="E235" s="29" t="s">
        <v>26</v>
      </c>
      <c r="F235" s="30">
        <v>0</v>
      </c>
      <c r="G235" s="31">
        <v>12700</v>
      </c>
      <c r="H235" s="32">
        <v>6350</v>
      </c>
      <c r="I235" s="14">
        <v>50</v>
      </c>
      <c r="J235" s="33" t="s">
        <v>29</v>
      </c>
      <c r="K235" s="30" t="s">
        <v>738</v>
      </c>
      <c r="L235" s="29" t="s">
        <v>26</v>
      </c>
    </row>
    <row r="236" ht="20" customHeight="1" spans="1:12" x14ac:dyDescent="0.25">
      <c r="A236" s="7" t="s">
        <v>1151</v>
      </c>
      <c r="B236" s="7" t="s">
        <v>390</v>
      </c>
      <c r="C236" s="24">
        <f>IF(B236&lt;&gt;"",IFERROR(VLOOKUP(B236,'📦 Productos'!A:C,3,FALSE),IFERROR(VLOOKUP(B236&amp;"",'📦 Productos'!A:C,3,FALSE),IFERROR(VLOOKUP(VALUE(B236),'📦 Productos'!A:C,3,FALSE),""))),"")</f>
      </c>
      <c r="D236" s="7" t="s">
        <v>26</v>
      </c>
      <c r="E236" s="8" t="s">
        <v>26</v>
      </c>
      <c r="F236" s="12">
        <v>0</v>
      </c>
      <c r="G236" s="25">
        <v>12700</v>
      </c>
      <c r="H236" s="26">
        <v>6350</v>
      </c>
      <c r="I236" s="14">
        <v>50</v>
      </c>
      <c r="J236" s="27" t="s">
        <v>29</v>
      </c>
      <c r="K236" s="12" t="s">
        <v>738</v>
      </c>
      <c r="L236" s="8" t="s">
        <v>26</v>
      </c>
    </row>
    <row r="237" ht="20" customHeight="1" spans="1:12" x14ac:dyDescent="0.25">
      <c r="A237" s="28" t="s">
        <v>1152</v>
      </c>
      <c r="B237" s="28" t="s">
        <v>390</v>
      </c>
      <c r="C237" s="24">
        <f>IF(B237&lt;&gt;"",IFERROR(VLOOKUP(B237,'📦 Productos'!A:C,3,FALSE),IFERROR(VLOOKUP(B237&amp;"",'📦 Productos'!A:C,3,FALSE),IFERROR(VLOOKUP(VALUE(B237),'📦 Productos'!A:C,3,FALSE),""))),"")</f>
      </c>
      <c r="D237" s="28" t="s">
        <v>26</v>
      </c>
      <c r="E237" s="29" t="s">
        <v>26</v>
      </c>
      <c r="F237" s="30">
        <v>0</v>
      </c>
      <c r="G237" s="31">
        <v>12700</v>
      </c>
      <c r="H237" s="32">
        <v>6350</v>
      </c>
      <c r="I237" s="14">
        <v>50</v>
      </c>
      <c r="J237" s="33" t="s">
        <v>29</v>
      </c>
      <c r="K237" s="30" t="s">
        <v>738</v>
      </c>
      <c r="L237" s="29" t="s">
        <v>26</v>
      </c>
    </row>
    <row r="238" ht="20" customHeight="1" spans="1:12" x14ac:dyDescent="0.25">
      <c r="A238" s="7" t="s">
        <v>1153</v>
      </c>
      <c r="B238" s="7" t="s">
        <v>390</v>
      </c>
      <c r="C238" s="24">
        <f>IF(B238&lt;&gt;"",IFERROR(VLOOKUP(B238,'📦 Productos'!A:C,3,FALSE),IFERROR(VLOOKUP(B238&amp;"",'📦 Productos'!A:C,3,FALSE),IFERROR(VLOOKUP(VALUE(B238),'📦 Productos'!A:C,3,FALSE),""))),"")</f>
      </c>
      <c r="D238" s="7" t="s">
        <v>26</v>
      </c>
      <c r="E238" s="8" t="s">
        <v>26</v>
      </c>
      <c r="F238" s="12">
        <v>0</v>
      </c>
      <c r="G238" s="25">
        <v>12700</v>
      </c>
      <c r="H238" s="26">
        <v>6350</v>
      </c>
      <c r="I238" s="14">
        <v>50</v>
      </c>
      <c r="J238" s="27" t="s">
        <v>29</v>
      </c>
      <c r="K238" s="12" t="s">
        <v>738</v>
      </c>
      <c r="L238" s="8" t="s">
        <v>26</v>
      </c>
    </row>
    <row r="239" ht="20" customHeight="1" spans="1:12" x14ac:dyDescent="0.25">
      <c r="A239" s="28" t="s">
        <v>1154</v>
      </c>
      <c r="B239" s="28" t="s">
        <v>390</v>
      </c>
      <c r="C239" s="24">
        <f>IF(B239&lt;&gt;"",IFERROR(VLOOKUP(B239,'📦 Productos'!A:C,3,FALSE),IFERROR(VLOOKUP(B239&amp;"",'📦 Productos'!A:C,3,FALSE),IFERROR(VLOOKUP(VALUE(B239),'📦 Productos'!A:C,3,FALSE),""))),"")</f>
      </c>
      <c r="D239" s="28" t="s">
        <v>26</v>
      </c>
      <c r="E239" s="29" t="s">
        <v>26</v>
      </c>
      <c r="F239" s="30">
        <v>0</v>
      </c>
      <c r="G239" s="31">
        <v>12700</v>
      </c>
      <c r="H239" s="32">
        <v>6350</v>
      </c>
      <c r="I239" s="14">
        <v>50</v>
      </c>
      <c r="J239" s="33" t="s">
        <v>29</v>
      </c>
      <c r="K239" s="30" t="s">
        <v>738</v>
      </c>
      <c r="L239" s="29" t="s">
        <v>26</v>
      </c>
    </row>
    <row r="240" ht="20" customHeight="1" spans="1:12" x14ac:dyDescent="0.25">
      <c r="A240" s="7" t="s">
        <v>1155</v>
      </c>
      <c r="B240" s="7" t="s">
        <v>390</v>
      </c>
      <c r="C240" s="24">
        <f>IF(B240&lt;&gt;"",IFERROR(VLOOKUP(B240,'📦 Productos'!A:C,3,FALSE),IFERROR(VLOOKUP(B240&amp;"",'📦 Productos'!A:C,3,FALSE),IFERROR(VLOOKUP(VALUE(B240),'📦 Productos'!A:C,3,FALSE),""))),"")</f>
      </c>
      <c r="D240" s="7" t="s">
        <v>26</v>
      </c>
      <c r="E240" s="8" t="s">
        <v>26</v>
      </c>
      <c r="F240" s="12">
        <v>0</v>
      </c>
      <c r="G240" s="25">
        <v>12700</v>
      </c>
      <c r="H240" s="26">
        <v>6350</v>
      </c>
      <c r="I240" s="14">
        <v>50</v>
      </c>
      <c r="J240" s="27" t="s">
        <v>29</v>
      </c>
      <c r="K240" s="12" t="s">
        <v>738</v>
      </c>
      <c r="L240" s="8" t="s">
        <v>26</v>
      </c>
    </row>
    <row r="241" ht="20" customHeight="1" spans="1:12" x14ac:dyDescent="0.25">
      <c r="A241" s="28" t="s">
        <v>1156</v>
      </c>
      <c r="B241" s="28" t="s">
        <v>390</v>
      </c>
      <c r="C241" s="24">
        <f>IF(B241&lt;&gt;"",IFERROR(VLOOKUP(B241,'📦 Productos'!A:C,3,FALSE),IFERROR(VLOOKUP(B241&amp;"",'📦 Productos'!A:C,3,FALSE),IFERROR(VLOOKUP(VALUE(B241),'📦 Productos'!A:C,3,FALSE),""))),"")</f>
      </c>
      <c r="D241" s="28" t="s">
        <v>26</v>
      </c>
      <c r="E241" s="29" t="s">
        <v>26</v>
      </c>
      <c r="F241" s="30">
        <v>0</v>
      </c>
      <c r="G241" s="31">
        <v>12700</v>
      </c>
      <c r="H241" s="32">
        <v>6350</v>
      </c>
      <c r="I241" s="14">
        <v>50</v>
      </c>
      <c r="J241" s="33" t="s">
        <v>29</v>
      </c>
      <c r="K241" s="30" t="s">
        <v>738</v>
      </c>
      <c r="L241" s="29" t="s">
        <v>26</v>
      </c>
    </row>
    <row r="242" ht="20" customHeight="1" spans="1:12" x14ac:dyDescent="0.25">
      <c r="A242" s="7" t="s">
        <v>1157</v>
      </c>
      <c r="B242" s="7" t="s">
        <v>390</v>
      </c>
      <c r="C242" s="24">
        <f>IF(B242&lt;&gt;"",IFERROR(VLOOKUP(B242,'📦 Productos'!A:C,3,FALSE),IFERROR(VLOOKUP(B242&amp;"",'📦 Productos'!A:C,3,FALSE),IFERROR(VLOOKUP(VALUE(B242),'📦 Productos'!A:C,3,FALSE),""))),"")</f>
      </c>
      <c r="D242" s="7" t="s">
        <v>26</v>
      </c>
      <c r="E242" s="8" t="s">
        <v>26</v>
      </c>
      <c r="F242" s="12">
        <v>0</v>
      </c>
      <c r="G242" s="25">
        <v>12700</v>
      </c>
      <c r="H242" s="26">
        <v>6350</v>
      </c>
      <c r="I242" s="14">
        <v>50</v>
      </c>
      <c r="J242" s="27" t="s">
        <v>29</v>
      </c>
      <c r="K242" s="12" t="s">
        <v>738</v>
      </c>
      <c r="L242" s="8" t="s">
        <v>26</v>
      </c>
    </row>
    <row r="243" ht="20" customHeight="1" spans="1:12" x14ac:dyDescent="0.25">
      <c r="A243" s="28" t="s">
        <v>1158</v>
      </c>
      <c r="B243" s="28" t="s">
        <v>390</v>
      </c>
      <c r="C243" s="24">
        <f>IF(B243&lt;&gt;"",IFERROR(VLOOKUP(B243,'📦 Productos'!A:C,3,FALSE),IFERROR(VLOOKUP(B243&amp;"",'📦 Productos'!A:C,3,FALSE),IFERROR(VLOOKUP(VALUE(B243),'📦 Productos'!A:C,3,FALSE),""))),"")</f>
      </c>
      <c r="D243" s="28" t="s">
        <v>26</v>
      </c>
      <c r="E243" s="29" t="s">
        <v>26</v>
      </c>
      <c r="F243" s="30">
        <v>0</v>
      </c>
      <c r="G243" s="31">
        <v>12700</v>
      </c>
      <c r="H243" s="32">
        <v>6350</v>
      </c>
      <c r="I243" s="14">
        <v>50</v>
      </c>
      <c r="J243" s="33" t="s">
        <v>29</v>
      </c>
      <c r="K243" s="30" t="s">
        <v>738</v>
      </c>
      <c r="L243" s="29" t="s">
        <v>26</v>
      </c>
    </row>
    <row r="244" ht="20" customHeight="1" spans="1:12" x14ac:dyDescent="0.25">
      <c r="A244" s="7" t="s">
        <v>1159</v>
      </c>
      <c r="B244" s="7" t="s">
        <v>402</v>
      </c>
      <c r="C244" s="24">
        <f>IF(B244&lt;&gt;"",IFERROR(VLOOKUP(B244,'📦 Productos'!A:C,3,FALSE),IFERROR(VLOOKUP(B244&amp;"",'📦 Productos'!A:C,3,FALSE),IFERROR(VLOOKUP(VALUE(B244),'📦 Productos'!A:C,3,FALSE),""))),"")</f>
      </c>
      <c r="D244" s="7" t="s">
        <v>403</v>
      </c>
      <c r="E244" s="8" t="s">
        <v>26</v>
      </c>
      <c r="F244" s="12">
        <v>0</v>
      </c>
      <c r="G244" s="25">
        <v>15500</v>
      </c>
      <c r="H244" s="26"/>
      <c r="I244" s="14">
        <v>0</v>
      </c>
      <c r="J244" s="27" t="s">
        <v>29</v>
      </c>
      <c r="K244" s="12" t="s">
        <v>738</v>
      </c>
      <c r="L244" s="8" t="s">
        <v>26</v>
      </c>
    </row>
    <row r="245" ht="20" customHeight="1" spans="1:12" x14ac:dyDescent="0.25">
      <c r="A245" s="28" t="s">
        <v>1160</v>
      </c>
      <c r="B245" s="28" t="s">
        <v>402</v>
      </c>
      <c r="C245" s="24">
        <f>IF(B245&lt;&gt;"",IFERROR(VLOOKUP(B245,'📦 Productos'!A:C,3,FALSE),IFERROR(VLOOKUP(B245&amp;"",'📦 Productos'!A:C,3,FALSE),IFERROR(VLOOKUP(VALUE(B245),'📦 Productos'!A:C,3,FALSE),""))),"")</f>
      </c>
      <c r="D245" s="28" t="s">
        <v>1161</v>
      </c>
      <c r="E245" s="29" t="s">
        <v>26</v>
      </c>
      <c r="F245" s="30">
        <v>0</v>
      </c>
      <c r="G245" s="31">
        <v>15500</v>
      </c>
      <c r="H245" s="32"/>
      <c r="I245" s="14">
        <v>0</v>
      </c>
      <c r="J245" s="33" t="s">
        <v>29</v>
      </c>
      <c r="K245" s="30" t="s">
        <v>738</v>
      </c>
      <c r="L245" s="29" t="s">
        <v>26</v>
      </c>
    </row>
    <row r="246" ht="20" customHeight="1" spans="1:12" x14ac:dyDescent="0.25">
      <c r="A246" s="7" t="s">
        <v>1162</v>
      </c>
      <c r="B246" s="7" t="s">
        <v>402</v>
      </c>
      <c r="C246" s="24">
        <f>IF(B246&lt;&gt;"",IFERROR(VLOOKUP(B246,'📦 Productos'!A:C,3,FALSE),IFERROR(VLOOKUP(B246&amp;"",'📦 Productos'!A:C,3,FALSE),IFERROR(VLOOKUP(VALUE(B246),'📦 Productos'!A:C,3,FALSE),""))),"")</f>
      </c>
      <c r="D246" s="7" t="s">
        <v>1163</v>
      </c>
      <c r="E246" s="8" t="s">
        <v>26</v>
      </c>
      <c r="F246" s="12">
        <v>0</v>
      </c>
      <c r="G246" s="25">
        <v>15500</v>
      </c>
      <c r="H246" s="26"/>
      <c r="I246" s="14">
        <v>0</v>
      </c>
      <c r="J246" s="27" t="s">
        <v>29</v>
      </c>
      <c r="K246" s="12" t="s">
        <v>738</v>
      </c>
      <c r="L246" s="8" t="s">
        <v>26</v>
      </c>
    </row>
    <row r="247" ht="20" customHeight="1" spans="1:12" x14ac:dyDescent="0.25">
      <c r="A247" s="28" t="s">
        <v>1164</v>
      </c>
      <c r="B247" s="28" t="s">
        <v>402</v>
      </c>
      <c r="C247" s="24">
        <f>IF(B247&lt;&gt;"",IFERROR(VLOOKUP(B247,'📦 Productos'!A:C,3,FALSE),IFERROR(VLOOKUP(B247&amp;"",'📦 Productos'!A:C,3,FALSE),IFERROR(VLOOKUP(VALUE(B247),'📦 Productos'!A:C,3,FALSE),""))),"")</f>
      </c>
      <c r="D247" s="28" t="s">
        <v>1165</v>
      </c>
      <c r="E247" s="29" t="s">
        <v>26</v>
      </c>
      <c r="F247" s="30">
        <v>0</v>
      </c>
      <c r="G247" s="31">
        <v>15500</v>
      </c>
      <c r="H247" s="32"/>
      <c r="I247" s="14">
        <v>0</v>
      </c>
      <c r="J247" s="33" t="s">
        <v>29</v>
      </c>
      <c r="K247" s="30" t="s">
        <v>738</v>
      </c>
      <c r="L247" s="29" t="s">
        <v>26</v>
      </c>
    </row>
    <row r="248" ht="20" customHeight="1" spans="1:12" x14ac:dyDescent="0.25">
      <c r="A248" s="7" t="s">
        <v>1166</v>
      </c>
      <c r="B248" s="7" t="s">
        <v>402</v>
      </c>
      <c r="C248" s="24">
        <f>IF(B248&lt;&gt;"",IFERROR(VLOOKUP(B248,'📦 Productos'!A:C,3,FALSE),IFERROR(VLOOKUP(B248&amp;"",'📦 Productos'!A:C,3,FALSE),IFERROR(VLOOKUP(VALUE(B248),'📦 Productos'!A:C,3,FALSE),""))),"")</f>
      </c>
      <c r="D248" s="7" t="s">
        <v>1167</v>
      </c>
      <c r="E248" s="8" t="s">
        <v>26</v>
      </c>
      <c r="F248" s="12">
        <v>0</v>
      </c>
      <c r="G248" s="25">
        <v>15500</v>
      </c>
      <c r="H248" s="26"/>
      <c r="I248" s="14">
        <v>0</v>
      </c>
      <c r="J248" s="27" t="s">
        <v>29</v>
      </c>
      <c r="K248" s="12" t="s">
        <v>738</v>
      </c>
      <c r="L248" s="8" t="s">
        <v>26</v>
      </c>
    </row>
    <row r="249" ht="20" customHeight="1" spans="1:12" x14ac:dyDescent="0.25">
      <c r="A249" s="28" t="s">
        <v>1168</v>
      </c>
      <c r="B249" s="28" t="s">
        <v>402</v>
      </c>
      <c r="C249" s="24">
        <f>IF(B249&lt;&gt;"",IFERROR(VLOOKUP(B249,'📦 Productos'!A:C,3,FALSE),IFERROR(VLOOKUP(B249&amp;"",'📦 Productos'!A:C,3,FALSE),IFERROR(VLOOKUP(VALUE(B249),'📦 Productos'!A:C,3,FALSE),""))),"")</f>
      </c>
      <c r="D249" s="28" t="s">
        <v>1169</v>
      </c>
      <c r="E249" s="29" t="s">
        <v>26</v>
      </c>
      <c r="F249" s="30">
        <v>0</v>
      </c>
      <c r="G249" s="31">
        <v>15500</v>
      </c>
      <c r="H249" s="32"/>
      <c r="I249" s="14">
        <v>0</v>
      </c>
      <c r="J249" s="33" t="s">
        <v>29</v>
      </c>
      <c r="K249" s="30" t="s">
        <v>738</v>
      </c>
      <c r="L249" s="29" t="s">
        <v>26</v>
      </c>
    </row>
    <row r="250" ht="20" customHeight="1" spans="1:12" x14ac:dyDescent="0.25">
      <c r="A250" s="7" t="s">
        <v>1170</v>
      </c>
      <c r="B250" s="7" t="s">
        <v>402</v>
      </c>
      <c r="C250" s="24">
        <f>IF(B250&lt;&gt;"",IFERROR(VLOOKUP(B250,'📦 Productos'!A:C,3,FALSE),IFERROR(VLOOKUP(B250&amp;"",'📦 Productos'!A:C,3,FALSE),IFERROR(VLOOKUP(VALUE(B250),'📦 Productos'!A:C,3,FALSE),""))),"")</f>
      </c>
      <c r="D250" s="7" t="s">
        <v>1171</v>
      </c>
      <c r="E250" s="8" t="s">
        <v>26</v>
      </c>
      <c r="F250" s="12">
        <v>0</v>
      </c>
      <c r="G250" s="25">
        <v>15500</v>
      </c>
      <c r="H250" s="26"/>
      <c r="I250" s="14">
        <v>0</v>
      </c>
      <c r="J250" s="27" t="s">
        <v>29</v>
      </c>
      <c r="K250" s="12" t="s">
        <v>738</v>
      </c>
      <c r="L250" s="8" t="s">
        <v>26</v>
      </c>
    </row>
    <row r="251" ht="20" customHeight="1" spans="1:12" x14ac:dyDescent="0.25">
      <c r="A251" s="28" t="s">
        <v>1172</v>
      </c>
      <c r="B251" s="28" t="s">
        <v>411</v>
      </c>
      <c r="C251" s="24">
        <f>IF(B251&lt;&gt;"",IFERROR(VLOOKUP(B251,'📦 Productos'!A:C,3,FALSE),IFERROR(VLOOKUP(B251&amp;"",'📦 Productos'!A:C,3,FALSE),IFERROR(VLOOKUP(VALUE(B251),'📦 Productos'!A:C,3,FALSE),""))),"")</f>
      </c>
      <c r="D251" s="28" t="s">
        <v>412</v>
      </c>
      <c r="E251" s="29" t="s">
        <v>26</v>
      </c>
      <c r="F251" s="30">
        <v>0</v>
      </c>
      <c r="G251" s="31">
        <v>26400</v>
      </c>
      <c r="H251" s="32">
        <v>17160</v>
      </c>
      <c r="I251" s="14">
        <v>35</v>
      </c>
      <c r="J251" s="33" t="s">
        <v>29</v>
      </c>
      <c r="K251" s="30" t="s">
        <v>738</v>
      </c>
      <c r="L251" s="29" t="s">
        <v>26</v>
      </c>
    </row>
    <row r="252" ht="20" customHeight="1" spans="1:12" x14ac:dyDescent="0.25">
      <c r="A252" s="7" t="s">
        <v>1173</v>
      </c>
      <c r="B252" s="7" t="s">
        <v>411</v>
      </c>
      <c r="C252" s="24">
        <f>IF(B252&lt;&gt;"",IFERROR(VLOOKUP(B252,'📦 Productos'!A:C,3,FALSE),IFERROR(VLOOKUP(B252&amp;"",'📦 Productos'!A:C,3,FALSE),IFERROR(VLOOKUP(VALUE(B252),'📦 Productos'!A:C,3,FALSE),""))),"")</f>
      </c>
      <c r="D252" s="7" t="s">
        <v>1174</v>
      </c>
      <c r="E252" s="8" t="s">
        <v>26</v>
      </c>
      <c r="F252" s="12">
        <v>0</v>
      </c>
      <c r="G252" s="25">
        <v>26400</v>
      </c>
      <c r="H252" s="26">
        <v>17160</v>
      </c>
      <c r="I252" s="14">
        <v>35</v>
      </c>
      <c r="J252" s="27" t="s">
        <v>29</v>
      </c>
      <c r="K252" s="12" t="s">
        <v>738</v>
      </c>
      <c r="L252" s="8" t="s">
        <v>26</v>
      </c>
    </row>
    <row r="253" ht="20" customHeight="1" spans="1:12" x14ac:dyDescent="0.25">
      <c r="A253" s="28" t="s">
        <v>1175</v>
      </c>
      <c r="B253" s="28" t="s">
        <v>411</v>
      </c>
      <c r="C253" s="24">
        <f>IF(B253&lt;&gt;"",IFERROR(VLOOKUP(B253,'📦 Productos'!A:C,3,FALSE),IFERROR(VLOOKUP(B253&amp;"",'📦 Productos'!A:C,3,FALSE),IFERROR(VLOOKUP(VALUE(B253),'📦 Productos'!A:C,3,FALSE),""))),"")</f>
      </c>
      <c r="D253" s="28" t="s">
        <v>1176</v>
      </c>
      <c r="E253" s="29" t="s">
        <v>26</v>
      </c>
      <c r="F253" s="30">
        <v>0</v>
      </c>
      <c r="G253" s="31">
        <v>26400</v>
      </c>
      <c r="H253" s="32">
        <v>17160</v>
      </c>
      <c r="I253" s="14">
        <v>35</v>
      </c>
      <c r="J253" s="33" t="s">
        <v>29</v>
      </c>
      <c r="K253" s="30" t="s">
        <v>738</v>
      </c>
      <c r="L253" s="29" t="s">
        <v>26</v>
      </c>
    </row>
    <row r="254" ht="20" customHeight="1" spans="1:12" x14ac:dyDescent="0.25">
      <c r="A254" s="7" t="s">
        <v>1177</v>
      </c>
      <c r="B254" s="7" t="s">
        <v>420</v>
      </c>
      <c r="C254" s="24">
        <f>IF(B254&lt;&gt;"",IFERROR(VLOOKUP(B254,'📦 Productos'!A:C,3,FALSE),IFERROR(VLOOKUP(B254&amp;"",'📦 Productos'!A:C,3,FALSE),IFERROR(VLOOKUP(VALUE(B254),'📦 Productos'!A:C,3,FALSE),""))),"")</f>
      </c>
      <c r="D254" s="7" t="s">
        <v>421</v>
      </c>
      <c r="E254" s="8" t="s">
        <v>26</v>
      </c>
      <c r="F254" s="12">
        <v>0</v>
      </c>
      <c r="G254" s="25">
        <v>32500</v>
      </c>
      <c r="H254" s="26">
        <v>16250</v>
      </c>
      <c r="I254" s="14">
        <v>50</v>
      </c>
      <c r="J254" s="27" t="s">
        <v>29</v>
      </c>
      <c r="K254" s="12" t="s">
        <v>738</v>
      </c>
      <c r="L254" s="8" t="s">
        <v>26</v>
      </c>
    </row>
    <row r="255" ht="20" customHeight="1" spans="1:12" x14ac:dyDescent="0.25">
      <c r="A255" s="28" t="s">
        <v>1178</v>
      </c>
      <c r="B255" s="28" t="s">
        <v>420</v>
      </c>
      <c r="C255" s="24">
        <f>IF(B255&lt;&gt;"",IFERROR(VLOOKUP(B255,'📦 Productos'!A:C,3,FALSE),IFERROR(VLOOKUP(B255&amp;"",'📦 Productos'!A:C,3,FALSE),IFERROR(VLOOKUP(VALUE(B255),'📦 Productos'!A:C,3,FALSE),""))),"")</f>
      </c>
      <c r="D255" s="28" t="s">
        <v>1179</v>
      </c>
      <c r="E255" s="29" t="s">
        <v>26</v>
      </c>
      <c r="F255" s="30">
        <v>0</v>
      </c>
      <c r="G255" s="31">
        <v>32500</v>
      </c>
      <c r="H255" s="32">
        <v>21125</v>
      </c>
      <c r="I255" s="14">
        <v>35</v>
      </c>
      <c r="J255" s="33" t="s">
        <v>29</v>
      </c>
      <c r="K255" s="30" t="s">
        <v>738</v>
      </c>
      <c r="L255" s="29" t="s">
        <v>26</v>
      </c>
    </row>
    <row r="256" ht="20" customHeight="1" spans="1:12" x14ac:dyDescent="0.25">
      <c r="A256" s="7" t="s">
        <v>1180</v>
      </c>
      <c r="B256" s="7" t="s">
        <v>420</v>
      </c>
      <c r="C256" s="24">
        <f>IF(B256&lt;&gt;"",IFERROR(VLOOKUP(B256,'📦 Productos'!A:C,3,FALSE),IFERROR(VLOOKUP(B256&amp;"",'📦 Productos'!A:C,3,FALSE),IFERROR(VLOOKUP(VALUE(B256),'📦 Productos'!A:C,3,FALSE),""))),"")</f>
      </c>
      <c r="D256" s="7" t="s">
        <v>1181</v>
      </c>
      <c r="E256" s="8" t="s">
        <v>26</v>
      </c>
      <c r="F256" s="12">
        <v>0</v>
      </c>
      <c r="G256" s="25">
        <v>32500</v>
      </c>
      <c r="H256" s="26">
        <v>21125</v>
      </c>
      <c r="I256" s="14">
        <v>35</v>
      </c>
      <c r="J256" s="27" t="s">
        <v>29</v>
      </c>
      <c r="K256" s="12" t="s">
        <v>738</v>
      </c>
      <c r="L256" s="8" t="s">
        <v>26</v>
      </c>
    </row>
    <row r="257" ht="20" customHeight="1" spans="1:12" x14ac:dyDescent="0.25">
      <c r="A257" s="28" t="s">
        <v>1182</v>
      </c>
      <c r="B257" s="28" t="s">
        <v>420</v>
      </c>
      <c r="C257" s="24">
        <f>IF(B257&lt;&gt;"",IFERROR(VLOOKUP(B257,'📦 Productos'!A:C,3,FALSE),IFERROR(VLOOKUP(B257&amp;"",'📦 Productos'!A:C,3,FALSE),IFERROR(VLOOKUP(VALUE(B257),'📦 Productos'!A:C,3,FALSE),""))),"")</f>
      </c>
      <c r="D257" s="28" t="s">
        <v>1183</v>
      </c>
      <c r="E257" s="29" t="s">
        <v>26</v>
      </c>
      <c r="F257" s="30">
        <v>0</v>
      </c>
      <c r="G257" s="31">
        <v>32500</v>
      </c>
      <c r="H257" s="32">
        <v>16250</v>
      </c>
      <c r="I257" s="14">
        <v>50</v>
      </c>
      <c r="J257" s="33" t="s">
        <v>29</v>
      </c>
      <c r="K257" s="30" t="s">
        <v>738</v>
      </c>
      <c r="L257" s="29" t="s">
        <v>26</v>
      </c>
    </row>
    <row r="258" ht="20" customHeight="1" spans="1:12" x14ac:dyDescent="0.25">
      <c r="A258" s="7" t="s">
        <v>1184</v>
      </c>
      <c r="B258" s="7" t="s">
        <v>420</v>
      </c>
      <c r="C258" s="24">
        <f>IF(B258&lt;&gt;"",IFERROR(VLOOKUP(B258,'📦 Productos'!A:C,3,FALSE),IFERROR(VLOOKUP(B258&amp;"",'📦 Productos'!A:C,3,FALSE),IFERROR(VLOOKUP(VALUE(B258),'📦 Productos'!A:C,3,FALSE),""))),"")</f>
      </c>
      <c r="D258" s="7" t="s">
        <v>1185</v>
      </c>
      <c r="E258" s="8" t="s">
        <v>26</v>
      </c>
      <c r="F258" s="12">
        <v>0</v>
      </c>
      <c r="G258" s="25">
        <v>32500</v>
      </c>
      <c r="H258" s="26">
        <v>16250</v>
      </c>
      <c r="I258" s="14">
        <v>50</v>
      </c>
      <c r="J258" s="27" t="s">
        <v>29</v>
      </c>
      <c r="K258" s="12" t="s">
        <v>738</v>
      </c>
      <c r="L258" s="8" t="s">
        <v>26</v>
      </c>
    </row>
    <row r="259" ht="20" customHeight="1" spans="1:12" x14ac:dyDescent="0.25">
      <c r="A259" s="28" t="s">
        <v>1186</v>
      </c>
      <c r="B259" s="28" t="s">
        <v>420</v>
      </c>
      <c r="C259" s="24">
        <f>IF(B259&lt;&gt;"",IFERROR(VLOOKUP(B259,'📦 Productos'!A:C,3,FALSE),IFERROR(VLOOKUP(B259&amp;"",'📦 Productos'!A:C,3,FALSE),IFERROR(VLOOKUP(VALUE(B259),'📦 Productos'!A:C,3,FALSE),""))),"")</f>
      </c>
      <c r="D259" s="28" t="s">
        <v>1187</v>
      </c>
      <c r="E259" s="29" t="s">
        <v>26</v>
      </c>
      <c r="F259" s="30">
        <v>0</v>
      </c>
      <c r="G259" s="31">
        <v>32500</v>
      </c>
      <c r="H259" s="32">
        <v>21125</v>
      </c>
      <c r="I259" s="14">
        <v>35</v>
      </c>
      <c r="J259" s="33" t="s">
        <v>29</v>
      </c>
      <c r="K259" s="30" t="s">
        <v>738</v>
      </c>
      <c r="L259" s="29" t="s">
        <v>26</v>
      </c>
    </row>
    <row r="260" ht="20" customHeight="1" spans="1:12" x14ac:dyDescent="0.25">
      <c r="A260" s="7" t="s">
        <v>1188</v>
      </c>
      <c r="B260" s="7" t="s">
        <v>424</v>
      </c>
      <c r="C260" s="24">
        <f>IF(B260&lt;&gt;"",IFERROR(VLOOKUP(B260,'📦 Productos'!A:C,3,FALSE),IFERROR(VLOOKUP(B260&amp;"",'📦 Productos'!A:C,3,FALSE),IFERROR(VLOOKUP(VALUE(B260),'📦 Productos'!A:C,3,FALSE),""))),"")</f>
      </c>
      <c r="D260" s="7" t="s">
        <v>425</v>
      </c>
      <c r="E260" s="8" t="s">
        <v>26</v>
      </c>
      <c r="F260" s="12">
        <v>0</v>
      </c>
      <c r="G260" s="25">
        <v>27900</v>
      </c>
      <c r="H260" s="26">
        <v>18135</v>
      </c>
      <c r="I260" s="14">
        <v>35</v>
      </c>
      <c r="J260" s="27" t="s">
        <v>29</v>
      </c>
      <c r="K260" s="12" t="s">
        <v>738</v>
      </c>
      <c r="L260" s="8" t="s">
        <v>26</v>
      </c>
    </row>
    <row r="261" ht="20" customHeight="1" spans="1:12" x14ac:dyDescent="0.25">
      <c r="A261" s="28" t="s">
        <v>1189</v>
      </c>
      <c r="B261" s="28" t="s">
        <v>424</v>
      </c>
      <c r="C261" s="24">
        <f>IF(B261&lt;&gt;"",IFERROR(VLOOKUP(B261,'📦 Productos'!A:C,3,FALSE),IFERROR(VLOOKUP(B261&amp;"",'📦 Productos'!A:C,3,FALSE),IFERROR(VLOOKUP(VALUE(B261),'📦 Productos'!A:C,3,FALSE),""))),"")</f>
      </c>
      <c r="D261" s="28" t="s">
        <v>1190</v>
      </c>
      <c r="E261" s="29" t="s">
        <v>26</v>
      </c>
      <c r="F261" s="30">
        <v>0</v>
      </c>
      <c r="G261" s="31">
        <v>27900</v>
      </c>
      <c r="H261" s="32">
        <v>18135</v>
      </c>
      <c r="I261" s="14">
        <v>35</v>
      </c>
      <c r="J261" s="33" t="s">
        <v>29</v>
      </c>
      <c r="K261" s="30" t="s">
        <v>738</v>
      </c>
      <c r="L261" s="29" t="s">
        <v>26</v>
      </c>
    </row>
    <row r="262" ht="20" customHeight="1" spans="1:12" x14ac:dyDescent="0.25">
      <c r="A262" s="7" t="s">
        <v>1191</v>
      </c>
      <c r="B262" s="7" t="s">
        <v>424</v>
      </c>
      <c r="C262" s="24">
        <f>IF(B262&lt;&gt;"",IFERROR(VLOOKUP(B262,'📦 Productos'!A:C,3,FALSE),IFERROR(VLOOKUP(B262&amp;"",'📦 Productos'!A:C,3,FALSE),IFERROR(VLOOKUP(VALUE(B262),'📦 Productos'!A:C,3,FALSE),""))),"")</f>
      </c>
      <c r="D262" s="7" t="s">
        <v>1192</v>
      </c>
      <c r="E262" s="8" t="s">
        <v>26</v>
      </c>
      <c r="F262" s="12">
        <v>0</v>
      </c>
      <c r="G262" s="25">
        <v>27900</v>
      </c>
      <c r="H262" s="26">
        <v>18135</v>
      </c>
      <c r="I262" s="14">
        <v>35</v>
      </c>
      <c r="J262" s="27" t="s">
        <v>29</v>
      </c>
      <c r="K262" s="12" t="s">
        <v>738</v>
      </c>
      <c r="L262" s="8" t="s">
        <v>26</v>
      </c>
    </row>
    <row r="263" ht="20" customHeight="1" spans="1:12" x14ac:dyDescent="0.25">
      <c r="A263" s="28" t="s">
        <v>1193</v>
      </c>
      <c r="B263" s="28" t="s">
        <v>424</v>
      </c>
      <c r="C263" s="24">
        <f>IF(B263&lt;&gt;"",IFERROR(VLOOKUP(B263,'📦 Productos'!A:C,3,FALSE),IFERROR(VLOOKUP(B263&amp;"",'📦 Productos'!A:C,3,FALSE),IFERROR(VLOOKUP(VALUE(B263),'📦 Productos'!A:C,3,FALSE),""))),"")</f>
      </c>
      <c r="D263" s="28" t="s">
        <v>1194</v>
      </c>
      <c r="E263" s="29" t="s">
        <v>26</v>
      </c>
      <c r="F263" s="30">
        <v>0</v>
      </c>
      <c r="G263" s="31">
        <v>27900</v>
      </c>
      <c r="H263" s="32">
        <v>18135</v>
      </c>
      <c r="I263" s="14">
        <v>35</v>
      </c>
      <c r="J263" s="33" t="s">
        <v>29</v>
      </c>
      <c r="K263" s="30" t="s">
        <v>738</v>
      </c>
      <c r="L263" s="29" t="s">
        <v>26</v>
      </c>
    </row>
    <row r="264" ht="20" customHeight="1" spans="1:12" x14ac:dyDescent="0.25">
      <c r="A264" s="7" t="s">
        <v>1195</v>
      </c>
      <c r="B264" s="7" t="s">
        <v>424</v>
      </c>
      <c r="C264" s="24">
        <f>IF(B264&lt;&gt;"",IFERROR(VLOOKUP(B264,'📦 Productos'!A:C,3,FALSE),IFERROR(VLOOKUP(B264&amp;"",'📦 Productos'!A:C,3,FALSE),IFERROR(VLOOKUP(VALUE(B264),'📦 Productos'!A:C,3,FALSE),""))),"")</f>
      </c>
      <c r="D264" s="7" t="s">
        <v>1196</v>
      </c>
      <c r="E264" s="8" t="s">
        <v>26</v>
      </c>
      <c r="F264" s="12">
        <v>0</v>
      </c>
      <c r="G264" s="25">
        <v>27900</v>
      </c>
      <c r="H264" s="26">
        <v>18135</v>
      </c>
      <c r="I264" s="14">
        <v>35</v>
      </c>
      <c r="J264" s="27" t="s">
        <v>29</v>
      </c>
      <c r="K264" s="12" t="s">
        <v>738</v>
      </c>
      <c r="L264" s="8" t="s">
        <v>26</v>
      </c>
    </row>
    <row r="265" ht="20" customHeight="1" spans="1:12" x14ac:dyDescent="0.25">
      <c r="A265" s="28" t="s">
        <v>1197</v>
      </c>
      <c r="B265" s="28" t="s">
        <v>428</v>
      </c>
      <c r="C265" s="24">
        <f>IF(B265&lt;&gt;"",IFERROR(VLOOKUP(B265,'📦 Productos'!A:C,3,FALSE),IFERROR(VLOOKUP(B265&amp;"",'📦 Productos'!A:C,3,FALSE),IFERROR(VLOOKUP(VALUE(B265),'📦 Productos'!A:C,3,FALSE),""))),"")</f>
      </c>
      <c r="D265" s="28" t="s">
        <v>429</v>
      </c>
      <c r="E265" s="29" t="s">
        <v>26</v>
      </c>
      <c r="F265" s="30">
        <v>0</v>
      </c>
      <c r="G265" s="31">
        <v>31500</v>
      </c>
      <c r="H265" s="32">
        <v>20475</v>
      </c>
      <c r="I265" s="14">
        <v>35</v>
      </c>
      <c r="J265" s="33" t="s">
        <v>29</v>
      </c>
      <c r="K265" s="30" t="s">
        <v>738</v>
      </c>
      <c r="L265" s="29" t="s">
        <v>26</v>
      </c>
    </row>
    <row r="266" ht="20" customHeight="1" spans="1:12" x14ac:dyDescent="0.25">
      <c r="A266" s="7" t="s">
        <v>1198</v>
      </c>
      <c r="B266" s="7" t="s">
        <v>428</v>
      </c>
      <c r="C266" s="24">
        <f>IF(B266&lt;&gt;"",IFERROR(VLOOKUP(B266,'📦 Productos'!A:C,3,FALSE),IFERROR(VLOOKUP(B266&amp;"",'📦 Productos'!A:C,3,FALSE),IFERROR(VLOOKUP(VALUE(B266),'📦 Productos'!A:C,3,FALSE),""))),"")</f>
      </c>
      <c r="D266" s="7" t="s">
        <v>1199</v>
      </c>
      <c r="E266" s="8" t="s">
        <v>26</v>
      </c>
      <c r="F266" s="12">
        <v>0</v>
      </c>
      <c r="G266" s="25">
        <v>31500</v>
      </c>
      <c r="H266" s="26">
        <v>20475</v>
      </c>
      <c r="I266" s="14">
        <v>35</v>
      </c>
      <c r="J266" s="27" t="s">
        <v>29</v>
      </c>
      <c r="K266" s="12" t="s">
        <v>738</v>
      </c>
      <c r="L266" s="8" t="s">
        <v>26</v>
      </c>
    </row>
    <row r="267" ht="20" customHeight="1" spans="1:12" x14ac:dyDescent="0.25">
      <c r="A267" s="28" t="s">
        <v>1200</v>
      </c>
      <c r="B267" s="28" t="s">
        <v>428</v>
      </c>
      <c r="C267" s="24">
        <f>IF(B267&lt;&gt;"",IFERROR(VLOOKUP(B267,'📦 Productos'!A:C,3,FALSE),IFERROR(VLOOKUP(B267&amp;"",'📦 Productos'!A:C,3,FALSE),IFERROR(VLOOKUP(VALUE(B267),'📦 Productos'!A:C,3,FALSE),""))),"")</f>
      </c>
      <c r="D267" s="28" t="s">
        <v>1201</v>
      </c>
      <c r="E267" s="29" t="s">
        <v>26</v>
      </c>
      <c r="F267" s="30">
        <v>0</v>
      </c>
      <c r="G267" s="31">
        <v>31500</v>
      </c>
      <c r="H267" s="32">
        <v>20475</v>
      </c>
      <c r="I267" s="14">
        <v>35</v>
      </c>
      <c r="J267" s="33" t="s">
        <v>29</v>
      </c>
      <c r="K267" s="30" t="s">
        <v>738</v>
      </c>
      <c r="L267" s="29" t="s">
        <v>26</v>
      </c>
    </row>
    <row r="268" ht="20" customHeight="1" spans="1:12" x14ac:dyDescent="0.25">
      <c r="A268" s="7" t="s">
        <v>1202</v>
      </c>
      <c r="B268" s="7" t="s">
        <v>435</v>
      </c>
      <c r="C268" s="24">
        <f>IF(B268&lt;&gt;"",IFERROR(VLOOKUP(B268,'📦 Productos'!A:C,3,FALSE),IFERROR(VLOOKUP(B268&amp;"",'📦 Productos'!A:C,3,FALSE),IFERROR(VLOOKUP(VALUE(B268),'📦 Productos'!A:C,3,FALSE),""))),"")</f>
      </c>
      <c r="D268" s="7" t="s">
        <v>436</v>
      </c>
      <c r="E268" s="8" t="s">
        <v>26</v>
      </c>
      <c r="F268" s="12">
        <v>0</v>
      </c>
      <c r="G268" s="25">
        <v>28200</v>
      </c>
      <c r="H268" s="26"/>
      <c r="I268" s="14">
        <v>0</v>
      </c>
      <c r="J268" s="27" t="s">
        <v>29</v>
      </c>
      <c r="K268" s="12" t="s">
        <v>738</v>
      </c>
      <c r="L268" s="8" t="s">
        <v>26</v>
      </c>
    </row>
    <row r="269" ht="20" customHeight="1" spans="1:12" x14ac:dyDescent="0.25">
      <c r="A269" s="28" t="s">
        <v>1203</v>
      </c>
      <c r="B269" s="28" t="s">
        <v>435</v>
      </c>
      <c r="C269" s="24">
        <f>IF(B269&lt;&gt;"",IFERROR(VLOOKUP(B269,'📦 Productos'!A:C,3,FALSE),IFERROR(VLOOKUP(B269&amp;"",'📦 Productos'!A:C,3,FALSE),IFERROR(VLOOKUP(VALUE(B269),'📦 Productos'!A:C,3,FALSE),""))),"")</f>
      </c>
      <c r="D269" s="28" t="s">
        <v>1204</v>
      </c>
      <c r="E269" s="29" t="s">
        <v>26</v>
      </c>
      <c r="F269" s="30">
        <v>0</v>
      </c>
      <c r="G269" s="31">
        <v>28200</v>
      </c>
      <c r="H269" s="32"/>
      <c r="I269" s="14">
        <v>0</v>
      </c>
      <c r="J269" s="33" t="s">
        <v>29</v>
      </c>
      <c r="K269" s="30" t="s">
        <v>738</v>
      </c>
      <c r="L269" s="29" t="s">
        <v>26</v>
      </c>
    </row>
    <row r="270" ht="20" customHeight="1" spans="1:12" x14ac:dyDescent="0.25">
      <c r="A270" s="7" t="s">
        <v>1205</v>
      </c>
      <c r="B270" s="7" t="s">
        <v>435</v>
      </c>
      <c r="C270" s="24">
        <f>IF(B270&lt;&gt;"",IFERROR(VLOOKUP(B270,'📦 Productos'!A:C,3,FALSE),IFERROR(VLOOKUP(B270&amp;"",'📦 Productos'!A:C,3,FALSE),IFERROR(VLOOKUP(VALUE(B270),'📦 Productos'!A:C,3,FALSE),""))),"")</f>
      </c>
      <c r="D270" s="7" t="s">
        <v>1206</v>
      </c>
      <c r="E270" s="8" t="s">
        <v>26</v>
      </c>
      <c r="F270" s="12">
        <v>0</v>
      </c>
      <c r="G270" s="25">
        <v>28200</v>
      </c>
      <c r="H270" s="26"/>
      <c r="I270" s="14">
        <v>0</v>
      </c>
      <c r="J270" s="27" t="s">
        <v>29</v>
      </c>
      <c r="K270" s="12" t="s">
        <v>738</v>
      </c>
      <c r="L270" s="8" t="s">
        <v>26</v>
      </c>
    </row>
    <row r="271" ht="20" customHeight="1" spans="1:12" x14ac:dyDescent="0.25">
      <c r="A271" s="28" t="s">
        <v>1207</v>
      </c>
      <c r="B271" s="28" t="s">
        <v>435</v>
      </c>
      <c r="C271" s="24">
        <f>IF(B271&lt;&gt;"",IFERROR(VLOOKUP(B271,'📦 Productos'!A:C,3,FALSE),IFERROR(VLOOKUP(B271&amp;"",'📦 Productos'!A:C,3,FALSE),IFERROR(VLOOKUP(VALUE(B271),'📦 Productos'!A:C,3,FALSE),""))),"")</f>
      </c>
      <c r="D271" s="28" t="s">
        <v>1208</v>
      </c>
      <c r="E271" s="29" t="s">
        <v>26</v>
      </c>
      <c r="F271" s="30">
        <v>0</v>
      </c>
      <c r="G271" s="31">
        <v>28200</v>
      </c>
      <c r="H271" s="32"/>
      <c r="I271" s="14">
        <v>0</v>
      </c>
      <c r="J271" s="33" t="s">
        <v>29</v>
      </c>
      <c r="K271" s="30" t="s">
        <v>738</v>
      </c>
      <c r="L271" s="29" t="s">
        <v>26</v>
      </c>
    </row>
    <row r="272" ht="20" customHeight="1" spans="1:12" x14ac:dyDescent="0.25">
      <c r="A272" s="7" t="s">
        <v>1209</v>
      </c>
      <c r="B272" s="7" t="s">
        <v>439</v>
      </c>
      <c r="C272" s="24">
        <f>IF(B272&lt;&gt;"",IFERROR(VLOOKUP(B272,'📦 Productos'!A:C,3,FALSE),IFERROR(VLOOKUP(B272&amp;"",'📦 Productos'!A:C,3,FALSE),IFERROR(VLOOKUP(VALUE(B272),'📦 Productos'!A:C,3,FALSE),""))),"")</f>
      </c>
      <c r="D272" s="7" t="s">
        <v>26</v>
      </c>
      <c r="E272" s="8" t="s">
        <v>26</v>
      </c>
      <c r="F272" s="12">
        <v>0</v>
      </c>
      <c r="G272" s="25">
        <v>28200</v>
      </c>
      <c r="H272" s="26">
        <v>18330</v>
      </c>
      <c r="I272" s="14">
        <v>35</v>
      </c>
      <c r="J272" s="27" t="s">
        <v>29</v>
      </c>
      <c r="K272" s="12" t="s">
        <v>738</v>
      </c>
      <c r="L272" s="8" t="s">
        <v>26</v>
      </c>
    </row>
    <row r="273" ht="20" customHeight="1" spans="1:12" x14ac:dyDescent="0.25">
      <c r="A273" s="28" t="s">
        <v>1210</v>
      </c>
      <c r="B273" s="28" t="s">
        <v>439</v>
      </c>
      <c r="C273" s="24">
        <f>IF(B273&lt;&gt;"",IFERROR(VLOOKUP(B273,'📦 Productos'!A:C,3,FALSE),IFERROR(VLOOKUP(B273&amp;"",'📦 Productos'!A:C,3,FALSE),IFERROR(VLOOKUP(VALUE(B273),'📦 Productos'!A:C,3,FALSE),""))),"")</f>
      </c>
      <c r="D273" s="28" t="s">
        <v>26</v>
      </c>
      <c r="E273" s="29" t="s">
        <v>26</v>
      </c>
      <c r="F273" s="30">
        <v>0</v>
      </c>
      <c r="G273" s="31">
        <v>28200</v>
      </c>
      <c r="H273" s="32">
        <v>18330</v>
      </c>
      <c r="I273" s="14">
        <v>35</v>
      </c>
      <c r="J273" s="33" t="s">
        <v>29</v>
      </c>
      <c r="K273" s="30" t="s">
        <v>738</v>
      </c>
      <c r="L273" s="29" t="s">
        <v>26</v>
      </c>
    </row>
    <row r="274" ht="20" customHeight="1" spans="1:12" x14ac:dyDescent="0.25">
      <c r="A274" s="7" t="s">
        <v>1211</v>
      </c>
      <c r="B274" s="7" t="s">
        <v>439</v>
      </c>
      <c r="C274" s="24">
        <f>IF(B274&lt;&gt;"",IFERROR(VLOOKUP(B274,'📦 Productos'!A:C,3,FALSE),IFERROR(VLOOKUP(B274&amp;"",'📦 Productos'!A:C,3,FALSE),IFERROR(VLOOKUP(VALUE(B274),'📦 Productos'!A:C,3,FALSE),""))),"")</f>
      </c>
      <c r="D274" s="7" t="s">
        <v>26</v>
      </c>
      <c r="E274" s="8" t="s">
        <v>26</v>
      </c>
      <c r="F274" s="12">
        <v>0</v>
      </c>
      <c r="G274" s="25">
        <v>28200</v>
      </c>
      <c r="H274" s="26">
        <v>18330</v>
      </c>
      <c r="I274" s="14">
        <v>35</v>
      </c>
      <c r="J274" s="27" t="s">
        <v>29</v>
      </c>
      <c r="K274" s="12" t="s">
        <v>738</v>
      </c>
      <c r="L274" s="8" t="s">
        <v>26</v>
      </c>
    </row>
    <row r="275" ht="20" customHeight="1" spans="1:12" x14ac:dyDescent="0.25">
      <c r="A275" s="28" t="s">
        <v>1212</v>
      </c>
      <c r="B275" s="28" t="s">
        <v>439</v>
      </c>
      <c r="C275" s="24">
        <f>IF(B275&lt;&gt;"",IFERROR(VLOOKUP(B275,'📦 Productos'!A:C,3,FALSE),IFERROR(VLOOKUP(B275&amp;"",'📦 Productos'!A:C,3,FALSE),IFERROR(VLOOKUP(VALUE(B275),'📦 Productos'!A:C,3,FALSE),""))),"")</f>
      </c>
      <c r="D275" s="28" t="s">
        <v>26</v>
      </c>
      <c r="E275" s="29" t="s">
        <v>26</v>
      </c>
      <c r="F275" s="30">
        <v>0</v>
      </c>
      <c r="G275" s="31">
        <v>28200</v>
      </c>
      <c r="H275" s="32">
        <v>18330</v>
      </c>
      <c r="I275" s="14">
        <v>35</v>
      </c>
      <c r="J275" s="33" t="s">
        <v>29</v>
      </c>
      <c r="K275" s="30" t="s">
        <v>738</v>
      </c>
      <c r="L275" s="29" t="s">
        <v>26</v>
      </c>
    </row>
    <row r="276" ht="20" customHeight="1" spans="1:12" x14ac:dyDescent="0.25">
      <c r="A276" s="7" t="s">
        <v>1213</v>
      </c>
      <c r="B276" s="7" t="s">
        <v>441</v>
      </c>
      <c r="C276" s="24">
        <f>IF(B276&lt;&gt;"",IFERROR(VLOOKUP(B276,'📦 Productos'!A:C,3,FALSE),IFERROR(VLOOKUP(B276&amp;"",'📦 Productos'!A:C,3,FALSE),IFERROR(VLOOKUP(VALUE(B276),'📦 Productos'!A:C,3,FALSE),""))),"")</f>
      </c>
      <c r="D276" s="7" t="s">
        <v>26</v>
      </c>
      <c r="E276" s="8" t="s">
        <v>26</v>
      </c>
      <c r="F276" s="12">
        <v>0</v>
      </c>
      <c r="G276" s="25">
        <v>42900</v>
      </c>
      <c r="H276" s="26">
        <v>27885</v>
      </c>
      <c r="I276" s="14">
        <v>35</v>
      </c>
      <c r="J276" s="27" t="s">
        <v>29</v>
      </c>
      <c r="K276" s="12" t="s">
        <v>738</v>
      </c>
      <c r="L276" s="8" t="s">
        <v>26</v>
      </c>
    </row>
    <row r="277" ht="20" customHeight="1" spans="1:12" x14ac:dyDescent="0.25">
      <c r="A277" s="28" t="s">
        <v>1214</v>
      </c>
      <c r="B277" s="28" t="s">
        <v>441</v>
      </c>
      <c r="C277" s="24">
        <f>IF(B277&lt;&gt;"",IFERROR(VLOOKUP(B277,'📦 Productos'!A:C,3,FALSE),IFERROR(VLOOKUP(B277&amp;"",'📦 Productos'!A:C,3,FALSE),IFERROR(VLOOKUP(VALUE(B277),'📦 Productos'!A:C,3,FALSE),""))),"")</f>
      </c>
      <c r="D277" s="28" t="s">
        <v>26</v>
      </c>
      <c r="E277" s="29" t="s">
        <v>26</v>
      </c>
      <c r="F277" s="30">
        <v>0</v>
      </c>
      <c r="G277" s="31">
        <v>42900</v>
      </c>
      <c r="H277" s="32">
        <v>27885</v>
      </c>
      <c r="I277" s="14">
        <v>35</v>
      </c>
      <c r="J277" s="33" t="s">
        <v>29</v>
      </c>
      <c r="K277" s="30" t="s">
        <v>738</v>
      </c>
      <c r="L277" s="29" t="s">
        <v>26</v>
      </c>
    </row>
    <row r="278" ht="20" customHeight="1" spans="1:12" x14ac:dyDescent="0.25">
      <c r="A278" s="7" t="s">
        <v>1215</v>
      </c>
      <c r="B278" s="7" t="s">
        <v>443</v>
      </c>
      <c r="C278" s="24">
        <f>IF(B278&lt;&gt;"",IFERROR(VLOOKUP(B278,'📦 Productos'!A:C,3,FALSE),IFERROR(VLOOKUP(B278&amp;"",'📦 Productos'!A:C,3,FALSE),IFERROR(VLOOKUP(VALUE(B278),'📦 Productos'!A:C,3,FALSE),""))),"")</f>
      </c>
      <c r="D278" s="7" t="s">
        <v>444</v>
      </c>
      <c r="E278" s="8" t="s">
        <v>26</v>
      </c>
      <c r="F278" s="12">
        <v>0</v>
      </c>
      <c r="G278" s="25">
        <v>42900</v>
      </c>
      <c r="H278" s="26">
        <v>21450</v>
      </c>
      <c r="I278" s="14">
        <v>50</v>
      </c>
      <c r="J278" s="27" t="s">
        <v>29</v>
      </c>
      <c r="K278" s="12" t="s">
        <v>738</v>
      </c>
      <c r="L278" s="8" t="s">
        <v>26</v>
      </c>
    </row>
    <row r="279" ht="20" customHeight="1" spans="1:12" x14ac:dyDescent="0.25">
      <c r="A279" s="28" t="s">
        <v>1216</v>
      </c>
      <c r="B279" s="28" t="s">
        <v>443</v>
      </c>
      <c r="C279" s="24">
        <f>IF(B279&lt;&gt;"",IFERROR(VLOOKUP(B279,'📦 Productos'!A:C,3,FALSE),IFERROR(VLOOKUP(B279&amp;"",'📦 Productos'!A:C,3,FALSE),IFERROR(VLOOKUP(VALUE(B279),'📦 Productos'!A:C,3,FALSE),""))),"")</f>
      </c>
      <c r="D279" s="28" t="s">
        <v>1217</v>
      </c>
      <c r="E279" s="29" t="s">
        <v>26</v>
      </c>
      <c r="F279" s="30">
        <v>0</v>
      </c>
      <c r="G279" s="31">
        <v>42900</v>
      </c>
      <c r="H279" s="32">
        <v>21450</v>
      </c>
      <c r="I279" s="14">
        <v>50</v>
      </c>
      <c r="J279" s="33" t="s">
        <v>29</v>
      </c>
      <c r="K279" s="30" t="s">
        <v>738</v>
      </c>
      <c r="L279" s="29" t="s">
        <v>26</v>
      </c>
    </row>
    <row r="280" ht="20" customHeight="1" spans="1:12" x14ac:dyDescent="0.25">
      <c r="A280" s="7" t="s">
        <v>1218</v>
      </c>
      <c r="B280" s="7" t="s">
        <v>443</v>
      </c>
      <c r="C280" s="24">
        <f>IF(B280&lt;&gt;"",IFERROR(VLOOKUP(B280,'📦 Productos'!A:C,3,FALSE),IFERROR(VLOOKUP(B280&amp;"",'📦 Productos'!A:C,3,FALSE),IFERROR(VLOOKUP(VALUE(B280),'📦 Productos'!A:C,3,FALSE),""))),"")</f>
      </c>
      <c r="D280" s="7" t="s">
        <v>1219</v>
      </c>
      <c r="E280" s="8" t="s">
        <v>26</v>
      </c>
      <c r="F280" s="12">
        <v>0</v>
      </c>
      <c r="G280" s="25">
        <v>42900</v>
      </c>
      <c r="H280" s="26">
        <v>21450</v>
      </c>
      <c r="I280" s="14">
        <v>50</v>
      </c>
      <c r="J280" s="27" t="s">
        <v>29</v>
      </c>
      <c r="K280" s="12" t="s">
        <v>738</v>
      </c>
      <c r="L280" s="8" t="s">
        <v>26</v>
      </c>
    </row>
    <row r="281" ht="20" customHeight="1" spans="1:12" x14ac:dyDescent="0.25">
      <c r="A281" s="28" t="s">
        <v>1220</v>
      </c>
      <c r="B281" s="28" t="s">
        <v>443</v>
      </c>
      <c r="C281" s="24">
        <f>IF(B281&lt;&gt;"",IFERROR(VLOOKUP(B281,'📦 Productos'!A:C,3,FALSE),IFERROR(VLOOKUP(B281&amp;"",'📦 Productos'!A:C,3,FALSE),IFERROR(VLOOKUP(VALUE(B281),'📦 Productos'!A:C,3,FALSE),""))),"")</f>
      </c>
      <c r="D281" s="28" t="s">
        <v>1221</v>
      </c>
      <c r="E281" s="29" t="s">
        <v>26</v>
      </c>
      <c r="F281" s="30">
        <v>0</v>
      </c>
      <c r="G281" s="31">
        <v>42900</v>
      </c>
      <c r="H281" s="32">
        <v>21450</v>
      </c>
      <c r="I281" s="14">
        <v>50</v>
      </c>
      <c r="J281" s="33" t="s">
        <v>29</v>
      </c>
      <c r="K281" s="30" t="s">
        <v>738</v>
      </c>
      <c r="L281" s="29" t="s">
        <v>26</v>
      </c>
    </row>
    <row r="282" ht="20" customHeight="1" spans="1:12" x14ac:dyDescent="0.25">
      <c r="A282" s="7" t="s">
        <v>1222</v>
      </c>
      <c r="B282" s="7" t="s">
        <v>443</v>
      </c>
      <c r="C282" s="24">
        <f>IF(B282&lt;&gt;"",IFERROR(VLOOKUP(B282,'📦 Productos'!A:C,3,FALSE),IFERROR(VLOOKUP(B282&amp;"",'📦 Productos'!A:C,3,FALSE),IFERROR(VLOOKUP(VALUE(B282),'📦 Productos'!A:C,3,FALSE),""))),"")</f>
      </c>
      <c r="D282" s="7" t="s">
        <v>1223</v>
      </c>
      <c r="E282" s="8" t="s">
        <v>26</v>
      </c>
      <c r="F282" s="12">
        <v>0</v>
      </c>
      <c r="G282" s="25">
        <v>42900</v>
      </c>
      <c r="H282" s="26">
        <v>21450</v>
      </c>
      <c r="I282" s="14">
        <v>50</v>
      </c>
      <c r="J282" s="27" t="s">
        <v>29</v>
      </c>
      <c r="K282" s="12" t="s">
        <v>738</v>
      </c>
      <c r="L282" s="8" t="s">
        <v>26</v>
      </c>
    </row>
    <row r="283" ht="20" customHeight="1" spans="1:12" x14ac:dyDescent="0.25">
      <c r="A283" s="28" t="s">
        <v>1224</v>
      </c>
      <c r="B283" s="28" t="s">
        <v>447</v>
      </c>
      <c r="C283" s="24">
        <f>IF(B283&lt;&gt;"",IFERROR(VLOOKUP(B283,'📦 Productos'!A:C,3,FALSE),IFERROR(VLOOKUP(B283&amp;"",'📦 Productos'!A:C,3,FALSE),IFERROR(VLOOKUP(VALUE(B283),'📦 Productos'!A:C,3,FALSE),""))),"")</f>
      </c>
      <c r="D283" s="28" t="s">
        <v>448</v>
      </c>
      <c r="E283" s="29" t="s">
        <v>26</v>
      </c>
      <c r="F283" s="30">
        <v>0</v>
      </c>
      <c r="G283" s="31">
        <v>31500</v>
      </c>
      <c r="H283" s="32">
        <v>15750</v>
      </c>
      <c r="I283" s="14">
        <v>50</v>
      </c>
      <c r="J283" s="33" t="s">
        <v>29</v>
      </c>
      <c r="K283" s="30" t="s">
        <v>738</v>
      </c>
      <c r="L283" s="29" t="s">
        <v>26</v>
      </c>
    </row>
    <row r="284" ht="20" customHeight="1" spans="1:12" x14ac:dyDescent="0.25">
      <c r="A284" s="7" t="s">
        <v>1225</v>
      </c>
      <c r="B284" s="7" t="s">
        <v>447</v>
      </c>
      <c r="C284" s="24">
        <f>IF(B284&lt;&gt;"",IFERROR(VLOOKUP(B284,'📦 Productos'!A:C,3,FALSE),IFERROR(VLOOKUP(B284&amp;"",'📦 Productos'!A:C,3,FALSE),IFERROR(VLOOKUP(VALUE(B284),'📦 Productos'!A:C,3,FALSE),""))),"")</f>
      </c>
      <c r="D284" s="7" t="s">
        <v>1226</v>
      </c>
      <c r="E284" s="8" t="s">
        <v>26</v>
      </c>
      <c r="F284" s="12">
        <v>0</v>
      </c>
      <c r="G284" s="25">
        <v>31500</v>
      </c>
      <c r="H284" s="26">
        <v>15750</v>
      </c>
      <c r="I284" s="14">
        <v>50</v>
      </c>
      <c r="J284" s="27" t="s">
        <v>29</v>
      </c>
      <c r="K284" s="12" t="s">
        <v>738</v>
      </c>
      <c r="L284" s="8" t="s">
        <v>26</v>
      </c>
    </row>
    <row r="285" ht="20" customHeight="1" spans="1:12" x14ac:dyDescent="0.25">
      <c r="A285" s="28" t="s">
        <v>1227</v>
      </c>
      <c r="B285" s="28" t="s">
        <v>447</v>
      </c>
      <c r="C285" s="24">
        <f>IF(B285&lt;&gt;"",IFERROR(VLOOKUP(B285,'📦 Productos'!A:C,3,FALSE),IFERROR(VLOOKUP(B285&amp;"",'📦 Productos'!A:C,3,FALSE),IFERROR(VLOOKUP(VALUE(B285),'📦 Productos'!A:C,3,FALSE),""))),"")</f>
      </c>
      <c r="D285" s="28" t="s">
        <v>1228</v>
      </c>
      <c r="E285" s="29" t="s">
        <v>26</v>
      </c>
      <c r="F285" s="30">
        <v>0</v>
      </c>
      <c r="G285" s="31">
        <v>31500</v>
      </c>
      <c r="H285" s="32">
        <v>15750</v>
      </c>
      <c r="I285" s="14">
        <v>50</v>
      </c>
      <c r="J285" s="33" t="s">
        <v>29</v>
      </c>
      <c r="K285" s="30" t="s">
        <v>738</v>
      </c>
      <c r="L285" s="29" t="s">
        <v>26</v>
      </c>
    </row>
    <row r="286" ht="20" customHeight="1" spans="1:12" x14ac:dyDescent="0.25">
      <c r="A286" s="7" t="s">
        <v>1229</v>
      </c>
      <c r="B286" s="7" t="s">
        <v>467</v>
      </c>
      <c r="C286" s="24">
        <f>IF(B286&lt;&gt;"",IFERROR(VLOOKUP(B286,'📦 Productos'!A:C,3,FALSE),IFERROR(VLOOKUP(B286&amp;"",'📦 Productos'!A:C,3,FALSE),IFERROR(VLOOKUP(VALUE(B286),'📦 Productos'!A:C,3,FALSE),""))),"")</f>
      </c>
      <c r="D286" s="7" t="s">
        <v>468</v>
      </c>
      <c r="E286" s="8" t="s">
        <v>26</v>
      </c>
      <c r="F286" s="12">
        <v>0</v>
      </c>
      <c r="G286" s="25">
        <v>42900</v>
      </c>
      <c r="H286" s="26">
        <v>21450</v>
      </c>
      <c r="I286" s="14">
        <v>50</v>
      </c>
      <c r="J286" s="27" t="s">
        <v>29</v>
      </c>
      <c r="K286" s="12" t="s">
        <v>738</v>
      </c>
      <c r="L286" s="8" t="s">
        <v>26</v>
      </c>
    </row>
    <row r="287" ht="20" customHeight="1" spans="1:12" x14ac:dyDescent="0.25">
      <c r="A287" s="28" t="s">
        <v>1230</v>
      </c>
      <c r="B287" s="28" t="s">
        <v>467</v>
      </c>
      <c r="C287" s="24">
        <f>IF(B287&lt;&gt;"",IFERROR(VLOOKUP(B287,'📦 Productos'!A:C,3,FALSE),IFERROR(VLOOKUP(B287&amp;"",'📦 Productos'!A:C,3,FALSE),IFERROR(VLOOKUP(VALUE(B287),'📦 Productos'!A:C,3,FALSE),""))),"")</f>
      </c>
      <c r="D287" s="28" t="s">
        <v>1231</v>
      </c>
      <c r="E287" s="29" t="s">
        <v>26</v>
      </c>
      <c r="F287" s="30">
        <v>0</v>
      </c>
      <c r="G287" s="31">
        <v>42900</v>
      </c>
      <c r="H287" s="32">
        <v>21450</v>
      </c>
      <c r="I287" s="14">
        <v>50</v>
      </c>
      <c r="J287" s="33" t="s">
        <v>29</v>
      </c>
      <c r="K287" s="30" t="s">
        <v>738</v>
      </c>
      <c r="L287" s="29" t="s">
        <v>26</v>
      </c>
    </row>
    <row r="288" ht="20" customHeight="1" spans="1:12" x14ac:dyDescent="0.25">
      <c r="A288" s="7" t="s">
        <v>1232</v>
      </c>
      <c r="B288" s="7" t="s">
        <v>467</v>
      </c>
      <c r="C288" s="24">
        <f>IF(B288&lt;&gt;"",IFERROR(VLOOKUP(B288,'📦 Productos'!A:C,3,FALSE),IFERROR(VLOOKUP(B288&amp;"",'📦 Productos'!A:C,3,FALSE),IFERROR(VLOOKUP(VALUE(B288),'📦 Productos'!A:C,3,FALSE),""))),"")</f>
      </c>
      <c r="D288" s="7" t="s">
        <v>1233</v>
      </c>
      <c r="E288" s="8" t="s">
        <v>26</v>
      </c>
      <c r="F288" s="12">
        <v>0</v>
      </c>
      <c r="G288" s="25">
        <v>42900</v>
      </c>
      <c r="H288" s="26">
        <v>21450</v>
      </c>
      <c r="I288" s="14">
        <v>50</v>
      </c>
      <c r="J288" s="27" t="s">
        <v>29</v>
      </c>
      <c r="K288" s="12" t="s">
        <v>738</v>
      </c>
      <c r="L288" s="8" t="s">
        <v>26</v>
      </c>
    </row>
    <row r="289" ht="20" customHeight="1" spans="1:12" x14ac:dyDescent="0.25">
      <c r="A289" s="28" t="s">
        <v>1234</v>
      </c>
      <c r="B289" s="28" t="s">
        <v>467</v>
      </c>
      <c r="C289" s="24">
        <f>IF(B289&lt;&gt;"",IFERROR(VLOOKUP(B289,'📦 Productos'!A:C,3,FALSE),IFERROR(VLOOKUP(B289&amp;"",'📦 Productos'!A:C,3,FALSE),IFERROR(VLOOKUP(VALUE(B289),'📦 Productos'!A:C,3,FALSE),""))),"")</f>
      </c>
      <c r="D289" s="28" t="s">
        <v>1235</v>
      </c>
      <c r="E289" s="29" t="s">
        <v>26</v>
      </c>
      <c r="F289" s="30">
        <v>0</v>
      </c>
      <c r="G289" s="31">
        <v>42900</v>
      </c>
      <c r="H289" s="32">
        <v>21450</v>
      </c>
      <c r="I289" s="14">
        <v>50</v>
      </c>
      <c r="J289" s="33" t="s">
        <v>29</v>
      </c>
      <c r="K289" s="30" t="s">
        <v>738</v>
      </c>
      <c r="L289" s="29" t="s">
        <v>26</v>
      </c>
    </row>
    <row r="290" ht="20" customHeight="1" spans="1:12" x14ac:dyDescent="0.25">
      <c r="A290" s="7" t="s">
        <v>1236</v>
      </c>
      <c r="B290" s="7" t="s">
        <v>467</v>
      </c>
      <c r="C290" s="24">
        <f>IF(B290&lt;&gt;"",IFERROR(VLOOKUP(B290,'📦 Productos'!A:C,3,FALSE),IFERROR(VLOOKUP(B290&amp;"",'📦 Productos'!A:C,3,FALSE),IFERROR(VLOOKUP(VALUE(B290),'📦 Productos'!A:C,3,FALSE),""))),"")</f>
      </c>
      <c r="D290" s="7" t="s">
        <v>1237</v>
      </c>
      <c r="E290" s="8" t="s">
        <v>26</v>
      </c>
      <c r="F290" s="12">
        <v>0</v>
      </c>
      <c r="G290" s="25">
        <v>42900</v>
      </c>
      <c r="H290" s="26">
        <v>21450</v>
      </c>
      <c r="I290" s="14">
        <v>50</v>
      </c>
      <c r="J290" s="27" t="s">
        <v>29</v>
      </c>
      <c r="K290" s="12" t="s">
        <v>738</v>
      </c>
      <c r="L290" s="8" t="s">
        <v>26</v>
      </c>
    </row>
    <row r="291" ht="20" customHeight="1" spans="1:12" x14ac:dyDescent="0.25">
      <c r="A291" s="28" t="s">
        <v>1238</v>
      </c>
      <c r="B291" s="28" t="s">
        <v>471</v>
      </c>
      <c r="C291" s="24">
        <f>IF(B291&lt;&gt;"",IFERROR(VLOOKUP(B291,'📦 Productos'!A:C,3,FALSE),IFERROR(VLOOKUP(B291&amp;"",'📦 Productos'!A:C,3,FALSE),IFERROR(VLOOKUP(VALUE(B291),'📦 Productos'!A:C,3,FALSE),""))),"")</f>
      </c>
      <c r="D291" s="28" t="s">
        <v>472</v>
      </c>
      <c r="E291" s="29" t="s">
        <v>26</v>
      </c>
      <c r="F291" s="30">
        <v>0</v>
      </c>
      <c r="G291" s="31">
        <v>18900</v>
      </c>
      <c r="H291" s="32">
        <v>12285</v>
      </c>
      <c r="I291" s="14">
        <v>35</v>
      </c>
      <c r="J291" s="33" t="s">
        <v>29</v>
      </c>
      <c r="K291" s="30" t="s">
        <v>738</v>
      </c>
      <c r="L291" s="29" t="s">
        <v>26</v>
      </c>
    </row>
    <row r="292" ht="20" customHeight="1" spans="1:12" x14ac:dyDescent="0.25">
      <c r="A292" s="7" t="s">
        <v>1239</v>
      </c>
      <c r="B292" s="7" t="s">
        <v>471</v>
      </c>
      <c r="C292" s="24">
        <f>IF(B292&lt;&gt;"",IFERROR(VLOOKUP(B292,'📦 Productos'!A:C,3,FALSE),IFERROR(VLOOKUP(B292&amp;"",'📦 Productos'!A:C,3,FALSE),IFERROR(VLOOKUP(VALUE(B292),'📦 Productos'!A:C,3,FALSE),""))),"")</f>
      </c>
      <c r="D292" s="7" t="s">
        <v>1240</v>
      </c>
      <c r="E292" s="8" t="s">
        <v>26</v>
      </c>
      <c r="F292" s="12">
        <v>0</v>
      </c>
      <c r="G292" s="25">
        <v>18900</v>
      </c>
      <c r="H292" s="26">
        <v>12285</v>
      </c>
      <c r="I292" s="14">
        <v>35</v>
      </c>
      <c r="J292" s="27" t="s">
        <v>29</v>
      </c>
      <c r="K292" s="12" t="s">
        <v>738</v>
      </c>
      <c r="L292" s="8" t="s">
        <v>26</v>
      </c>
    </row>
    <row r="293" ht="20" customHeight="1" spans="1:12" x14ac:dyDescent="0.25">
      <c r="A293" s="28" t="s">
        <v>1241</v>
      </c>
      <c r="B293" s="28" t="s">
        <v>471</v>
      </c>
      <c r="C293" s="24">
        <f>IF(B293&lt;&gt;"",IFERROR(VLOOKUP(B293,'📦 Productos'!A:C,3,FALSE),IFERROR(VLOOKUP(B293&amp;"",'📦 Productos'!A:C,3,FALSE),IFERROR(VLOOKUP(VALUE(B293),'📦 Productos'!A:C,3,FALSE),""))),"")</f>
      </c>
      <c r="D293" s="28" t="s">
        <v>1242</v>
      </c>
      <c r="E293" s="29" t="s">
        <v>26</v>
      </c>
      <c r="F293" s="30">
        <v>0</v>
      </c>
      <c r="G293" s="31">
        <v>18900</v>
      </c>
      <c r="H293" s="32">
        <v>12285</v>
      </c>
      <c r="I293" s="14">
        <v>35</v>
      </c>
      <c r="J293" s="33" t="s">
        <v>29</v>
      </c>
      <c r="K293" s="30" t="s">
        <v>738</v>
      </c>
      <c r="L293" s="29" t="s">
        <v>26</v>
      </c>
    </row>
    <row r="294" ht="20" customHeight="1" spans="1:12" x14ac:dyDescent="0.25">
      <c r="A294" s="7" t="s">
        <v>1243</v>
      </c>
      <c r="B294" s="7" t="s">
        <v>493</v>
      </c>
      <c r="C294" s="24">
        <f>IF(B294&lt;&gt;"",IFERROR(VLOOKUP(B294,'📦 Productos'!A:C,3,FALSE),IFERROR(VLOOKUP(B294&amp;"",'📦 Productos'!A:C,3,FALSE),IFERROR(VLOOKUP(VALUE(B294),'📦 Productos'!A:C,3,FALSE),""))),"")</f>
      </c>
      <c r="D294" s="7" t="s">
        <v>494</v>
      </c>
      <c r="E294" s="8" t="s">
        <v>26</v>
      </c>
      <c r="F294" s="12">
        <v>0</v>
      </c>
      <c r="G294" s="25">
        <v>30900</v>
      </c>
      <c r="H294" s="26">
        <v>20085</v>
      </c>
      <c r="I294" s="14">
        <v>35</v>
      </c>
      <c r="J294" s="27" t="s">
        <v>29</v>
      </c>
      <c r="K294" s="12" t="s">
        <v>738</v>
      </c>
      <c r="L294" s="8" t="s">
        <v>26</v>
      </c>
    </row>
    <row r="295" ht="20" customHeight="1" spans="1:12" x14ac:dyDescent="0.25">
      <c r="A295" s="28" t="s">
        <v>1244</v>
      </c>
      <c r="B295" s="28" t="s">
        <v>493</v>
      </c>
      <c r="C295" s="24">
        <f>IF(B295&lt;&gt;"",IFERROR(VLOOKUP(B295,'📦 Productos'!A:C,3,FALSE),IFERROR(VLOOKUP(B295&amp;"",'📦 Productos'!A:C,3,FALSE),IFERROR(VLOOKUP(VALUE(B295),'📦 Productos'!A:C,3,FALSE),""))),"")</f>
      </c>
      <c r="D295" s="28" t="s">
        <v>1245</v>
      </c>
      <c r="E295" s="29" t="s">
        <v>26</v>
      </c>
      <c r="F295" s="30">
        <v>0</v>
      </c>
      <c r="G295" s="31">
        <v>30900</v>
      </c>
      <c r="H295" s="32">
        <v>20085</v>
      </c>
      <c r="I295" s="14">
        <v>35</v>
      </c>
      <c r="J295" s="33" t="s">
        <v>29</v>
      </c>
      <c r="K295" s="30" t="s">
        <v>738</v>
      </c>
      <c r="L295" s="29" t="s">
        <v>26</v>
      </c>
    </row>
    <row r="296" ht="20" customHeight="1" spans="1:12" x14ac:dyDescent="0.25">
      <c r="A296" s="7" t="s">
        <v>1246</v>
      </c>
      <c r="B296" s="7" t="s">
        <v>493</v>
      </c>
      <c r="C296" s="24">
        <f>IF(B296&lt;&gt;"",IFERROR(VLOOKUP(B296,'📦 Productos'!A:C,3,FALSE),IFERROR(VLOOKUP(B296&amp;"",'📦 Productos'!A:C,3,FALSE),IFERROR(VLOOKUP(VALUE(B296),'📦 Productos'!A:C,3,FALSE),""))),"")</f>
      </c>
      <c r="D296" s="7" t="s">
        <v>1247</v>
      </c>
      <c r="E296" s="8" t="s">
        <v>26</v>
      </c>
      <c r="F296" s="12">
        <v>0</v>
      </c>
      <c r="G296" s="25">
        <v>30900</v>
      </c>
      <c r="H296" s="26">
        <v>20085</v>
      </c>
      <c r="I296" s="14">
        <v>35</v>
      </c>
      <c r="J296" s="27" t="s">
        <v>29</v>
      </c>
      <c r="K296" s="12" t="s">
        <v>738</v>
      </c>
      <c r="L296" s="8" t="s">
        <v>26</v>
      </c>
    </row>
    <row r="297" ht="20" customHeight="1" spans="1:12" x14ac:dyDescent="0.25">
      <c r="A297" s="28" t="s">
        <v>1248</v>
      </c>
      <c r="B297" s="28" t="s">
        <v>493</v>
      </c>
      <c r="C297" s="24">
        <f>IF(B297&lt;&gt;"",IFERROR(VLOOKUP(B297,'📦 Productos'!A:C,3,FALSE),IFERROR(VLOOKUP(B297&amp;"",'📦 Productos'!A:C,3,FALSE),IFERROR(VLOOKUP(VALUE(B297),'📦 Productos'!A:C,3,FALSE),""))),"")</f>
      </c>
      <c r="D297" s="28" t="s">
        <v>1249</v>
      </c>
      <c r="E297" s="29" t="s">
        <v>26</v>
      </c>
      <c r="F297" s="30">
        <v>0</v>
      </c>
      <c r="G297" s="31">
        <v>30900</v>
      </c>
      <c r="H297" s="32">
        <v>20085</v>
      </c>
      <c r="I297" s="14">
        <v>35</v>
      </c>
      <c r="J297" s="33" t="s">
        <v>29</v>
      </c>
      <c r="K297" s="30" t="s">
        <v>738</v>
      </c>
      <c r="L297" s="29" t="s">
        <v>26</v>
      </c>
    </row>
    <row r="298" ht="20" customHeight="1" spans="1:12" x14ac:dyDescent="0.25">
      <c r="A298" s="7" t="s">
        <v>1250</v>
      </c>
      <c r="B298" s="7" t="s">
        <v>493</v>
      </c>
      <c r="C298" s="24">
        <f>IF(B298&lt;&gt;"",IFERROR(VLOOKUP(B298,'📦 Productos'!A:C,3,FALSE),IFERROR(VLOOKUP(B298&amp;"",'📦 Productos'!A:C,3,FALSE),IFERROR(VLOOKUP(VALUE(B298),'📦 Productos'!A:C,3,FALSE),""))),"")</f>
      </c>
      <c r="D298" s="7" t="s">
        <v>1251</v>
      </c>
      <c r="E298" s="8" t="s">
        <v>26</v>
      </c>
      <c r="F298" s="12">
        <v>0</v>
      </c>
      <c r="G298" s="25">
        <v>30900</v>
      </c>
      <c r="H298" s="26">
        <v>20085</v>
      </c>
      <c r="I298" s="14">
        <v>35</v>
      </c>
      <c r="J298" s="27" t="s">
        <v>29</v>
      </c>
      <c r="K298" s="12" t="s">
        <v>738</v>
      </c>
      <c r="L298" s="8" t="s">
        <v>26</v>
      </c>
    </row>
    <row r="299" ht="20" customHeight="1" spans="1:12" x14ac:dyDescent="0.25">
      <c r="A299" s="28" t="s">
        <v>1252</v>
      </c>
      <c r="B299" s="28" t="s">
        <v>493</v>
      </c>
      <c r="C299" s="24">
        <f>IF(B299&lt;&gt;"",IFERROR(VLOOKUP(B299,'📦 Productos'!A:C,3,FALSE),IFERROR(VLOOKUP(B299&amp;"",'📦 Productos'!A:C,3,FALSE),IFERROR(VLOOKUP(VALUE(B299),'📦 Productos'!A:C,3,FALSE),""))),"")</f>
      </c>
      <c r="D299" s="28" t="s">
        <v>1253</v>
      </c>
      <c r="E299" s="29" t="s">
        <v>26</v>
      </c>
      <c r="F299" s="30">
        <v>0</v>
      </c>
      <c r="G299" s="31">
        <v>30900</v>
      </c>
      <c r="H299" s="32">
        <v>20085</v>
      </c>
      <c r="I299" s="14">
        <v>35</v>
      </c>
      <c r="J299" s="33" t="s">
        <v>29</v>
      </c>
      <c r="K299" s="30" t="s">
        <v>738</v>
      </c>
      <c r="L299" s="29" t="s">
        <v>26</v>
      </c>
    </row>
    <row r="300" ht="20" customHeight="1" spans="1:12" x14ac:dyDescent="0.25">
      <c r="A300" s="7" t="s">
        <v>1254</v>
      </c>
      <c r="B300" s="7" t="s">
        <v>493</v>
      </c>
      <c r="C300" s="24">
        <f>IF(B300&lt;&gt;"",IFERROR(VLOOKUP(B300,'📦 Productos'!A:C,3,FALSE),IFERROR(VLOOKUP(B300&amp;"",'📦 Productos'!A:C,3,FALSE),IFERROR(VLOOKUP(VALUE(B300),'📦 Productos'!A:C,3,FALSE),""))),"")</f>
      </c>
      <c r="D300" s="7" t="s">
        <v>1255</v>
      </c>
      <c r="E300" s="8" t="s">
        <v>26</v>
      </c>
      <c r="F300" s="12">
        <v>0</v>
      </c>
      <c r="G300" s="25">
        <v>30900</v>
      </c>
      <c r="H300" s="26">
        <v>20085</v>
      </c>
      <c r="I300" s="14">
        <v>35</v>
      </c>
      <c r="J300" s="27" t="s">
        <v>29</v>
      </c>
      <c r="K300" s="12" t="s">
        <v>738</v>
      </c>
      <c r="L300" s="8" t="s">
        <v>26</v>
      </c>
    </row>
    <row r="301" ht="20" customHeight="1" spans="1:12" x14ac:dyDescent="0.25">
      <c r="A301" s="28" t="s">
        <v>1256</v>
      </c>
      <c r="B301" s="28" t="s">
        <v>493</v>
      </c>
      <c r="C301" s="24">
        <f>IF(B301&lt;&gt;"",IFERROR(VLOOKUP(B301,'📦 Productos'!A:C,3,FALSE),IFERROR(VLOOKUP(B301&amp;"",'📦 Productos'!A:C,3,FALSE),IFERROR(VLOOKUP(VALUE(B301),'📦 Productos'!A:C,3,FALSE),""))),"")</f>
      </c>
      <c r="D301" s="28" t="s">
        <v>1257</v>
      </c>
      <c r="E301" s="29" t="s">
        <v>26</v>
      </c>
      <c r="F301" s="30">
        <v>0</v>
      </c>
      <c r="G301" s="31">
        <v>30900</v>
      </c>
      <c r="H301" s="32">
        <v>20085</v>
      </c>
      <c r="I301" s="14">
        <v>35</v>
      </c>
      <c r="J301" s="33" t="s">
        <v>29</v>
      </c>
      <c r="K301" s="30" t="s">
        <v>738</v>
      </c>
      <c r="L301" s="29" t="s">
        <v>26</v>
      </c>
    </row>
    <row r="302" ht="20" customHeight="1" spans="1:12" x14ac:dyDescent="0.25">
      <c r="A302" s="7" t="s">
        <v>1258</v>
      </c>
      <c r="B302" s="7" t="s">
        <v>493</v>
      </c>
      <c r="C302" s="24">
        <f>IF(B302&lt;&gt;"",IFERROR(VLOOKUP(B302,'📦 Productos'!A:C,3,FALSE),IFERROR(VLOOKUP(B302&amp;"",'📦 Productos'!A:C,3,FALSE),IFERROR(VLOOKUP(VALUE(B302),'📦 Productos'!A:C,3,FALSE),""))),"")</f>
      </c>
      <c r="D302" s="7" t="s">
        <v>1259</v>
      </c>
      <c r="E302" s="8" t="s">
        <v>26</v>
      </c>
      <c r="F302" s="12">
        <v>0</v>
      </c>
      <c r="G302" s="25">
        <v>30900</v>
      </c>
      <c r="H302" s="26">
        <v>20085</v>
      </c>
      <c r="I302" s="14">
        <v>35</v>
      </c>
      <c r="J302" s="27" t="s">
        <v>29</v>
      </c>
      <c r="K302" s="12" t="s">
        <v>738</v>
      </c>
      <c r="L302" s="8" t="s">
        <v>26</v>
      </c>
    </row>
    <row r="303" ht="20" customHeight="1" spans="1:12" x14ac:dyDescent="0.25">
      <c r="A303" s="28" t="s">
        <v>1260</v>
      </c>
      <c r="B303" s="28" t="s">
        <v>493</v>
      </c>
      <c r="C303" s="24">
        <f>IF(B303&lt;&gt;"",IFERROR(VLOOKUP(B303,'📦 Productos'!A:C,3,FALSE),IFERROR(VLOOKUP(B303&amp;"",'📦 Productos'!A:C,3,FALSE),IFERROR(VLOOKUP(VALUE(B303),'📦 Productos'!A:C,3,FALSE),""))),"")</f>
      </c>
      <c r="D303" s="28" t="s">
        <v>1261</v>
      </c>
      <c r="E303" s="29" t="s">
        <v>26</v>
      </c>
      <c r="F303" s="30">
        <v>0</v>
      </c>
      <c r="G303" s="31">
        <v>30900</v>
      </c>
      <c r="H303" s="32">
        <v>20085</v>
      </c>
      <c r="I303" s="14">
        <v>35</v>
      </c>
      <c r="J303" s="33" t="s">
        <v>29</v>
      </c>
      <c r="K303" s="30" t="s">
        <v>738</v>
      </c>
      <c r="L303" s="29" t="s">
        <v>26</v>
      </c>
    </row>
    <row r="304" ht="20" customHeight="1" spans="1:12" x14ac:dyDescent="0.25">
      <c r="A304" s="7" t="s">
        <v>1262</v>
      </c>
      <c r="B304" s="7" t="s">
        <v>497</v>
      </c>
      <c r="C304" s="24">
        <f>IF(B304&lt;&gt;"",IFERROR(VLOOKUP(B304,'📦 Productos'!A:C,3,FALSE),IFERROR(VLOOKUP(B304&amp;"",'📦 Productos'!A:C,3,FALSE),IFERROR(VLOOKUP(VALUE(B304),'📦 Productos'!A:C,3,FALSE),""))),"")</f>
      </c>
      <c r="D304" s="7" t="s">
        <v>498</v>
      </c>
      <c r="E304" s="8" t="s">
        <v>26</v>
      </c>
      <c r="F304" s="12">
        <v>0</v>
      </c>
      <c r="G304" s="25">
        <v>23900</v>
      </c>
      <c r="H304" s="26">
        <v>15535</v>
      </c>
      <c r="I304" s="14">
        <v>35</v>
      </c>
      <c r="J304" s="27" t="s">
        <v>29</v>
      </c>
      <c r="K304" s="12" t="s">
        <v>738</v>
      </c>
      <c r="L304" s="8" t="s">
        <v>26</v>
      </c>
    </row>
    <row r="305" ht="20" customHeight="1" spans="1:12" x14ac:dyDescent="0.25">
      <c r="A305" s="28" t="s">
        <v>1263</v>
      </c>
      <c r="B305" s="28" t="s">
        <v>497</v>
      </c>
      <c r="C305" s="24">
        <f>IF(B305&lt;&gt;"",IFERROR(VLOOKUP(B305,'📦 Productos'!A:C,3,FALSE),IFERROR(VLOOKUP(B305&amp;"",'📦 Productos'!A:C,3,FALSE),IFERROR(VLOOKUP(VALUE(B305),'📦 Productos'!A:C,3,FALSE),""))),"")</f>
      </c>
      <c r="D305" s="28" t="s">
        <v>1264</v>
      </c>
      <c r="E305" s="29" t="s">
        <v>26</v>
      </c>
      <c r="F305" s="30">
        <v>0</v>
      </c>
      <c r="G305" s="31">
        <v>23900</v>
      </c>
      <c r="H305" s="32">
        <v>15535</v>
      </c>
      <c r="I305" s="14">
        <v>35</v>
      </c>
      <c r="J305" s="33" t="s">
        <v>29</v>
      </c>
      <c r="K305" s="30" t="s">
        <v>738</v>
      </c>
      <c r="L305" s="29" t="s">
        <v>26</v>
      </c>
    </row>
    <row r="306" ht="20" customHeight="1" spans="1:12" x14ac:dyDescent="0.25">
      <c r="A306" s="7" t="s">
        <v>1265</v>
      </c>
      <c r="B306" s="7" t="s">
        <v>497</v>
      </c>
      <c r="C306" s="24">
        <f>IF(B306&lt;&gt;"",IFERROR(VLOOKUP(B306,'📦 Productos'!A:C,3,FALSE),IFERROR(VLOOKUP(B306&amp;"",'📦 Productos'!A:C,3,FALSE),IFERROR(VLOOKUP(VALUE(B306),'📦 Productos'!A:C,3,FALSE),""))),"")</f>
      </c>
      <c r="D306" s="7" t="s">
        <v>1266</v>
      </c>
      <c r="E306" s="8" t="s">
        <v>26</v>
      </c>
      <c r="F306" s="12">
        <v>0</v>
      </c>
      <c r="G306" s="25">
        <v>23900</v>
      </c>
      <c r="H306" s="26">
        <v>15535</v>
      </c>
      <c r="I306" s="14">
        <v>35</v>
      </c>
      <c r="J306" s="27" t="s">
        <v>29</v>
      </c>
      <c r="K306" s="12" t="s">
        <v>738</v>
      </c>
      <c r="L306" s="8" t="s">
        <v>26</v>
      </c>
    </row>
    <row r="307" ht="20" customHeight="1" spans="1:12" x14ac:dyDescent="0.25">
      <c r="A307" s="28" t="s">
        <v>1267</v>
      </c>
      <c r="B307" s="28" t="s">
        <v>497</v>
      </c>
      <c r="C307" s="24">
        <f>IF(B307&lt;&gt;"",IFERROR(VLOOKUP(B307,'📦 Productos'!A:C,3,FALSE),IFERROR(VLOOKUP(B307&amp;"",'📦 Productos'!A:C,3,FALSE),IFERROR(VLOOKUP(VALUE(B307),'📦 Productos'!A:C,3,FALSE),""))),"")</f>
      </c>
      <c r="D307" s="28" t="s">
        <v>1268</v>
      </c>
      <c r="E307" s="29" t="s">
        <v>26</v>
      </c>
      <c r="F307" s="30">
        <v>0</v>
      </c>
      <c r="G307" s="31">
        <v>23900</v>
      </c>
      <c r="H307" s="32">
        <v>15535</v>
      </c>
      <c r="I307" s="14">
        <v>35</v>
      </c>
      <c r="J307" s="33" t="s">
        <v>29</v>
      </c>
      <c r="K307" s="30" t="s">
        <v>738</v>
      </c>
      <c r="L307" s="29" t="s">
        <v>26</v>
      </c>
    </row>
    <row r="308" ht="20" customHeight="1" spans="1:12" x14ac:dyDescent="0.25">
      <c r="A308" s="7" t="s">
        <v>1269</v>
      </c>
      <c r="B308" s="7" t="s">
        <v>497</v>
      </c>
      <c r="C308" s="24">
        <f>IF(B308&lt;&gt;"",IFERROR(VLOOKUP(B308,'📦 Productos'!A:C,3,FALSE),IFERROR(VLOOKUP(B308&amp;"",'📦 Productos'!A:C,3,FALSE),IFERROR(VLOOKUP(VALUE(B308),'📦 Productos'!A:C,3,FALSE),""))),"")</f>
      </c>
      <c r="D308" s="7" t="s">
        <v>1270</v>
      </c>
      <c r="E308" s="8" t="s">
        <v>26</v>
      </c>
      <c r="F308" s="12">
        <v>0</v>
      </c>
      <c r="G308" s="25">
        <v>23900</v>
      </c>
      <c r="H308" s="26">
        <v>11950</v>
      </c>
      <c r="I308" s="14">
        <v>50</v>
      </c>
      <c r="J308" s="27" t="s">
        <v>29</v>
      </c>
      <c r="K308" s="12" t="s">
        <v>738</v>
      </c>
      <c r="L308" s="8" t="s">
        <v>26</v>
      </c>
    </row>
    <row r="309" ht="20" customHeight="1" spans="1:12" x14ac:dyDescent="0.25">
      <c r="A309" s="28" t="s">
        <v>1271</v>
      </c>
      <c r="B309" s="28" t="s">
        <v>497</v>
      </c>
      <c r="C309" s="24">
        <f>IF(B309&lt;&gt;"",IFERROR(VLOOKUP(B309,'📦 Productos'!A:C,3,FALSE),IFERROR(VLOOKUP(B309&amp;"",'📦 Productos'!A:C,3,FALSE),IFERROR(VLOOKUP(VALUE(B309),'📦 Productos'!A:C,3,FALSE),""))),"")</f>
      </c>
      <c r="D309" s="28" t="s">
        <v>1272</v>
      </c>
      <c r="E309" s="29" t="s">
        <v>26</v>
      </c>
      <c r="F309" s="30">
        <v>0</v>
      </c>
      <c r="G309" s="31">
        <v>23900</v>
      </c>
      <c r="H309" s="32">
        <v>15535</v>
      </c>
      <c r="I309" s="14">
        <v>35</v>
      </c>
      <c r="J309" s="33" t="s">
        <v>29</v>
      </c>
      <c r="K309" s="30" t="s">
        <v>738</v>
      </c>
      <c r="L309" s="29" t="s">
        <v>26</v>
      </c>
    </row>
    <row r="310" ht="20" customHeight="1" spans="1:12" x14ac:dyDescent="0.25">
      <c r="A310" s="7" t="s">
        <v>1273</v>
      </c>
      <c r="B310" s="7" t="s">
        <v>501</v>
      </c>
      <c r="C310" s="24">
        <f>IF(B310&lt;&gt;"",IFERROR(VLOOKUP(B310,'📦 Productos'!A:C,3,FALSE),IFERROR(VLOOKUP(B310&amp;"",'📦 Productos'!A:C,3,FALSE),IFERROR(VLOOKUP(VALUE(B310),'📦 Productos'!A:C,3,FALSE),""))),"")</f>
      </c>
      <c r="D310" s="7" t="s">
        <v>502</v>
      </c>
      <c r="E310" s="8" t="s">
        <v>26</v>
      </c>
      <c r="F310" s="12">
        <v>0</v>
      </c>
      <c r="G310" s="25">
        <v>23900</v>
      </c>
      <c r="H310" s="26">
        <v>15535</v>
      </c>
      <c r="I310" s="14">
        <v>35</v>
      </c>
      <c r="J310" s="27" t="s">
        <v>29</v>
      </c>
      <c r="K310" s="12" t="s">
        <v>738</v>
      </c>
      <c r="L310" s="8" t="s">
        <v>26</v>
      </c>
    </row>
    <row r="311" ht="20" customHeight="1" spans="1:12" x14ac:dyDescent="0.25">
      <c r="A311" s="28" t="s">
        <v>1274</v>
      </c>
      <c r="B311" s="28" t="s">
        <v>501</v>
      </c>
      <c r="C311" s="24">
        <f>IF(B311&lt;&gt;"",IFERROR(VLOOKUP(B311,'📦 Productos'!A:C,3,FALSE),IFERROR(VLOOKUP(B311&amp;"",'📦 Productos'!A:C,3,FALSE),IFERROR(VLOOKUP(VALUE(B311),'📦 Productos'!A:C,3,FALSE),""))),"")</f>
      </c>
      <c r="D311" s="28" t="s">
        <v>1275</v>
      </c>
      <c r="E311" s="29" t="s">
        <v>26</v>
      </c>
      <c r="F311" s="30">
        <v>0</v>
      </c>
      <c r="G311" s="31">
        <v>23900</v>
      </c>
      <c r="H311" s="32">
        <v>15535</v>
      </c>
      <c r="I311" s="14">
        <v>35</v>
      </c>
      <c r="J311" s="33" t="s">
        <v>29</v>
      </c>
      <c r="K311" s="30" t="s">
        <v>738</v>
      </c>
      <c r="L311" s="29" t="s">
        <v>26</v>
      </c>
    </row>
    <row r="312" ht="20" customHeight="1" spans="1:12" x14ac:dyDescent="0.25">
      <c r="A312" s="7" t="s">
        <v>1276</v>
      </c>
      <c r="B312" s="7" t="s">
        <v>501</v>
      </c>
      <c r="C312" s="24">
        <f>IF(B312&lt;&gt;"",IFERROR(VLOOKUP(B312,'📦 Productos'!A:C,3,FALSE),IFERROR(VLOOKUP(B312&amp;"",'📦 Productos'!A:C,3,FALSE),IFERROR(VLOOKUP(VALUE(B312),'📦 Productos'!A:C,3,FALSE),""))),"")</f>
      </c>
      <c r="D312" s="7" t="s">
        <v>1277</v>
      </c>
      <c r="E312" s="8" t="s">
        <v>26</v>
      </c>
      <c r="F312" s="12">
        <v>0</v>
      </c>
      <c r="G312" s="25">
        <v>23900</v>
      </c>
      <c r="H312" s="26">
        <v>11950</v>
      </c>
      <c r="I312" s="14">
        <v>50</v>
      </c>
      <c r="J312" s="27" t="s">
        <v>29</v>
      </c>
      <c r="K312" s="12" t="s">
        <v>738</v>
      </c>
      <c r="L312" s="8" t="s">
        <v>26</v>
      </c>
    </row>
    <row r="313" ht="20" customHeight="1" spans="1:12" x14ac:dyDescent="0.25">
      <c r="A313" s="28" t="s">
        <v>1278</v>
      </c>
      <c r="B313" s="28" t="s">
        <v>504</v>
      </c>
      <c r="C313" s="24">
        <f>IF(B313&lt;&gt;"",IFERROR(VLOOKUP(B313,'📦 Productos'!A:C,3,FALSE),IFERROR(VLOOKUP(B313&amp;"",'📦 Productos'!A:C,3,FALSE),IFERROR(VLOOKUP(VALUE(B313),'📦 Productos'!A:C,3,FALSE),""))),"")</f>
      </c>
      <c r="D313" s="28" t="s">
        <v>505</v>
      </c>
      <c r="E313" s="29" t="s">
        <v>26</v>
      </c>
      <c r="F313" s="30">
        <v>0</v>
      </c>
      <c r="G313" s="31">
        <v>23900</v>
      </c>
      <c r="H313" s="32">
        <v>11950</v>
      </c>
      <c r="I313" s="14">
        <v>50</v>
      </c>
      <c r="J313" s="33" t="s">
        <v>29</v>
      </c>
      <c r="K313" s="30" t="s">
        <v>738</v>
      </c>
      <c r="L313" s="29" t="s">
        <v>26</v>
      </c>
    </row>
    <row r="314" ht="20" customHeight="1" spans="1:12" x14ac:dyDescent="0.25">
      <c r="A314" s="7" t="s">
        <v>1279</v>
      </c>
      <c r="B314" s="7" t="s">
        <v>504</v>
      </c>
      <c r="C314" s="24">
        <f>IF(B314&lt;&gt;"",IFERROR(VLOOKUP(B314,'📦 Productos'!A:C,3,FALSE),IFERROR(VLOOKUP(B314&amp;"",'📦 Productos'!A:C,3,FALSE),IFERROR(VLOOKUP(VALUE(B314),'📦 Productos'!A:C,3,FALSE),""))),"")</f>
      </c>
      <c r="D314" s="7" t="s">
        <v>1280</v>
      </c>
      <c r="E314" s="8" t="s">
        <v>26</v>
      </c>
      <c r="F314" s="12">
        <v>0</v>
      </c>
      <c r="G314" s="25">
        <v>23900</v>
      </c>
      <c r="H314" s="26">
        <v>15535</v>
      </c>
      <c r="I314" s="14">
        <v>35</v>
      </c>
      <c r="J314" s="27" t="s">
        <v>29</v>
      </c>
      <c r="K314" s="12" t="s">
        <v>738</v>
      </c>
      <c r="L314" s="8" t="s">
        <v>26</v>
      </c>
    </row>
    <row r="315" ht="20" customHeight="1" spans="1:12" x14ac:dyDescent="0.25">
      <c r="A315" s="28" t="s">
        <v>1281</v>
      </c>
      <c r="B315" s="28" t="s">
        <v>504</v>
      </c>
      <c r="C315" s="24">
        <f>IF(B315&lt;&gt;"",IFERROR(VLOOKUP(B315,'📦 Productos'!A:C,3,FALSE),IFERROR(VLOOKUP(B315&amp;"",'📦 Productos'!A:C,3,FALSE),IFERROR(VLOOKUP(VALUE(B315),'📦 Productos'!A:C,3,FALSE),""))),"")</f>
      </c>
      <c r="D315" s="28" t="s">
        <v>1282</v>
      </c>
      <c r="E315" s="29" t="s">
        <v>26</v>
      </c>
      <c r="F315" s="30">
        <v>0</v>
      </c>
      <c r="G315" s="31">
        <v>23900</v>
      </c>
      <c r="H315" s="32">
        <v>15535</v>
      </c>
      <c r="I315" s="14">
        <v>35</v>
      </c>
      <c r="J315" s="33" t="s">
        <v>29</v>
      </c>
      <c r="K315" s="30" t="s">
        <v>738</v>
      </c>
      <c r="L315" s="29" t="s">
        <v>26</v>
      </c>
    </row>
    <row r="316" ht="20" customHeight="1" spans="1:12" x14ac:dyDescent="0.25">
      <c r="A316" s="7" t="s">
        <v>1283</v>
      </c>
      <c r="B316" s="7" t="s">
        <v>504</v>
      </c>
      <c r="C316" s="24">
        <f>IF(B316&lt;&gt;"",IFERROR(VLOOKUP(B316,'📦 Productos'!A:C,3,FALSE),IFERROR(VLOOKUP(B316&amp;"",'📦 Productos'!A:C,3,FALSE),IFERROR(VLOOKUP(VALUE(B316),'📦 Productos'!A:C,3,FALSE),""))),"")</f>
      </c>
      <c r="D316" s="7" t="s">
        <v>1284</v>
      </c>
      <c r="E316" s="8" t="s">
        <v>26</v>
      </c>
      <c r="F316" s="12">
        <v>0</v>
      </c>
      <c r="G316" s="25">
        <v>23900</v>
      </c>
      <c r="H316" s="26">
        <v>11950</v>
      </c>
      <c r="I316" s="14">
        <v>50</v>
      </c>
      <c r="J316" s="27" t="s">
        <v>29</v>
      </c>
      <c r="K316" s="12" t="s">
        <v>738</v>
      </c>
      <c r="L316" s="8" t="s">
        <v>26</v>
      </c>
    </row>
    <row r="317" ht="20" customHeight="1" spans="1:12" x14ac:dyDescent="0.25">
      <c r="A317" s="28" t="s">
        <v>1285</v>
      </c>
      <c r="B317" s="28" t="s">
        <v>504</v>
      </c>
      <c r="C317" s="24">
        <f>IF(B317&lt;&gt;"",IFERROR(VLOOKUP(B317,'📦 Productos'!A:C,3,FALSE),IFERROR(VLOOKUP(B317&amp;"",'📦 Productos'!A:C,3,FALSE),IFERROR(VLOOKUP(VALUE(B317),'📦 Productos'!A:C,3,FALSE),""))),"")</f>
      </c>
      <c r="D317" s="28" t="s">
        <v>1286</v>
      </c>
      <c r="E317" s="29" t="s">
        <v>26</v>
      </c>
      <c r="F317" s="30">
        <v>0</v>
      </c>
      <c r="G317" s="31">
        <v>23900</v>
      </c>
      <c r="H317" s="32">
        <v>11950</v>
      </c>
      <c r="I317" s="14">
        <v>50</v>
      </c>
      <c r="J317" s="33" t="s">
        <v>29</v>
      </c>
      <c r="K317" s="30" t="s">
        <v>738</v>
      </c>
      <c r="L317" s="29" t="s">
        <v>26</v>
      </c>
    </row>
    <row r="318" ht="20" customHeight="1" spans="1:12" x14ac:dyDescent="0.25">
      <c r="A318" s="7" t="s">
        <v>1287</v>
      </c>
      <c r="B318" s="7" t="s">
        <v>504</v>
      </c>
      <c r="C318" s="24">
        <f>IF(B318&lt;&gt;"",IFERROR(VLOOKUP(B318,'📦 Productos'!A:C,3,FALSE),IFERROR(VLOOKUP(B318&amp;"",'📦 Productos'!A:C,3,FALSE),IFERROR(VLOOKUP(VALUE(B318),'📦 Productos'!A:C,3,FALSE),""))),"")</f>
      </c>
      <c r="D318" s="7" t="s">
        <v>1288</v>
      </c>
      <c r="E318" s="8" t="s">
        <v>26</v>
      </c>
      <c r="F318" s="12">
        <v>0</v>
      </c>
      <c r="G318" s="25">
        <v>23900</v>
      </c>
      <c r="H318" s="26">
        <v>11950</v>
      </c>
      <c r="I318" s="14">
        <v>50</v>
      </c>
      <c r="J318" s="27" t="s">
        <v>29</v>
      </c>
      <c r="K318" s="12" t="s">
        <v>738</v>
      </c>
      <c r="L318" s="8" t="s">
        <v>26</v>
      </c>
    </row>
    <row r="319" ht="20" customHeight="1" spans="1:12" x14ac:dyDescent="0.25">
      <c r="A319" s="28" t="s">
        <v>1289</v>
      </c>
      <c r="B319" s="28" t="s">
        <v>504</v>
      </c>
      <c r="C319" s="24">
        <f>IF(B319&lt;&gt;"",IFERROR(VLOOKUP(B319,'📦 Productos'!A:C,3,FALSE),IFERROR(VLOOKUP(B319&amp;"",'📦 Productos'!A:C,3,FALSE),IFERROR(VLOOKUP(VALUE(B319),'📦 Productos'!A:C,3,FALSE),""))),"")</f>
      </c>
      <c r="D319" s="28" t="s">
        <v>1290</v>
      </c>
      <c r="E319" s="29" t="s">
        <v>26</v>
      </c>
      <c r="F319" s="30">
        <v>0</v>
      </c>
      <c r="G319" s="31">
        <v>23900</v>
      </c>
      <c r="H319" s="32">
        <v>11950</v>
      </c>
      <c r="I319" s="14">
        <v>50</v>
      </c>
      <c r="J319" s="33" t="s">
        <v>29</v>
      </c>
      <c r="K319" s="30" t="s">
        <v>738</v>
      </c>
      <c r="L319" s="29" t="s">
        <v>26</v>
      </c>
    </row>
    <row r="320" ht="20" customHeight="1" spans="1:12" x14ac:dyDescent="0.25">
      <c r="A320" s="7" t="s">
        <v>1291</v>
      </c>
      <c r="B320" s="7" t="s">
        <v>504</v>
      </c>
      <c r="C320" s="24">
        <f>IF(B320&lt;&gt;"",IFERROR(VLOOKUP(B320,'📦 Productos'!A:C,3,FALSE),IFERROR(VLOOKUP(B320&amp;"",'📦 Productos'!A:C,3,FALSE),IFERROR(VLOOKUP(VALUE(B320),'📦 Productos'!A:C,3,FALSE),""))),"")</f>
      </c>
      <c r="D320" s="7" t="s">
        <v>1292</v>
      </c>
      <c r="E320" s="8" t="s">
        <v>26</v>
      </c>
      <c r="F320" s="12">
        <v>0</v>
      </c>
      <c r="G320" s="25">
        <v>23900</v>
      </c>
      <c r="H320" s="26">
        <v>11950</v>
      </c>
      <c r="I320" s="14">
        <v>50</v>
      </c>
      <c r="J320" s="27" t="s">
        <v>29</v>
      </c>
      <c r="K320" s="12" t="s">
        <v>738</v>
      </c>
      <c r="L320" s="8" t="s">
        <v>26</v>
      </c>
    </row>
    <row r="321" ht="20" customHeight="1" spans="1:12" x14ac:dyDescent="0.25">
      <c r="A321" s="28" t="s">
        <v>1293</v>
      </c>
      <c r="B321" s="28" t="s">
        <v>504</v>
      </c>
      <c r="C321" s="24">
        <f>IF(B321&lt;&gt;"",IFERROR(VLOOKUP(B321,'📦 Productos'!A:C,3,FALSE),IFERROR(VLOOKUP(B321&amp;"",'📦 Productos'!A:C,3,FALSE),IFERROR(VLOOKUP(VALUE(B321),'📦 Productos'!A:C,3,FALSE),""))),"")</f>
      </c>
      <c r="D321" s="28" t="s">
        <v>1294</v>
      </c>
      <c r="E321" s="29" t="s">
        <v>26</v>
      </c>
      <c r="F321" s="30">
        <v>0</v>
      </c>
      <c r="G321" s="31">
        <v>23900</v>
      </c>
      <c r="H321" s="32">
        <v>15535</v>
      </c>
      <c r="I321" s="14">
        <v>35</v>
      </c>
      <c r="J321" s="33" t="s">
        <v>29</v>
      </c>
      <c r="K321" s="30" t="s">
        <v>738</v>
      </c>
      <c r="L321" s="29" t="s">
        <v>26</v>
      </c>
    </row>
    <row r="322" ht="20" customHeight="1" spans="1:12" x14ac:dyDescent="0.25">
      <c r="A322" s="7" t="s">
        <v>1295</v>
      </c>
      <c r="B322" s="7" t="s">
        <v>504</v>
      </c>
      <c r="C322" s="24">
        <f>IF(B322&lt;&gt;"",IFERROR(VLOOKUP(B322,'📦 Productos'!A:C,3,FALSE),IFERROR(VLOOKUP(B322&amp;"",'📦 Productos'!A:C,3,FALSE),IFERROR(VLOOKUP(VALUE(B322),'📦 Productos'!A:C,3,FALSE),""))),"")</f>
      </c>
      <c r="D322" s="7" t="s">
        <v>1296</v>
      </c>
      <c r="E322" s="8" t="s">
        <v>26</v>
      </c>
      <c r="F322" s="12">
        <v>0</v>
      </c>
      <c r="G322" s="25">
        <v>23900</v>
      </c>
      <c r="H322" s="26">
        <v>15535</v>
      </c>
      <c r="I322" s="14">
        <v>35</v>
      </c>
      <c r="J322" s="27" t="s">
        <v>29</v>
      </c>
      <c r="K322" s="12" t="s">
        <v>738</v>
      </c>
      <c r="L322" s="8" t="s">
        <v>26</v>
      </c>
    </row>
    <row r="323" ht="20" customHeight="1" spans="1:12" x14ac:dyDescent="0.25">
      <c r="A323" s="28" t="s">
        <v>1297</v>
      </c>
      <c r="B323" s="28" t="s">
        <v>504</v>
      </c>
      <c r="C323" s="24">
        <f>IF(B323&lt;&gt;"",IFERROR(VLOOKUP(B323,'📦 Productos'!A:C,3,FALSE),IFERROR(VLOOKUP(B323&amp;"",'📦 Productos'!A:C,3,FALSE),IFERROR(VLOOKUP(VALUE(B323),'📦 Productos'!A:C,3,FALSE),""))),"")</f>
      </c>
      <c r="D323" s="28" t="s">
        <v>1298</v>
      </c>
      <c r="E323" s="29" t="s">
        <v>26</v>
      </c>
      <c r="F323" s="30">
        <v>0</v>
      </c>
      <c r="G323" s="31">
        <v>23900</v>
      </c>
      <c r="H323" s="32">
        <v>15535</v>
      </c>
      <c r="I323" s="14">
        <v>35</v>
      </c>
      <c r="J323" s="33" t="s">
        <v>29</v>
      </c>
      <c r="K323" s="30" t="s">
        <v>738</v>
      </c>
      <c r="L323" s="29" t="s">
        <v>26</v>
      </c>
    </row>
    <row r="324" ht="20" customHeight="1" spans="1:12" x14ac:dyDescent="0.25">
      <c r="A324" s="7" t="s">
        <v>1299</v>
      </c>
      <c r="B324" s="7" t="s">
        <v>513</v>
      </c>
      <c r="C324" s="24">
        <f>IF(B324&lt;&gt;"",IFERROR(VLOOKUP(B324,'📦 Productos'!A:C,3,FALSE),IFERROR(VLOOKUP(B324&amp;"",'📦 Productos'!A:C,3,FALSE),IFERROR(VLOOKUP(VALUE(B324),'📦 Productos'!A:C,3,FALSE),""))),"")</f>
      </c>
      <c r="D324" s="7" t="s">
        <v>26</v>
      </c>
      <c r="E324" s="8" t="s">
        <v>26</v>
      </c>
      <c r="F324" s="12">
        <v>0</v>
      </c>
      <c r="G324" s="25">
        <v>21900</v>
      </c>
      <c r="H324" s="26">
        <v>10950</v>
      </c>
      <c r="I324" s="14">
        <v>50</v>
      </c>
      <c r="J324" s="27" t="s">
        <v>29</v>
      </c>
      <c r="K324" s="12" t="s">
        <v>738</v>
      </c>
      <c r="L324" s="8" t="s">
        <v>26</v>
      </c>
    </row>
    <row r="325" ht="20" customHeight="1" spans="1:12" x14ac:dyDescent="0.25">
      <c r="A325" s="28" t="s">
        <v>1300</v>
      </c>
      <c r="B325" s="28" t="s">
        <v>513</v>
      </c>
      <c r="C325" s="24">
        <f>IF(B325&lt;&gt;"",IFERROR(VLOOKUP(B325,'📦 Productos'!A:C,3,FALSE),IFERROR(VLOOKUP(B325&amp;"",'📦 Productos'!A:C,3,FALSE),IFERROR(VLOOKUP(VALUE(B325),'📦 Productos'!A:C,3,FALSE),""))),"")</f>
      </c>
      <c r="D325" s="28" t="s">
        <v>26</v>
      </c>
      <c r="E325" s="29" t="s">
        <v>26</v>
      </c>
      <c r="F325" s="30">
        <v>0</v>
      </c>
      <c r="G325" s="31">
        <v>21900</v>
      </c>
      <c r="H325" s="32">
        <v>10950</v>
      </c>
      <c r="I325" s="14">
        <v>50</v>
      </c>
      <c r="J325" s="33" t="s">
        <v>29</v>
      </c>
      <c r="K325" s="30" t="s">
        <v>738</v>
      </c>
      <c r="L325" s="29" t="s">
        <v>26</v>
      </c>
    </row>
    <row r="326" ht="20" customHeight="1" spans="1:12" x14ac:dyDescent="0.25">
      <c r="A326" s="7" t="s">
        <v>1301</v>
      </c>
      <c r="B326" s="7" t="s">
        <v>513</v>
      </c>
      <c r="C326" s="24">
        <f>IF(B326&lt;&gt;"",IFERROR(VLOOKUP(B326,'📦 Productos'!A:C,3,FALSE),IFERROR(VLOOKUP(B326&amp;"",'📦 Productos'!A:C,3,FALSE),IFERROR(VLOOKUP(VALUE(B326),'📦 Productos'!A:C,3,FALSE),""))),"")</f>
      </c>
      <c r="D326" s="7" t="s">
        <v>26</v>
      </c>
      <c r="E326" s="8" t="s">
        <v>26</v>
      </c>
      <c r="F326" s="12">
        <v>0</v>
      </c>
      <c r="G326" s="25">
        <v>21900</v>
      </c>
      <c r="H326" s="26">
        <v>10950</v>
      </c>
      <c r="I326" s="14">
        <v>50</v>
      </c>
      <c r="J326" s="27" t="s">
        <v>29</v>
      </c>
      <c r="K326" s="12" t="s">
        <v>738</v>
      </c>
      <c r="L326" s="8" t="s">
        <v>26</v>
      </c>
    </row>
    <row r="327" ht="20" customHeight="1" spans="1:12" x14ac:dyDescent="0.25">
      <c r="A327" s="28" t="s">
        <v>1302</v>
      </c>
      <c r="B327" s="28" t="s">
        <v>515</v>
      </c>
      <c r="C327" s="24">
        <f>IF(B327&lt;&gt;"",IFERROR(VLOOKUP(B327,'📦 Productos'!A:C,3,FALSE),IFERROR(VLOOKUP(B327&amp;"",'📦 Productos'!A:C,3,FALSE),IFERROR(VLOOKUP(VALUE(B327),'📦 Productos'!A:C,3,FALSE),""))),"")</f>
      </c>
      <c r="D327" s="28" t="s">
        <v>516</v>
      </c>
      <c r="E327" s="29" t="s">
        <v>26</v>
      </c>
      <c r="F327" s="30">
        <v>0</v>
      </c>
      <c r="G327" s="31">
        <v>23900</v>
      </c>
      <c r="H327" s="32">
        <v>15535</v>
      </c>
      <c r="I327" s="14">
        <v>35</v>
      </c>
      <c r="J327" s="33" t="s">
        <v>29</v>
      </c>
      <c r="K327" s="30" t="s">
        <v>738</v>
      </c>
      <c r="L327" s="29" t="s">
        <v>26</v>
      </c>
    </row>
    <row r="328" ht="20" customHeight="1" spans="1:12" x14ac:dyDescent="0.25">
      <c r="A328" s="7" t="s">
        <v>1303</v>
      </c>
      <c r="B328" s="7" t="s">
        <v>515</v>
      </c>
      <c r="C328" s="24">
        <f>IF(B328&lt;&gt;"",IFERROR(VLOOKUP(B328,'📦 Productos'!A:C,3,FALSE),IFERROR(VLOOKUP(B328&amp;"",'📦 Productos'!A:C,3,FALSE),IFERROR(VLOOKUP(VALUE(B328),'📦 Productos'!A:C,3,FALSE),""))),"")</f>
      </c>
      <c r="D328" s="7" t="s">
        <v>1304</v>
      </c>
      <c r="E328" s="8" t="s">
        <v>26</v>
      </c>
      <c r="F328" s="12">
        <v>0</v>
      </c>
      <c r="G328" s="25">
        <v>23900</v>
      </c>
      <c r="H328" s="26">
        <v>15535</v>
      </c>
      <c r="I328" s="14">
        <v>35</v>
      </c>
      <c r="J328" s="27" t="s">
        <v>29</v>
      </c>
      <c r="K328" s="12" t="s">
        <v>738</v>
      </c>
      <c r="L328" s="8" t="s">
        <v>26</v>
      </c>
    </row>
    <row r="329" ht="20" customHeight="1" spans="1:12" x14ac:dyDescent="0.25">
      <c r="A329" s="28" t="s">
        <v>1305</v>
      </c>
      <c r="B329" s="28" t="s">
        <v>515</v>
      </c>
      <c r="C329" s="24">
        <f>IF(B329&lt;&gt;"",IFERROR(VLOOKUP(B329,'📦 Productos'!A:C,3,FALSE),IFERROR(VLOOKUP(B329&amp;"",'📦 Productos'!A:C,3,FALSE),IFERROR(VLOOKUP(VALUE(B329),'📦 Productos'!A:C,3,FALSE),""))),"")</f>
      </c>
      <c r="D329" s="28" t="s">
        <v>1306</v>
      </c>
      <c r="E329" s="29" t="s">
        <v>26</v>
      </c>
      <c r="F329" s="30">
        <v>0</v>
      </c>
      <c r="G329" s="31">
        <v>23900</v>
      </c>
      <c r="H329" s="32">
        <v>15535</v>
      </c>
      <c r="I329" s="14">
        <v>35</v>
      </c>
      <c r="J329" s="33" t="s">
        <v>29</v>
      </c>
      <c r="K329" s="30" t="s">
        <v>738</v>
      </c>
      <c r="L329" s="29" t="s">
        <v>26</v>
      </c>
    </row>
    <row r="330" ht="20" customHeight="1" spans="1:12" x14ac:dyDescent="0.25">
      <c r="A330" s="7" t="s">
        <v>1307</v>
      </c>
      <c r="B330" s="7" t="s">
        <v>518</v>
      </c>
      <c r="C330" s="24">
        <f>IF(B330&lt;&gt;"",IFERROR(VLOOKUP(B330,'📦 Productos'!A:C,3,FALSE),IFERROR(VLOOKUP(B330&amp;"",'📦 Productos'!A:C,3,FALSE),IFERROR(VLOOKUP(VALUE(B330),'📦 Productos'!A:C,3,FALSE),""))),"")</f>
      </c>
      <c r="D330" s="7" t="s">
        <v>519</v>
      </c>
      <c r="E330" s="8" t="s">
        <v>26</v>
      </c>
      <c r="F330" s="12">
        <v>0</v>
      </c>
      <c r="G330" s="25">
        <v>27300</v>
      </c>
      <c r="H330" s="26">
        <v>13650</v>
      </c>
      <c r="I330" s="14">
        <v>50</v>
      </c>
      <c r="J330" s="27" t="s">
        <v>29</v>
      </c>
      <c r="K330" s="12" t="s">
        <v>738</v>
      </c>
      <c r="L330" s="8" t="s">
        <v>26</v>
      </c>
    </row>
    <row r="331" ht="20" customHeight="1" spans="1:12" x14ac:dyDescent="0.25">
      <c r="A331" s="28" t="s">
        <v>1308</v>
      </c>
      <c r="B331" s="28" t="s">
        <v>518</v>
      </c>
      <c r="C331" s="24">
        <f>IF(B331&lt;&gt;"",IFERROR(VLOOKUP(B331,'📦 Productos'!A:C,3,FALSE),IFERROR(VLOOKUP(B331&amp;"",'📦 Productos'!A:C,3,FALSE),IFERROR(VLOOKUP(VALUE(B331),'📦 Productos'!A:C,3,FALSE),""))),"")</f>
      </c>
      <c r="D331" s="28" t="s">
        <v>1309</v>
      </c>
      <c r="E331" s="29" t="s">
        <v>26</v>
      </c>
      <c r="F331" s="30">
        <v>0</v>
      </c>
      <c r="G331" s="31">
        <v>27300</v>
      </c>
      <c r="H331" s="32">
        <v>13650</v>
      </c>
      <c r="I331" s="14">
        <v>50</v>
      </c>
      <c r="J331" s="33" t="s">
        <v>29</v>
      </c>
      <c r="K331" s="30" t="s">
        <v>738</v>
      </c>
      <c r="L331" s="29" t="s">
        <v>26</v>
      </c>
    </row>
    <row r="332" ht="20" customHeight="1" spans="1:12" x14ac:dyDescent="0.25">
      <c r="A332" s="7" t="s">
        <v>1310</v>
      </c>
      <c r="B332" s="7" t="s">
        <v>518</v>
      </c>
      <c r="C332" s="24">
        <f>IF(B332&lt;&gt;"",IFERROR(VLOOKUP(B332,'📦 Productos'!A:C,3,FALSE),IFERROR(VLOOKUP(B332&amp;"",'📦 Productos'!A:C,3,FALSE),IFERROR(VLOOKUP(VALUE(B332),'📦 Productos'!A:C,3,FALSE),""))),"")</f>
      </c>
      <c r="D332" s="7" t="s">
        <v>1311</v>
      </c>
      <c r="E332" s="8" t="s">
        <v>26</v>
      </c>
      <c r="F332" s="12">
        <v>0</v>
      </c>
      <c r="G332" s="25">
        <v>27300</v>
      </c>
      <c r="H332" s="26">
        <v>13650</v>
      </c>
      <c r="I332" s="14">
        <v>50</v>
      </c>
      <c r="J332" s="27" t="s">
        <v>29</v>
      </c>
      <c r="K332" s="12" t="s">
        <v>738</v>
      </c>
      <c r="L332" s="8" t="s">
        <v>26</v>
      </c>
    </row>
    <row r="333" ht="20" customHeight="1" spans="1:12" x14ac:dyDescent="0.25">
      <c r="A333" s="28" t="s">
        <v>1312</v>
      </c>
      <c r="B333" s="28" t="s">
        <v>518</v>
      </c>
      <c r="C333" s="24">
        <f>IF(B333&lt;&gt;"",IFERROR(VLOOKUP(B333,'📦 Productos'!A:C,3,FALSE),IFERROR(VLOOKUP(B333&amp;"",'📦 Productos'!A:C,3,FALSE),IFERROR(VLOOKUP(VALUE(B333),'📦 Productos'!A:C,3,FALSE),""))),"")</f>
      </c>
      <c r="D333" s="28" t="s">
        <v>1313</v>
      </c>
      <c r="E333" s="29" t="s">
        <v>26</v>
      </c>
      <c r="F333" s="30">
        <v>0</v>
      </c>
      <c r="G333" s="31">
        <v>27300</v>
      </c>
      <c r="H333" s="32">
        <v>13650</v>
      </c>
      <c r="I333" s="14">
        <v>50</v>
      </c>
      <c r="J333" s="33" t="s">
        <v>29</v>
      </c>
      <c r="K333" s="30" t="s">
        <v>738</v>
      </c>
      <c r="L333" s="29" t="s">
        <v>26</v>
      </c>
    </row>
    <row r="334" ht="20" customHeight="1" spans="1:12" x14ac:dyDescent="0.25">
      <c r="A334" s="7" t="s">
        <v>1314</v>
      </c>
      <c r="B334" s="7" t="s">
        <v>518</v>
      </c>
      <c r="C334" s="24">
        <f>IF(B334&lt;&gt;"",IFERROR(VLOOKUP(B334,'📦 Productos'!A:C,3,FALSE),IFERROR(VLOOKUP(B334&amp;"",'📦 Productos'!A:C,3,FALSE),IFERROR(VLOOKUP(VALUE(B334),'📦 Productos'!A:C,3,FALSE),""))),"")</f>
      </c>
      <c r="D334" s="7" t="s">
        <v>1315</v>
      </c>
      <c r="E334" s="8" t="s">
        <v>26</v>
      </c>
      <c r="F334" s="12">
        <v>0</v>
      </c>
      <c r="G334" s="25">
        <v>27300</v>
      </c>
      <c r="H334" s="26">
        <v>13650</v>
      </c>
      <c r="I334" s="14">
        <v>50</v>
      </c>
      <c r="J334" s="27" t="s">
        <v>29</v>
      </c>
      <c r="K334" s="12" t="s">
        <v>738</v>
      </c>
      <c r="L334" s="8" t="s">
        <v>26</v>
      </c>
    </row>
    <row r="335" ht="20" customHeight="1" spans="1:12" x14ac:dyDescent="0.25">
      <c r="A335" s="28" t="s">
        <v>1316</v>
      </c>
      <c r="B335" s="28" t="s">
        <v>518</v>
      </c>
      <c r="C335" s="24">
        <f>IF(B335&lt;&gt;"",IFERROR(VLOOKUP(B335,'📦 Productos'!A:C,3,FALSE),IFERROR(VLOOKUP(B335&amp;"",'📦 Productos'!A:C,3,FALSE),IFERROR(VLOOKUP(VALUE(B335),'📦 Productos'!A:C,3,FALSE),""))),"")</f>
      </c>
      <c r="D335" s="28" t="s">
        <v>1317</v>
      </c>
      <c r="E335" s="29" t="s">
        <v>26</v>
      </c>
      <c r="F335" s="30">
        <v>0</v>
      </c>
      <c r="G335" s="31">
        <v>27300</v>
      </c>
      <c r="H335" s="32">
        <v>13650</v>
      </c>
      <c r="I335" s="14">
        <v>50</v>
      </c>
      <c r="J335" s="33" t="s">
        <v>29</v>
      </c>
      <c r="K335" s="30" t="s">
        <v>738</v>
      </c>
      <c r="L335" s="29" t="s">
        <v>26</v>
      </c>
    </row>
    <row r="336" ht="20" customHeight="1" spans="1:12" x14ac:dyDescent="0.25">
      <c r="A336" s="7" t="s">
        <v>1318</v>
      </c>
      <c r="B336" s="7" t="s">
        <v>518</v>
      </c>
      <c r="C336" s="24">
        <f>IF(B336&lt;&gt;"",IFERROR(VLOOKUP(B336,'📦 Productos'!A:C,3,FALSE),IFERROR(VLOOKUP(B336&amp;"",'📦 Productos'!A:C,3,FALSE),IFERROR(VLOOKUP(VALUE(B336),'📦 Productos'!A:C,3,FALSE),""))),"")</f>
      </c>
      <c r="D336" s="7" t="s">
        <v>1319</v>
      </c>
      <c r="E336" s="8" t="s">
        <v>26</v>
      </c>
      <c r="F336" s="12">
        <v>0</v>
      </c>
      <c r="G336" s="25">
        <v>27300</v>
      </c>
      <c r="H336" s="26">
        <v>13650</v>
      </c>
      <c r="I336" s="14">
        <v>50</v>
      </c>
      <c r="J336" s="27" t="s">
        <v>29</v>
      </c>
      <c r="K336" s="12" t="s">
        <v>738</v>
      </c>
      <c r="L336" s="8" t="s">
        <v>26</v>
      </c>
    </row>
    <row r="337" ht="20" customHeight="1" spans="1:12" x14ac:dyDescent="0.25">
      <c r="A337" s="28" t="s">
        <v>1320</v>
      </c>
      <c r="B337" s="28" t="s">
        <v>518</v>
      </c>
      <c r="C337" s="24">
        <f>IF(B337&lt;&gt;"",IFERROR(VLOOKUP(B337,'📦 Productos'!A:C,3,FALSE),IFERROR(VLOOKUP(B337&amp;"",'📦 Productos'!A:C,3,FALSE),IFERROR(VLOOKUP(VALUE(B337),'📦 Productos'!A:C,3,FALSE),""))),"")</f>
      </c>
      <c r="D337" s="28" t="s">
        <v>1321</v>
      </c>
      <c r="E337" s="29" t="s">
        <v>26</v>
      </c>
      <c r="F337" s="30">
        <v>0</v>
      </c>
      <c r="G337" s="31">
        <v>27300</v>
      </c>
      <c r="H337" s="32">
        <v>13650</v>
      </c>
      <c r="I337" s="14">
        <v>50</v>
      </c>
      <c r="J337" s="33" t="s">
        <v>29</v>
      </c>
      <c r="K337" s="30" t="s">
        <v>738</v>
      </c>
      <c r="L337" s="29" t="s">
        <v>26</v>
      </c>
    </row>
    <row r="338" ht="20" customHeight="1" spans="1:12" x14ac:dyDescent="0.25">
      <c r="A338" s="7" t="s">
        <v>1322</v>
      </c>
      <c r="B338" s="7" t="s">
        <v>518</v>
      </c>
      <c r="C338" s="24">
        <f>IF(B338&lt;&gt;"",IFERROR(VLOOKUP(B338,'📦 Productos'!A:C,3,FALSE),IFERROR(VLOOKUP(B338&amp;"",'📦 Productos'!A:C,3,FALSE),IFERROR(VLOOKUP(VALUE(B338),'📦 Productos'!A:C,3,FALSE),""))),"")</f>
      </c>
      <c r="D338" s="7" t="s">
        <v>1323</v>
      </c>
      <c r="E338" s="8" t="s">
        <v>26</v>
      </c>
      <c r="F338" s="12">
        <v>0</v>
      </c>
      <c r="G338" s="25">
        <v>27300</v>
      </c>
      <c r="H338" s="26">
        <v>13650</v>
      </c>
      <c r="I338" s="14">
        <v>50</v>
      </c>
      <c r="J338" s="27" t="s">
        <v>29</v>
      </c>
      <c r="K338" s="12" t="s">
        <v>738</v>
      </c>
      <c r="L338" s="8" t="s">
        <v>26</v>
      </c>
    </row>
    <row r="339" ht="20" customHeight="1" spans="1:12" x14ac:dyDescent="0.25">
      <c r="A339" s="28" t="s">
        <v>1324</v>
      </c>
      <c r="B339" s="28" t="s">
        <v>518</v>
      </c>
      <c r="C339" s="24">
        <f>IF(B339&lt;&gt;"",IFERROR(VLOOKUP(B339,'📦 Productos'!A:C,3,FALSE),IFERROR(VLOOKUP(B339&amp;"",'📦 Productos'!A:C,3,FALSE),IFERROR(VLOOKUP(VALUE(B339),'📦 Productos'!A:C,3,FALSE),""))),"")</f>
      </c>
      <c r="D339" s="28" t="s">
        <v>1325</v>
      </c>
      <c r="E339" s="29" t="s">
        <v>26</v>
      </c>
      <c r="F339" s="30">
        <v>0</v>
      </c>
      <c r="G339" s="31">
        <v>27300</v>
      </c>
      <c r="H339" s="32">
        <v>13650</v>
      </c>
      <c r="I339" s="14">
        <v>50</v>
      </c>
      <c r="J339" s="33" t="s">
        <v>29</v>
      </c>
      <c r="K339" s="30" t="s">
        <v>738</v>
      </c>
      <c r="L339" s="29" t="s">
        <v>26</v>
      </c>
    </row>
    <row r="340" ht="20" customHeight="1" spans="1:12" x14ac:dyDescent="0.25">
      <c r="A340" s="7" t="s">
        <v>1326</v>
      </c>
      <c r="B340" s="7" t="s">
        <v>518</v>
      </c>
      <c r="C340" s="24">
        <f>IF(B340&lt;&gt;"",IFERROR(VLOOKUP(B340,'📦 Productos'!A:C,3,FALSE),IFERROR(VLOOKUP(B340&amp;"",'📦 Productos'!A:C,3,FALSE),IFERROR(VLOOKUP(VALUE(B340),'📦 Productos'!A:C,3,FALSE),""))),"")</f>
      </c>
      <c r="D340" s="7" t="s">
        <v>1327</v>
      </c>
      <c r="E340" s="8" t="s">
        <v>26</v>
      </c>
      <c r="F340" s="12">
        <v>0</v>
      </c>
      <c r="G340" s="25">
        <v>27300</v>
      </c>
      <c r="H340" s="26">
        <v>17745</v>
      </c>
      <c r="I340" s="14">
        <v>35</v>
      </c>
      <c r="J340" s="27" t="s">
        <v>29</v>
      </c>
      <c r="K340" s="12" t="s">
        <v>738</v>
      </c>
      <c r="L340" s="8" t="s">
        <v>26</v>
      </c>
    </row>
    <row r="341" ht="20" customHeight="1" spans="1:12" x14ac:dyDescent="0.25">
      <c r="A341" s="28" t="s">
        <v>1328</v>
      </c>
      <c r="B341" s="28" t="s">
        <v>518</v>
      </c>
      <c r="C341" s="24">
        <f>IF(B341&lt;&gt;"",IFERROR(VLOOKUP(B341,'📦 Productos'!A:C,3,FALSE),IFERROR(VLOOKUP(B341&amp;"",'📦 Productos'!A:C,3,FALSE),IFERROR(VLOOKUP(VALUE(B341),'📦 Productos'!A:C,3,FALSE),""))),"")</f>
      </c>
      <c r="D341" s="28" t="s">
        <v>1329</v>
      </c>
      <c r="E341" s="29" t="s">
        <v>26</v>
      </c>
      <c r="F341" s="30">
        <v>0</v>
      </c>
      <c r="G341" s="31">
        <v>27300</v>
      </c>
      <c r="H341" s="32">
        <v>17745</v>
      </c>
      <c r="I341" s="14">
        <v>35</v>
      </c>
      <c r="J341" s="33" t="s">
        <v>29</v>
      </c>
      <c r="K341" s="30" t="s">
        <v>738</v>
      </c>
      <c r="L341" s="29" t="s">
        <v>26</v>
      </c>
    </row>
    <row r="342" ht="20" customHeight="1" spans="1:12" x14ac:dyDescent="0.25">
      <c r="A342" s="7" t="s">
        <v>1330</v>
      </c>
      <c r="B342" s="7" t="s">
        <v>518</v>
      </c>
      <c r="C342" s="24">
        <f>IF(B342&lt;&gt;"",IFERROR(VLOOKUP(B342,'📦 Productos'!A:C,3,FALSE),IFERROR(VLOOKUP(B342&amp;"",'📦 Productos'!A:C,3,FALSE),IFERROR(VLOOKUP(VALUE(B342),'📦 Productos'!A:C,3,FALSE),""))),"")</f>
      </c>
      <c r="D342" s="7" t="s">
        <v>1331</v>
      </c>
      <c r="E342" s="8" t="s">
        <v>26</v>
      </c>
      <c r="F342" s="12">
        <v>0</v>
      </c>
      <c r="G342" s="25">
        <v>27300</v>
      </c>
      <c r="H342" s="26">
        <v>13650</v>
      </c>
      <c r="I342" s="14">
        <v>50</v>
      </c>
      <c r="J342" s="27" t="s">
        <v>29</v>
      </c>
      <c r="K342" s="12" t="s">
        <v>738</v>
      </c>
      <c r="L342" s="8" t="s">
        <v>26</v>
      </c>
    </row>
    <row r="343" ht="20" customHeight="1" spans="1:12" x14ac:dyDescent="0.25">
      <c r="A343" s="28" t="s">
        <v>1332</v>
      </c>
      <c r="B343" s="28" t="s">
        <v>612</v>
      </c>
      <c r="C343" s="24">
        <f>IF(B343&lt;&gt;"",IFERROR(VLOOKUP(B343,'📦 Productos'!A:C,3,FALSE),IFERROR(VLOOKUP(B343&amp;"",'📦 Productos'!A:C,3,FALSE),IFERROR(VLOOKUP(VALUE(B343),'📦 Productos'!A:C,3,FALSE),""))),"")</f>
      </c>
      <c r="D343" s="28" t="s">
        <v>613</v>
      </c>
      <c r="E343" s="29" t="s">
        <v>26</v>
      </c>
      <c r="F343" s="30">
        <v>0</v>
      </c>
      <c r="G343" s="31">
        <v>27200</v>
      </c>
      <c r="H343" s="32">
        <v>17680</v>
      </c>
      <c r="I343" s="14">
        <v>35</v>
      </c>
      <c r="J343" s="33" t="s">
        <v>29</v>
      </c>
      <c r="K343" s="30" t="s">
        <v>738</v>
      </c>
      <c r="L343" s="29" t="s">
        <v>26</v>
      </c>
    </row>
    <row r="344" ht="20" customHeight="1" spans="1:12" x14ac:dyDescent="0.25">
      <c r="A344" s="7" t="s">
        <v>1333</v>
      </c>
      <c r="B344" s="7" t="s">
        <v>612</v>
      </c>
      <c r="C344" s="24">
        <f>IF(B344&lt;&gt;"",IFERROR(VLOOKUP(B344,'📦 Productos'!A:C,3,FALSE),IFERROR(VLOOKUP(B344&amp;"",'📦 Productos'!A:C,3,FALSE),IFERROR(VLOOKUP(VALUE(B344),'📦 Productos'!A:C,3,FALSE),""))),"")</f>
      </c>
      <c r="D344" s="7" t="s">
        <v>1334</v>
      </c>
      <c r="E344" s="8" t="s">
        <v>26</v>
      </c>
      <c r="F344" s="12">
        <v>0</v>
      </c>
      <c r="G344" s="25">
        <v>27200</v>
      </c>
      <c r="H344" s="26">
        <v>17680</v>
      </c>
      <c r="I344" s="14">
        <v>35</v>
      </c>
      <c r="J344" s="27" t="s">
        <v>29</v>
      </c>
      <c r="K344" s="12" t="s">
        <v>738</v>
      </c>
      <c r="L344" s="8" t="s">
        <v>26</v>
      </c>
    </row>
    <row r="345" ht="20" customHeight="1" spans="1:12" x14ac:dyDescent="0.25">
      <c r="A345" s="28" t="s">
        <v>1335</v>
      </c>
      <c r="B345" s="28" t="s">
        <v>612</v>
      </c>
      <c r="C345" s="24">
        <f>IF(B345&lt;&gt;"",IFERROR(VLOOKUP(B345,'📦 Productos'!A:C,3,FALSE),IFERROR(VLOOKUP(B345&amp;"",'📦 Productos'!A:C,3,FALSE),IFERROR(VLOOKUP(VALUE(B345),'📦 Productos'!A:C,3,FALSE),""))),"")</f>
      </c>
      <c r="D345" s="28" t="s">
        <v>1336</v>
      </c>
      <c r="E345" s="29" t="s">
        <v>26</v>
      </c>
      <c r="F345" s="30">
        <v>0</v>
      </c>
      <c r="G345" s="31">
        <v>27200</v>
      </c>
      <c r="H345" s="32">
        <v>17680</v>
      </c>
      <c r="I345" s="14">
        <v>35</v>
      </c>
      <c r="J345" s="33" t="s">
        <v>29</v>
      </c>
      <c r="K345" s="30" t="s">
        <v>738</v>
      </c>
      <c r="L345" s="29" t="s">
        <v>26</v>
      </c>
    </row>
    <row r="346" ht="20" customHeight="1" spans="1:12" x14ac:dyDescent="0.25">
      <c r="A346" s="7" t="s">
        <v>1337</v>
      </c>
      <c r="B346" s="7" t="s">
        <v>612</v>
      </c>
      <c r="C346" s="24">
        <f>IF(B346&lt;&gt;"",IFERROR(VLOOKUP(B346,'📦 Productos'!A:C,3,FALSE),IFERROR(VLOOKUP(B346&amp;"",'📦 Productos'!A:C,3,FALSE),IFERROR(VLOOKUP(VALUE(B346),'📦 Productos'!A:C,3,FALSE),""))),"")</f>
      </c>
      <c r="D346" s="7" t="s">
        <v>1338</v>
      </c>
      <c r="E346" s="8" t="s">
        <v>26</v>
      </c>
      <c r="F346" s="12">
        <v>0</v>
      </c>
      <c r="G346" s="25">
        <v>27200</v>
      </c>
      <c r="H346" s="26">
        <v>13600</v>
      </c>
      <c r="I346" s="14">
        <v>50</v>
      </c>
      <c r="J346" s="27" t="s">
        <v>29</v>
      </c>
      <c r="K346" s="12" t="s">
        <v>738</v>
      </c>
      <c r="L346" s="8" t="s">
        <v>26</v>
      </c>
    </row>
    <row r="347" ht="20" customHeight="1" spans="1:12" x14ac:dyDescent="0.25">
      <c r="A347" s="28" t="s">
        <v>1339</v>
      </c>
      <c r="B347" s="28" t="s">
        <v>612</v>
      </c>
      <c r="C347" s="24">
        <f>IF(B347&lt;&gt;"",IFERROR(VLOOKUP(B347,'📦 Productos'!A:C,3,FALSE),IFERROR(VLOOKUP(B347&amp;"",'📦 Productos'!A:C,3,FALSE),IFERROR(VLOOKUP(VALUE(B347),'📦 Productos'!A:C,3,FALSE),""))),"")</f>
      </c>
      <c r="D347" s="28" t="s">
        <v>1340</v>
      </c>
      <c r="E347" s="29" t="s">
        <v>26</v>
      </c>
      <c r="F347" s="30">
        <v>0</v>
      </c>
      <c r="G347" s="31">
        <v>27200</v>
      </c>
      <c r="H347" s="32">
        <v>17680</v>
      </c>
      <c r="I347" s="14">
        <v>35</v>
      </c>
      <c r="J347" s="33" t="s">
        <v>29</v>
      </c>
      <c r="K347" s="30" t="s">
        <v>738</v>
      </c>
      <c r="L347" s="29" t="s">
        <v>26</v>
      </c>
    </row>
    <row r="348" ht="20" customHeight="1" spans="1:12" x14ac:dyDescent="0.25">
      <c r="A348" s="7" t="s">
        <v>1341</v>
      </c>
      <c r="B348" s="7" t="s">
        <v>652</v>
      </c>
      <c r="C348" s="24">
        <f>IF(B348&lt;&gt;"",IFERROR(VLOOKUP(B348,'📦 Productos'!A:C,3,FALSE),IFERROR(VLOOKUP(B348&amp;"",'📦 Productos'!A:C,3,FALSE),IFERROR(VLOOKUP(VALUE(B348),'📦 Productos'!A:C,3,FALSE),""))),"")</f>
      </c>
      <c r="D348" s="7" t="s">
        <v>26</v>
      </c>
      <c r="E348" s="8" t="s">
        <v>26</v>
      </c>
      <c r="F348" s="12">
        <v>0</v>
      </c>
      <c r="G348" s="25">
        <v>26400</v>
      </c>
      <c r="H348" s="26">
        <v>13200</v>
      </c>
      <c r="I348" s="14">
        <v>50</v>
      </c>
      <c r="J348" s="27" t="s">
        <v>29</v>
      </c>
      <c r="K348" s="12" t="s">
        <v>738</v>
      </c>
      <c r="L348" s="8" t="s">
        <v>26</v>
      </c>
    </row>
    <row r="349" ht="20" customHeight="1" spans="1:12" x14ac:dyDescent="0.25">
      <c r="A349" s="28" t="s">
        <v>1342</v>
      </c>
      <c r="B349" s="28" t="s">
        <v>652</v>
      </c>
      <c r="C349" s="24">
        <f>IF(B349&lt;&gt;"",IFERROR(VLOOKUP(B349,'📦 Productos'!A:C,3,FALSE),IFERROR(VLOOKUP(B349&amp;"",'📦 Productos'!A:C,3,FALSE),IFERROR(VLOOKUP(VALUE(B349),'📦 Productos'!A:C,3,FALSE),""))),"")</f>
      </c>
      <c r="D349" s="28" t="s">
        <v>26</v>
      </c>
      <c r="E349" s="29" t="s">
        <v>26</v>
      </c>
      <c r="F349" s="30">
        <v>0</v>
      </c>
      <c r="G349" s="31">
        <v>26400</v>
      </c>
      <c r="H349" s="32">
        <v>17160</v>
      </c>
      <c r="I349" s="14">
        <v>35</v>
      </c>
      <c r="J349" s="33" t="s">
        <v>29</v>
      </c>
      <c r="K349" s="30" t="s">
        <v>738</v>
      </c>
      <c r="L349" s="29" t="s">
        <v>26</v>
      </c>
    </row>
    <row r="350" ht="20" customHeight="1" spans="1:12" x14ac:dyDescent="0.25">
      <c r="A350" s="7" t="s">
        <v>1343</v>
      </c>
      <c r="B350" s="7" t="s">
        <v>652</v>
      </c>
      <c r="C350" s="24">
        <f>IF(B350&lt;&gt;"",IFERROR(VLOOKUP(B350,'📦 Productos'!A:C,3,FALSE),IFERROR(VLOOKUP(B350&amp;"",'📦 Productos'!A:C,3,FALSE),IFERROR(VLOOKUP(VALUE(B350),'📦 Productos'!A:C,3,FALSE),""))),"")</f>
      </c>
      <c r="D350" s="7" t="s">
        <v>26</v>
      </c>
      <c r="E350" s="8" t="s">
        <v>26</v>
      </c>
      <c r="F350" s="12">
        <v>0</v>
      </c>
      <c r="G350" s="25">
        <v>26400</v>
      </c>
      <c r="H350" s="26">
        <v>13200</v>
      </c>
      <c r="I350" s="14">
        <v>50</v>
      </c>
      <c r="J350" s="27" t="s">
        <v>29</v>
      </c>
      <c r="K350" s="12" t="s">
        <v>738</v>
      </c>
      <c r="L350" s="8" t="s">
        <v>26</v>
      </c>
    </row>
    <row r="351" ht="20" customHeight="1" spans="1:12" x14ac:dyDescent="0.25">
      <c r="A351" s="28" t="s">
        <v>1344</v>
      </c>
      <c r="B351" s="28" t="s">
        <v>658</v>
      </c>
      <c r="C351" s="24">
        <f>IF(B351&lt;&gt;"",IFERROR(VLOOKUP(B351,'📦 Productos'!A:C,3,FALSE),IFERROR(VLOOKUP(B351&amp;"",'📦 Productos'!A:C,3,FALSE),IFERROR(VLOOKUP(VALUE(B351),'📦 Productos'!A:C,3,FALSE),""))),"")</f>
      </c>
      <c r="D351" s="28" t="s">
        <v>659</v>
      </c>
      <c r="E351" s="29" t="s">
        <v>26</v>
      </c>
      <c r="F351" s="30">
        <v>0</v>
      </c>
      <c r="G351" s="31">
        <v>34700</v>
      </c>
      <c r="H351" s="32">
        <v>17350</v>
      </c>
      <c r="I351" s="14">
        <v>50</v>
      </c>
      <c r="J351" s="33" t="s">
        <v>29</v>
      </c>
      <c r="K351" s="30" t="s">
        <v>738</v>
      </c>
      <c r="L351" s="29" t="s">
        <v>26</v>
      </c>
    </row>
    <row r="352" ht="20" customHeight="1" spans="1:12" x14ac:dyDescent="0.25">
      <c r="A352" s="7" t="s">
        <v>1345</v>
      </c>
      <c r="B352" s="7" t="s">
        <v>658</v>
      </c>
      <c r="C352" s="24">
        <f>IF(B352&lt;&gt;"",IFERROR(VLOOKUP(B352,'📦 Productos'!A:C,3,FALSE),IFERROR(VLOOKUP(B352&amp;"",'📦 Productos'!A:C,3,FALSE),IFERROR(VLOOKUP(VALUE(B352),'📦 Productos'!A:C,3,FALSE),""))),"")</f>
      </c>
      <c r="D352" s="7" t="s">
        <v>26</v>
      </c>
      <c r="E352" s="8" t="s">
        <v>26</v>
      </c>
      <c r="F352" s="12">
        <v>0</v>
      </c>
      <c r="G352" s="25">
        <v>34700</v>
      </c>
      <c r="H352" s="26"/>
      <c r="I352" s="14">
        <v>0</v>
      </c>
      <c r="J352" s="27" t="s">
        <v>29</v>
      </c>
      <c r="K352" s="12" t="s">
        <v>738</v>
      </c>
      <c r="L352" s="8" t="s">
        <v>26</v>
      </c>
    </row>
    <row r="353" ht="20" customHeight="1" spans="1:12" x14ac:dyDescent="0.25">
      <c r="A353" s="28" t="s">
        <v>1346</v>
      </c>
      <c r="B353" s="28" t="s">
        <v>708</v>
      </c>
      <c r="C353" s="24">
        <f>IF(B353&lt;&gt;"",IFERROR(VLOOKUP(B353,'📦 Productos'!A:C,3,FALSE),IFERROR(VLOOKUP(B353&amp;"",'📦 Productos'!A:C,3,FALSE),IFERROR(VLOOKUP(VALUE(B353),'📦 Productos'!A:C,3,FALSE),""))),"")</f>
      </c>
      <c r="D353" s="28" t="s">
        <v>709</v>
      </c>
      <c r="E353" s="29" t="s">
        <v>26</v>
      </c>
      <c r="F353" s="30">
        <v>0</v>
      </c>
      <c r="G353" s="31">
        <v>31500</v>
      </c>
      <c r="H353" s="32">
        <v>15750</v>
      </c>
      <c r="I353" s="14">
        <v>50</v>
      </c>
      <c r="J353" s="33" t="s">
        <v>29</v>
      </c>
      <c r="K353" s="30" t="s">
        <v>738</v>
      </c>
      <c r="L353" s="29" t="s">
        <v>1347</v>
      </c>
    </row>
    <row r="354" ht="20" customHeight="1" spans="1:12" x14ac:dyDescent="0.25">
      <c r="A354" s="7" t="s">
        <v>1348</v>
      </c>
      <c r="B354" s="7" t="s">
        <v>714</v>
      </c>
      <c r="C354" s="24">
        <f>IF(B354&lt;&gt;"",IFERROR(VLOOKUP(B354,'📦 Productos'!A:C,3,FALSE),IFERROR(VLOOKUP(B354&amp;"",'📦 Productos'!A:C,3,FALSE),IFERROR(VLOOKUP(VALUE(B354),'📦 Productos'!A:C,3,FALSE),""))),"")</f>
      </c>
      <c r="D354" s="7" t="s">
        <v>715</v>
      </c>
      <c r="E354" s="8" t="s">
        <v>1349</v>
      </c>
      <c r="F354" s="12">
        <v>6</v>
      </c>
      <c r="G354" s="25">
        <v>26500</v>
      </c>
      <c r="H354" s="26">
        <v>21200</v>
      </c>
      <c r="I354" s="14">
        <v>20</v>
      </c>
      <c r="J354" s="27" t="s">
        <v>29</v>
      </c>
      <c r="K354" s="12" t="s">
        <v>1350</v>
      </c>
      <c r="L354" s="8" t="s">
        <v>1351</v>
      </c>
    </row>
    <row r="355" ht="20" customHeight="1" spans="1:12" x14ac:dyDescent="0.25">
      <c r="A355" s="28" t="s">
        <v>1352</v>
      </c>
      <c r="B355" s="28" t="s">
        <v>717</v>
      </c>
      <c r="C355" s="24">
        <f>IF(B355&lt;&gt;"",IFERROR(VLOOKUP(B355,'📦 Productos'!A:C,3,FALSE),IFERROR(VLOOKUP(B355&amp;"",'📦 Productos'!A:C,3,FALSE),IFERROR(VLOOKUP(VALUE(B355),'📦 Productos'!A:C,3,FALSE),""))),"")</f>
      </c>
      <c r="D355" s="28" t="s">
        <v>718</v>
      </c>
      <c r="E355" s="29" t="s">
        <v>746</v>
      </c>
      <c r="F355" s="30">
        <v>3</v>
      </c>
      <c r="G355" s="31">
        <v>298000</v>
      </c>
      <c r="H355" s="32">
        <v>184760</v>
      </c>
      <c r="I355" s="14">
        <v>38</v>
      </c>
      <c r="J355" s="33" t="s">
        <v>29</v>
      </c>
      <c r="K355" s="30" t="s">
        <v>738</v>
      </c>
      <c r="L355" s="29" t="s">
        <v>26</v>
      </c>
    </row>
    <row r="356" ht="20" customHeight="1" spans="1:12" x14ac:dyDescent="0.25">
      <c r="A356" s="7" t="s">
        <v>1353</v>
      </c>
      <c r="B356" s="7" t="s">
        <v>717</v>
      </c>
      <c r="C356" s="24">
        <f>IF(B356&lt;&gt;"",IFERROR(VLOOKUP(B356,'📦 Productos'!A:C,3,FALSE),IFERROR(VLOOKUP(B356&amp;"",'📦 Productos'!A:C,3,FALSE),IFERROR(VLOOKUP(VALUE(B356),'📦 Productos'!A:C,3,FALSE),""))),"")</f>
      </c>
      <c r="D356" s="7" t="s">
        <v>1354</v>
      </c>
      <c r="E356" s="8" t="s">
        <v>743</v>
      </c>
      <c r="F356" s="12">
        <v>0</v>
      </c>
      <c r="G356" s="25">
        <v>160000</v>
      </c>
      <c r="H356" s="26"/>
      <c r="I356" s="14">
        <v>0</v>
      </c>
      <c r="J356" s="27" t="s">
        <v>29</v>
      </c>
      <c r="K356" s="12" t="s">
        <v>738</v>
      </c>
      <c r="L356" s="8" t="s">
        <v>26</v>
      </c>
    </row>
    <row r="357" ht="20" customHeight="1" spans="1:12" x14ac:dyDescent="0.25">
      <c r="A357" s="28" t="s">
        <v>1355</v>
      </c>
      <c r="B357" s="28" t="s">
        <v>717</v>
      </c>
      <c r="C357" s="24">
        <f>IF(B357&lt;&gt;"",IFERROR(VLOOKUP(B357,'📦 Productos'!A:C,3,FALSE),IFERROR(VLOOKUP(B357&amp;"",'📦 Productos'!A:C,3,FALSE),IFERROR(VLOOKUP(VALUE(B357),'📦 Productos'!A:C,3,FALSE),""))),"")</f>
      </c>
      <c r="D357" s="28" t="s">
        <v>1356</v>
      </c>
      <c r="E357" s="29" t="s">
        <v>749</v>
      </c>
      <c r="F357" s="30">
        <v>0</v>
      </c>
      <c r="G357" s="31">
        <v>228000</v>
      </c>
      <c r="H357" s="32"/>
      <c r="I357" s="14">
        <v>0</v>
      </c>
      <c r="J357" s="33" t="s">
        <v>29</v>
      </c>
      <c r="K357" s="30" t="s">
        <v>738</v>
      </c>
      <c r="L357" s="29" t="s">
        <v>26</v>
      </c>
    </row>
    <row r="358" ht="20" customHeight="1" spans="1:12" x14ac:dyDescent="0.25">
      <c r="A358" s="7" t="s">
        <v>1357</v>
      </c>
      <c r="B358" s="7" t="s">
        <v>724</v>
      </c>
      <c r="C358" s="24">
        <f>IF(B358&lt;&gt;"",IFERROR(VLOOKUP(B358,'📦 Productos'!A:C,3,FALSE),IFERROR(VLOOKUP(B358&amp;"",'📦 Productos'!A:C,3,FALSE),IFERROR(VLOOKUP(VALUE(B358),'📦 Productos'!A:C,3,FALSE),""))),"")</f>
      </c>
      <c r="D358" s="7" t="s">
        <v>725</v>
      </c>
      <c r="E358" s="8" t="s">
        <v>26</v>
      </c>
      <c r="F358" s="12">
        <v>0</v>
      </c>
      <c r="G358" s="25">
        <v>26300</v>
      </c>
      <c r="H358" s="26"/>
      <c r="I358" s="14">
        <v>0</v>
      </c>
      <c r="J358" s="27" t="s">
        <v>29</v>
      </c>
      <c r="K358" s="12" t="s">
        <v>738</v>
      </c>
      <c r="L358" s="8" t="s">
        <v>26</v>
      </c>
    </row>
    <row r="359" ht="20" customHeight="1" spans="1:12" x14ac:dyDescent="0.25">
      <c r="A359" s="28" t="s">
        <v>1358</v>
      </c>
      <c r="B359" s="28" t="s">
        <v>724</v>
      </c>
      <c r="C359" s="24">
        <f>IF(B359&lt;&gt;"",IFERROR(VLOOKUP(B359,'📦 Productos'!A:C,3,FALSE),IFERROR(VLOOKUP(B359&amp;"",'📦 Productos'!A:C,3,FALSE),IFERROR(VLOOKUP(VALUE(B359),'📦 Productos'!A:C,3,FALSE),""))),"")</f>
      </c>
      <c r="D359" s="28" t="s">
        <v>1359</v>
      </c>
      <c r="E359" s="29" t="s">
        <v>26</v>
      </c>
      <c r="F359" s="30">
        <v>0</v>
      </c>
      <c r="G359" s="31">
        <v>26300</v>
      </c>
      <c r="H359" s="32"/>
      <c r="I359" s="14">
        <v>0</v>
      </c>
      <c r="J359" s="33" t="s">
        <v>29</v>
      </c>
      <c r="K359" s="30" t="s">
        <v>738</v>
      </c>
      <c r="L359" s="29" t="s">
        <v>26</v>
      </c>
    </row>
    <row r="360" ht="20" customHeight="1" spans="1:12" x14ac:dyDescent="0.25">
      <c r="A360" s="7" t="s">
        <v>1360</v>
      </c>
      <c r="B360" s="7" t="s">
        <v>724</v>
      </c>
      <c r="C360" s="24">
        <f>IF(B360&lt;&gt;"",IFERROR(VLOOKUP(B360,'📦 Productos'!A:C,3,FALSE),IFERROR(VLOOKUP(B360&amp;"",'📦 Productos'!A:C,3,FALSE),IFERROR(VLOOKUP(VALUE(B360),'📦 Productos'!A:C,3,FALSE),""))),"")</f>
      </c>
      <c r="D360" s="7" t="s">
        <v>1361</v>
      </c>
      <c r="E360" s="8" t="s">
        <v>26</v>
      </c>
      <c r="F360" s="12">
        <v>0</v>
      </c>
      <c r="G360" s="25">
        <v>26300</v>
      </c>
      <c r="H360" s="26"/>
      <c r="I360" s="14">
        <v>0</v>
      </c>
      <c r="J360" s="27" t="s">
        <v>29</v>
      </c>
      <c r="K360" s="12" t="s">
        <v>738</v>
      </c>
      <c r="L360" s="8" t="s">
        <v>26</v>
      </c>
    </row>
    <row r="361" ht="20" customHeight="1" spans="1:12" x14ac:dyDescent="0.25">
      <c r="A361" s="28" t="s">
        <v>1362</v>
      </c>
      <c r="B361" s="28" t="s">
        <v>724</v>
      </c>
      <c r="C361" s="24">
        <f>IF(B361&lt;&gt;"",IFERROR(VLOOKUP(B361,'📦 Productos'!A:C,3,FALSE),IFERROR(VLOOKUP(B361&amp;"",'📦 Productos'!A:C,3,FALSE),IFERROR(VLOOKUP(VALUE(B361),'📦 Productos'!A:C,3,FALSE),""))),"")</f>
      </c>
      <c r="D361" s="28" t="s">
        <v>1363</v>
      </c>
      <c r="E361" s="29" t="s">
        <v>26</v>
      </c>
      <c r="F361" s="30">
        <v>0</v>
      </c>
      <c r="G361" s="31">
        <v>26300</v>
      </c>
      <c r="H361" s="32"/>
      <c r="I361" s="14">
        <v>0</v>
      </c>
      <c r="J361" s="33" t="s">
        <v>29</v>
      </c>
      <c r="K361" s="30" t="s">
        <v>738</v>
      </c>
      <c r="L361" s="29" t="s">
        <v>26</v>
      </c>
    </row>
    <row r="362" ht="20" customHeight="1" spans="1:12" x14ac:dyDescent="0.25">
      <c r="A362" s="7" t="s">
        <v>1364</v>
      </c>
      <c r="B362" s="7" t="s">
        <v>724</v>
      </c>
      <c r="C362" s="24">
        <f>IF(B362&lt;&gt;"",IFERROR(VLOOKUP(B362,'📦 Productos'!A:C,3,FALSE),IFERROR(VLOOKUP(B362&amp;"",'📦 Productos'!A:C,3,FALSE),IFERROR(VLOOKUP(VALUE(B362),'📦 Productos'!A:C,3,FALSE),""))),"")</f>
      </c>
      <c r="D362" s="7" t="s">
        <v>1365</v>
      </c>
      <c r="E362" s="8" t="s">
        <v>26</v>
      </c>
      <c r="F362" s="12">
        <v>0</v>
      </c>
      <c r="G362" s="25">
        <v>26300</v>
      </c>
      <c r="H362" s="26"/>
      <c r="I362" s="14">
        <v>0</v>
      </c>
      <c r="J362" s="27" t="s">
        <v>29</v>
      </c>
      <c r="K362" s="12" t="s">
        <v>738</v>
      </c>
      <c r="L362" s="8" t="s">
        <v>26</v>
      </c>
    </row>
  </sheetData>
  <mergeCells count="2">
    <mergeCell ref="A1:L1"/>
    <mergeCell ref="A2:L2"/>
  </mergeCells>
  <dataValidations count="4">
    <dataValidation type="list" allowBlank="1" sqref="J10:J662">
      <formula1>Listas!$F$2:$F$3</formula1>
    </dataValidation>
    <dataValidation type="list" allowBlank="1" sqref="J4:J662">
      <formula1>Listas!$F$2:$F$3</formula1>
    </dataValidation>
    <dataValidation type="list" allowBlank="1" sqref="L10:L662">
      <formula1>Listas!$E$2:$E$21</formula1>
    </dataValidation>
    <dataValidation type="list" allowBlank="1" sqref="L4:L662">
      <formula1>Listas!$E$2:$E$21</formula1>
    </dataValidation>
  </dataValidations>
  <pageMargins left="0.7" right="0.7" top="0.75" bottom="0.75" header="0.3" footer="0.3"/>
  <pageSetup orientation="landscape" horizontalDpi="4294967295" verticalDpi="4294967295"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1366</v>
      </c>
      <c r="B1" t="s">
        <v>1367</v>
      </c>
      <c r="C1" t="s">
        <v>1368</v>
      </c>
      <c r="D1" t="s">
        <v>1369</v>
      </c>
      <c r="E1" t="s">
        <v>1370</v>
      </c>
      <c r="F1" t="s">
        <v>1371</v>
      </c>
    </row>
    <row r="2" spans="1:6" x14ac:dyDescent="0.25">
      <c r="A2" t="s">
        <v>24</v>
      </c>
      <c r="B2" t="s">
        <v>1372</v>
      </c>
      <c r="C2" t="s">
        <v>25</v>
      </c>
      <c r="D2" t="s">
        <v>1373</v>
      </c>
      <c r="E2" t="s">
        <v>1374</v>
      </c>
      <c r="F2" t="s">
        <v>29</v>
      </c>
    </row>
    <row r="3" spans="1:6" x14ac:dyDescent="0.25">
      <c r="A3" t="s">
        <v>1375</v>
      </c>
      <c r="B3" t="s">
        <v>1376</v>
      </c>
      <c r="C3" t="s">
        <v>200</v>
      </c>
      <c r="D3" t="s">
        <v>1377</v>
      </c>
      <c r="E3" t="s">
        <v>1378</v>
      </c>
      <c r="F3" t="s">
        <v>28</v>
      </c>
    </row>
    <row r="4" spans="2:5" x14ac:dyDescent="0.25">
      <c r="B4" t="s">
        <v>25</v>
      </c>
      <c r="C4" t="s">
        <v>1376</v>
      </c>
      <c r="D4" t="s">
        <v>1379</v>
      </c>
      <c r="E4" t="s">
        <v>1380</v>
      </c>
    </row>
    <row r="5" spans="2:5" x14ac:dyDescent="0.25">
      <c r="B5" t="s">
        <v>200</v>
      </c>
      <c r="C5" t="s">
        <v>274</v>
      </c>
      <c r="D5" t="s">
        <v>1381</v>
      </c>
      <c r="E5" t="s">
        <v>1382</v>
      </c>
    </row>
    <row r="6" spans="2:5" x14ac:dyDescent="0.25">
      <c r="B6" t="s">
        <v>274</v>
      </c>
      <c r="C6" t="s">
        <v>1383</v>
      </c>
      <c r="D6" t="s">
        <v>1384</v>
      </c>
      <c r="E6" t="s">
        <v>1385</v>
      </c>
    </row>
    <row r="7" spans="2:5" x14ac:dyDescent="0.25">
      <c r="B7" t="s">
        <v>1386</v>
      </c>
      <c r="C7" t="s">
        <v>1387</v>
      </c>
      <c r="D7" t="s">
        <v>1388</v>
      </c>
      <c r="E7" t="s">
        <v>1389</v>
      </c>
    </row>
    <row r="8" spans="2:5" x14ac:dyDescent="0.25">
      <c r="B8" t="s">
        <v>1387</v>
      </c>
      <c r="C8" t="s">
        <v>1390</v>
      </c>
      <c r="D8" t="s">
        <v>1391</v>
      </c>
      <c r="E8" t="s">
        <v>1392</v>
      </c>
    </row>
    <row r="9" spans="2:5" x14ac:dyDescent="0.25">
      <c r="B9" t="s">
        <v>1393</v>
      </c>
      <c r="C9" t="s">
        <v>1394</v>
      </c>
      <c r="D9" t="s">
        <v>1395</v>
      </c>
      <c r="E9" t="s">
        <v>1396</v>
      </c>
    </row>
    <row r="10" spans="2:5" x14ac:dyDescent="0.25">
      <c r="B10" t="s">
        <v>1397</v>
      </c>
      <c r="C10" t="s">
        <v>1398</v>
      </c>
      <c r="D10" t="s">
        <v>1399</v>
      </c>
      <c r="E10" t="s">
        <v>1400</v>
      </c>
    </row>
    <row r="11" spans="3:5" x14ac:dyDescent="0.25">
      <c r="C11" t="s">
        <v>1401</v>
      </c>
      <c r="D11" t="s">
        <v>1402</v>
      </c>
      <c r="E11" t="s">
        <v>1403</v>
      </c>
    </row>
    <row r="12" spans="3:5" x14ac:dyDescent="0.25">
      <c r="C12" t="s">
        <v>1404</v>
      </c>
      <c r="D12" t="s">
        <v>1405</v>
      </c>
      <c r="E12" t="s">
        <v>1406</v>
      </c>
    </row>
    <row r="13" spans="3:5" x14ac:dyDescent="0.25">
      <c r="C13" t="s">
        <v>1407</v>
      </c>
      <c r="D13" t="s">
        <v>1408</v>
      </c>
      <c r="E13" t="s">
        <v>1409</v>
      </c>
    </row>
    <row r="14" spans="3:5" x14ac:dyDescent="0.25">
      <c r="C14" t="s">
        <v>1410</v>
      </c>
      <c r="D14" t="s">
        <v>1411</v>
      </c>
      <c r="E14" t="s">
        <v>1412</v>
      </c>
    </row>
    <row r="15" spans="3:5" x14ac:dyDescent="0.25">
      <c r="C15" t="s">
        <v>1413</v>
      </c>
      <c r="D15" t="s">
        <v>1414</v>
      </c>
      <c r="E15" t="s">
        <v>1415</v>
      </c>
    </row>
    <row r="16" spans="3:5" x14ac:dyDescent="0.25">
      <c r="C16" t="s">
        <v>1416</v>
      </c>
      <c r="D16" t="s">
        <v>1417</v>
      </c>
      <c r="E16" t="s">
        <v>1418</v>
      </c>
    </row>
    <row r="17" spans="3:5" x14ac:dyDescent="0.25">
      <c r="C17" t="s">
        <v>1391</v>
      </c>
      <c r="D17" t="s">
        <v>1419</v>
      </c>
      <c r="E17" t="s">
        <v>1420</v>
      </c>
    </row>
    <row r="18" spans="3:5" x14ac:dyDescent="0.25">
      <c r="C18" t="s">
        <v>1421</v>
      </c>
      <c r="D18" t="s">
        <v>1422</v>
      </c>
      <c r="E18" t="s">
        <v>1423</v>
      </c>
    </row>
    <row r="19" spans="3:5" x14ac:dyDescent="0.25">
      <c r="C19" t="s">
        <v>1424</v>
      </c>
      <c r="D19" t="s">
        <v>1425</v>
      </c>
      <c r="E19" t="s">
        <v>1426</v>
      </c>
    </row>
    <row r="20" spans="3:5" x14ac:dyDescent="0.25">
      <c r="C20" t="s">
        <v>1427</v>
      </c>
      <c r="D20" t="s">
        <v>1428</v>
      </c>
      <c r="E20" t="s">
        <v>1429</v>
      </c>
    </row>
    <row r="21" spans="3:5" x14ac:dyDescent="0.25">
      <c r="C21" t="s">
        <v>1430</v>
      </c>
      <c r="D21" t="s">
        <v>1431</v>
      </c>
      <c r="E21" t="s">
        <v>1432</v>
      </c>
    </row>
    <row r="22" spans="3:4" x14ac:dyDescent="0.25">
      <c r="C22" t="s">
        <v>1433</v>
      </c>
      <c r="D22" t="s">
        <v>1434</v>
      </c>
    </row>
    <row r="23" spans="3:4" x14ac:dyDescent="0.25">
      <c r="C23" t="s">
        <v>1435</v>
      </c>
      <c r="D23" t="s">
        <v>1436</v>
      </c>
    </row>
    <row r="24" spans="3:4" x14ac:dyDescent="0.25">
      <c r="C24" t="s">
        <v>1437</v>
      </c>
      <c r="D24" t="s">
        <v>1438</v>
      </c>
    </row>
    <row r="25" spans="3:4" x14ac:dyDescent="0.25">
      <c r="C25" t="s">
        <v>1439</v>
      </c>
      <c r="D25" t="s">
        <v>1440</v>
      </c>
    </row>
    <row r="26" spans="3:4" x14ac:dyDescent="0.25">
      <c r="C26" t="s">
        <v>275</v>
      </c>
      <c r="D26" t="s">
        <v>1441</v>
      </c>
    </row>
    <row r="27" spans="3:4" x14ac:dyDescent="0.25">
      <c r="C27" t="s">
        <v>1442</v>
      </c>
      <c r="D27" t="s">
        <v>1443</v>
      </c>
    </row>
    <row r="28" spans="3:4" x14ac:dyDescent="0.25">
      <c r="C28" t="s">
        <v>1444</v>
      </c>
      <c r="D28" t="s">
        <v>1445</v>
      </c>
    </row>
    <row r="29" spans="3:4" x14ac:dyDescent="0.25">
      <c r="C29" t="s">
        <v>1446</v>
      </c>
      <c r="D29" t="s">
        <v>1447</v>
      </c>
    </row>
    <row r="30" spans="3:4" x14ac:dyDescent="0.25">
      <c r="C30" t="s">
        <v>1448</v>
      </c>
      <c r="D30" t="s">
        <v>1449</v>
      </c>
    </row>
    <row r="31" spans="3:4" x14ac:dyDescent="0.25">
      <c r="C31" t="s">
        <v>1450</v>
      </c>
      <c r="D31" t="s">
        <v>1451</v>
      </c>
    </row>
    <row r="32" spans="3:4" x14ac:dyDescent="0.25">
      <c r="C32" t="s">
        <v>1452</v>
      </c>
      <c r="D32" t="s">
        <v>1453</v>
      </c>
    </row>
    <row r="33" spans="3:4" x14ac:dyDescent="0.25">
      <c r="C33" t="s">
        <v>1454</v>
      </c>
      <c r="D33" t="s">
        <v>1455</v>
      </c>
    </row>
    <row r="34" spans="3:4" x14ac:dyDescent="0.25">
      <c r="C34" t="s">
        <v>1456</v>
      </c>
      <c r="D34" t="s">
        <v>1457</v>
      </c>
    </row>
    <row r="35" spans="3:4" x14ac:dyDescent="0.25">
      <c r="C35" t="s">
        <v>1458</v>
      </c>
      <c r="D35" t="s">
        <v>1459</v>
      </c>
    </row>
    <row r="36" spans="3:4" x14ac:dyDescent="0.25">
      <c r="C36" t="s">
        <v>1460</v>
      </c>
      <c r="D36" t="s">
        <v>1461</v>
      </c>
    </row>
    <row r="37" spans="3:4" x14ac:dyDescent="0.25">
      <c r="C37" t="s">
        <v>1462</v>
      </c>
      <c r="D37" t="s">
        <v>1463</v>
      </c>
    </row>
    <row r="38" spans="3:4" x14ac:dyDescent="0.25">
      <c r="C38" t="s">
        <v>1464</v>
      </c>
      <c r="D38" t="s">
        <v>1465</v>
      </c>
    </row>
    <row r="39" spans="3:4" x14ac:dyDescent="0.25">
      <c r="C39" t="s">
        <v>1466</v>
      </c>
      <c r="D39" t="s">
        <v>1467</v>
      </c>
    </row>
    <row r="40" spans="3:4" x14ac:dyDescent="0.25">
      <c r="C40" t="s">
        <v>1468</v>
      </c>
      <c r="D40" t="s">
        <v>1469</v>
      </c>
    </row>
    <row r="41" spans="3:4" x14ac:dyDescent="0.25">
      <c r="C41" t="s">
        <v>1470</v>
      </c>
      <c r="D41" t="s">
        <v>1471</v>
      </c>
    </row>
    <row r="42" spans="3:4" x14ac:dyDescent="0.25">
      <c r="C42" t="s">
        <v>1472</v>
      </c>
      <c r="D42" t="s">
        <v>1473</v>
      </c>
    </row>
    <row r="43" spans="3:4" x14ac:dyDescent="0.25">
      <c r="C43" t="s">
        <v>1474</v>
      </c>
      <c r="D43" t="s">
        <v>1475</v>
      </c>
    </row>
    <row r="44" spans="3:4" x14ac:dyDescent="0.25">
      <c r="C44" t="s">
        <v>1476</v>
      </c>
      <c r="D44" t="s">
        <v>1477</v>
      </c>
    </row>
    <row r="45" spans="4:4" x14ac:dyDescent="0.25">
      <c r="D45" t="s">
        <v>1478</v>
      </c>
    </row>
    <row r="46" spans="4:4" x14ac:dyDescent="0.25">
      <c r="D46" t="s">
        <v>1479</v>
      </c>
    </row>
    <row r="47" spans="4:4" x14ac:dyDescent="0.25">
      <c r="D47" t="s">
        <v>1480</v>
      </c>
    </row>
    <row r="48" spans="4:4" x14ac:dyDescent="0.25">
      <c r="D48" t="s">
        <v>1481</v>
      </c>
    </row>
    <row r="49" spans="4:4" x14ac:dyDescent="0.25">
      <c r="D49" t="s">
        <v>1482</v>
      </c>
    </row>
    <row r="50" spans="4:4" x14ac:dyDescent="0.25">
      <c r="D50" t="s">
        <v>1483</v>
      </c>
    </row>
    <row r="51" spans="4:4" x14ac:dyDescent="0.25">
      <c r="D51" t="s">
        <v>275</v>
      </c>
    </row>
    <row r="52" spans="4:4" x14ac:dyDescent="0.25">
      <c r="D52" t="s">
        <v>1484</v>
      </c>
    </row>
    <row r="53" spans="4:4" x14ac:dyDescent="0.25">
      <c r="D53" t="s">
        <v>1485</v>
      </c>
    </row>
    <row r="54" spans="4:4" x14ac:dyDescent="0.25">
      <c r="D54" t="s">
        <v>1486</v>
      </c>
    </row>
    <row r="55" spans="4:4" x14ac:dyDescent="0.25">
      <c r="D55" t="s">
        <v>1487</v>
      </c>
    </row>
    <row r="56" spans="4:4" x14ac:dyDescent="0.25">
      <c r="D56" t="s">
        <v>1488</v>
      </c>
    </row>
    <row r="57" spans="4:4" x14ac:dyDescent="0.25">
      <c r="D57" t="s">
        <v>1489</v>
      </c>
    </row>
    <row r="58" spans="4:4" x14ac:dyDescent="0.25">
      <c r="D58" t="s">
        <v>1490</v>
      </c>
    </row>
    <row r="59" spans="4:4" x14ac:dyDescent="0.25">
      <c r="D59" t="s">
        <v>1491</v>
      </c>
    </row>
    <row r="60" spans="4:4" x14ac:dyDescent="0.25">
      <c r="D60" t="s">
        <v>1492</v>
      </c>
    </row>
    <row r="61" spans="4:4" x14ac:dyDescent="0.25">
      <c r="D61" t="s">
        <v>1493</v>
      </c>
    </row>
    <row r="62" spans="4:4" x14ac:dyDescent="0.25">
      <c r="D62" t="s">
        <v>1494</v>
      </c>
    </row>
    <row r="63" spans="4:4" x14ac:dyDescent="0.25">
      <c r="D63" t="s">
        <v>1495</v>
      </c>
    </row>
    <row r="64" spans="4:4" x14ac:dyDescent="0.25">
      <c r="D64" t="s">
        <v>1496</v>
      </c>
    </row>
    <row r="65" spans="4:4" x14ac:dyDescent="0.25">
      <c r="D65" t="s">
        <v>1497</v>
      </c>
    </row>
    <row r="66" spans="4:4" x14ac:dyDescent="0.25">
      <c r="D66" t="s">
        <v>1498</v>
      </c>
    </row>
    <row r="67" spans="4:4" x14ac:dyDescent="0.25">
      <c r="D67" t="s">
        <v>1499</v>
      </c>
    </row>
    <row r="68" spans="4:4" x14ac:dyDescent="0.25">
      <c r="D68" t="s">
        <v>1500</v>
      </c>
    </row>
    <row r="69" spans="4:4" x14ac:dyDescent="0.25">
      <c r="D69" t="s">
        <v>1501</v>
      </c>
    </row>
    <row r="70" spans="4:4" x14ac:dyDescent="0.25">
      <c r="D70" t="s">
        <v>1502</v>
      </c>
    </row>
    <row r="71" spans="4:4" x14ac:dyDescent="0.25">
      <c r="D71" t="s">
        <v>1503</v>
      </c>
    </row>
    <row r="72" spans="4:4" x14ac:dyDescent="0.25">
      <c r="D72" t="s">
        <v>1504</v>
      </c>
    </row>
    <row r="73" spans="4:4" x14ac:dyDescent="0.25">
      <c r="D73" t="s">
        <v>1505</v>
      </c>
    </row>
    <row r="74" spans="4:4" x14ac:dyDescent="0.25">
      <c r="D74" t="s">
        <v>1506</v>
      </c>
    </row>
    <row r="75" spans="4:4" x14ac:dyDescent="0.25">
      <c r="D75" t="s">
        <v>1507</v>
      </c>
    </row>
    <row r="76" spans="4:4" x14ac:dyDescent="0.25">
      <c r="D76" t="s">
        <v>1508</v>
      </c>
    </row>
    <row r="77" spans="4:4" x14ac:dyDescent="0.25">
      <c r="D77" t="s">
        <v>1509</v>
      </c>
    </row>
    <row r="78" spans="4:4" x14ac:dyDescent="0.25">
      <c r="D78" t="s">
        <v>1510</v>
      </c>
    </row>
    <row r="79" spans="4:4" x14ac:dyDescent="0.25">
      <c r="D79" t="s">
        <v>1511</v>
      </c>
    </row>
    <row r="80" spans="4:4" x14ac:dyDescent="0.25">
      <c r="D80" t="s">
        <v>1512</v>
      </c>
    </row>
    <row r="81" spans="4:4" x14ac:dyDescent="0.25">
      <c r="D81" t="s">
        <v>1513</v>
      </c>
    </row>
    <row r="82" spans="4:4" x14ac:dyDescent="0.25">
      <c r="D82" t="s">
        <v>1514</v>
      </c>
    </row>
    <row r="83" spans="4:4" x14ac:dyDescent="0.25">
      <c r="D83" t="s">
        <v>1515</v>
      </c>
    </row>
    <row r="84" spans="4:4" x14ac:dyDescent="0.25">
      <c r="D84" t="s">
        <v>1516</v>
      </c>
    </row>
    <row r="85" spans="4:4" x14ac:dyDescent="0.25">
      <c r="D85" t="s">
        <v>1517</v>
      </c>
    </row>
    <row r="86" spans="4:4" x14ac:dyDescent="0.25">
      <c r="D86" t="s">
        <v>1518</v>
      </c>
    </row>
    <row r="87" spans="4:4" x14ac:dyDescent="0.25">
      <c r="D87" t="s">
        <v>1519</v>
      </c>
    </row>
    <row r="88" spans="4:4" x14ac:dyDescent="0.25">
      <c r="D88" t="s">
        <v>1520</v>
      </c>
    </row>
    <row r="89" spans="4:4" x14ac:dyDescent="0.25">
      <c r="D89" t="s">
        <v>1521</v>
      </c>
    </row>
    <row r="90" spans="4:4" x14ac:dyDescent="0.25">
      <c r="D90" t="s">
        <v>1522</v>
      </c>
    </row>
    <row r="91" spans="4:4" x14ac:dyDescent="0.25">
      <c r="D91" t="s">
        <v>1523</v>
      </c>
    </row>
    <row r="92" spans="4:4" x14ac:dyDescent="0.25">
      <c r="D92" t="s">
        <v>1524</v>
      </c>
    </row>
    <row r="93" spans="4:4" x14ac:dyDescent="0.25">
      <c r="D93" t="s">
        <v>1525</v>
      </c>
    </row>
    <row r="94" spans="4:4" x14ac:dyDescent="0.25">
      <c r="D94" t="s">
        <v>1526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2026-07-28T21:06:09Z</dcterms:created>
  <dcterms:modified xsi:type="dcterms:W3CDTF">2026-07-28T21:06:09Z</dcterms:modified>
</cp:coreProperties>
</file>